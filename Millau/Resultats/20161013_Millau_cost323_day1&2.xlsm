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F:\Tujina\France\Millau bridge\"/>
    </mc:Choice>
  </mc:AlternateContent>
  <bookViews>
    <workbookView xWindow="0" yWindow="0" windowWidth="23040" windowHeight="8820" tabRatio="786"/>
  </bookViews>
  <sheets>
    <sheet name="Millau_PLtraf" sheetId="2" r:id="rId1"/>
    <sheet name="Millau_PLcalibration" sheetId="3" r:id="rId2"/>
    <sheet name="Accuracy_trafic" sheetId="1" r:id="rId3"/>
    <sheet name="Accuracy_calibration" sheetId="97" r:id="rId4"/>
    <sheet name="Repartition des erreurs" sheetId="98" r:id="rId5"/>
  </sheets>
  <definedNames>
    <definedName name="anscount" hidden="1">1</definedName>
    <definedName name="solver_adj" localSheetId="3" hidden="1">Accuracy_calibration!$I$9:$I$12</definedName>
    <definedName name="solver_adj" localSheetId="2" hidden="1">Accuracy_trafic!$I$9:$I$12</definedName>
    <definedName name="solver_cvg" localSheetId="3" hidden="1">0.001</definedName>
    <definedName name="solver_cvg" localSheetId="2" hidden="1">0.001</definedName>
    <definedName name="solver_drv" localSheetId="3" hidden="1">1</definedName>
    <definedName name="solver_drv" localSheetId="2" hidden="1">1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100</definedName>
    <definedName name="solver_itr" localSheetId="2" hidden="1">100</definedName>
    <definedName name="solver_lhs1" localSheetId="3" hidden="1">Accuracy_calibration!$L$9:$L$12</definedName>
    <definedName name="solver_lhs1" localSheetId="2" hidden="1">Accuracy_trafic!$L$9:$L$12</definedName>
    <definedName name="solver_lin" localSheetId="3" hidden="1">2</definedName>
    <definedName name="solver_lin" localSheetId="2" hidden="1">2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2</definedName>
    <definedName name="solver_neg" localSheetId="2" hidden="1">2</definedName>
    <definedName name="solver_nod" localSheetId="3" hidden="1">2147483647</definedName>
    <definedName name="solver_nod" localSheetId="2" hidden="1">2147483647</definedName>
    <definedName name="solver_num" localSheetId="3" hidden="1">1</definedName>
    <definedName name="solver_num" localSheetId="2" hidden="1">1</definedName>
    <definedName name="solver_nwt" localSheetId="3" hidden="1">1</definedName>
    <definedName name="solver_nwt" localSheetId="2" hidden="1">1</definedName>
    <definedName name="solver_opt" localSheetId="3" hidden="1">Accuracy_calibration!$I$9</definedName>
    <definedName name="solver_opt" localSheetId="2" hidden="1">Accuracy_trafic!$I$9</definedName>
    <definedName name="solver_pre" localSheetId="3" hidden="1">0.000001</definedName>
    <definedName name="solver_pre" localSheetId="2" hidden="1">0.000001</definedName>
    <definedName name="solver_rbv" localSheetId="3" hidden="1">1</definedName>
    <definedName name="solver_rbv" localSheetId="2" hidden="1">1</definedName>
    <definedName name="solver_rel1" localSheetId="3" hidden="1">2</definedName>
    <definedName name="solver_rel1" localSheetId="2" hidden="1">2</definedName>
    <definedName name="solver_rhs1" localSheetId="3" hidden="1">Accuracy_calibration!$F$9:$F$12</definedName>
    <definedName name="solver_rhs1" localSheetId="2" hidden="1">Accuracy_trafic!$F$9:$F$12</definedName>
    <definedName name="solver_rlx" localSheetId="3" hidden="1">1</definedName>
    <definedName name="solver_rlx" localSheetId="2" hidden="1">1</definedName>
    <definedName name="solver_rsd" localSheetId="3" hidden="1">0</definedName>
    <definedName name="solver_rsd" localSheetId="2" hidden="1">0</definedName>
    <definedName name="solver_scl" localSheetId="3" hidden="1">2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100</definedName>
    <definedName name="solver_tim" localSheetId="2" hidden="1">100</definedName>
    <definedName name="solver_tol" localSheetId="3" hidden="1">0.05</definedName>
    <definedName name="solver_tol" localSheetId="2" hidden="1">0.05</definedName>
    <definedName name="solver_typ" localSheetId="3" hidden="1">2</definedName>
    <definedName name="solver_typ" localSheetId="2" hidden="1">2</definedName>
    <definedName name="solver_val" localSheetId="3" hidden="1">0</definedName>
    <definedName name="solver_val" localSheetId="2" hidden="1">0</definedName>
    <definedName name="solver_ver" localSheetId="3" hidden="1">3</definedName>
    <definedName name="solver_ver" localSheetId="2" hidden="1">3</definedName>
    <definedName name="TolerancePoids_E">20%</definedName>
    <definedName name="TolerancePoids_ESG">25%</definedName>
    <definedName name="TolerancePoids_GE">18%</definedName>
    <definedName name="TolerancePoids_PT">15%</definedName>
  </definedNames>
  <calcPr calcId="162913"/>
</workbook>
</file>

<file path=xl/calcChain.xml><?xml version="1.0" encoding="utf-8"?>
<calcChain xmlns="http://schemas.openxmlformats.org/spreadsheetml/2006/main">
  <c r="Y60" i="2" l="1"/>
  <c r="Y61" i="2"/>
  <c r="AH60" i="2"/>
  <c r="AL29" i="2" l="1"/>
  <c r="AK29" i="2"/>
  <c r="AJ29" i="2"/>
  <c r="AO37" i="2"/>
  <c r="AM37" i="2"/>
  <c r="AK37" i="2"/>
  <c r="AJ37" i="2"/>
  <c r="AO25" i="2"/>
  <c r="AM25" i="2"/>
  <c r="AK25" i="2"/>
  <c r="AJ25" i="2"/>
  <c r="AO57" i="2"/>
  <c r="AN57" i="2"/>
  <c r="AM57" i="2"/>
  <c r="AL57" i="2"/>
  <c r="AK57" i="2"/>
  <c r="AJ57" i="2"/>
  <c r="AO36" i="2"/>
  <c r="AN36" i="2"/>
  <c r="AM36" i="2"/>
  <c r="AK36" i="2"/>
  <c r="AO19" i="2"/>
  <c r="AN19" i="2"/>
  <c r="AM19" i="2"/>
  <c r="AL19" i="2"/>
  <c r="AK19" i="2"/>
  <c r="R51" i="2"/>
  <c r="AJ51" i="2" s="1"/>
  <c r="R52" i="2"/>
  <c r="R53" i="2"/>
  <c r="R54" i="2"/>
  <c r="R55" i="2"/>
  <c r="R56" i="2"/>
  <c r="R57" i="2"/>
  <c r="R58" i="2"/>
  <c r="R59" i="2"/>
  <c r="AJ59" i="2" s="1"/>
  <c r="R60" i="2"/>
  <c r="R61" i="2"/>
  <c r="R62" i="2"/>
  <c r="R63" i="2"/>
  <c r="R64" i="2"/>
  <c r="R65" i="2"/>
  <c r="R66" i="2"/>
  <c r="R67" i="2"/>
  <c r="AJ67" i="2" s="1"/>
  <c r="R68" i="2"/>
  <c r="AJ52" i="2"/>
  <c r="AJ60" i="2"/>
  <c r="AJ68" i="2"/>
  <c r="AR51" i="2"/>
  <c r="AR52" i="2"/>
  <c r="AR53" i="2"/>
  <c r="AR54" i="2"/>
  <c r="AR55" i="2"/>
  <c r="AR56" i="2"/>
  <c r="AR57" i="2"/>
  <c r="AR58" i="2"/>
  <c r="AR59" i="2"/>
  <c r="AR60" i="2"/>
  <c r="AR61" i="2"/>
  <c r="AR62" i="2"/>
  <c r="AR63" i="2"/>
  <c r="AR64" i="2"/>
  <c r="AR65" i="2"/>
  <c r="AR66" i="2"/>
  <c r="AR67" i="2"/>
  <c r="AR68" i="2"/>
  <c r="AK51" i="2"/>
  <c r="AK52" i="2"/>
  <c r="AK53" i="2"/>
  <c r="AK54" i="2"/>
  <c r="AK55" i="2"/>
  <c r="AK56" i="2"/>
  <c r="AK58" i="2"/>
  <c r="AK59" i="2"/>
  <c r="AK60" i="2"/>
  <c r="AK61" i="2"/>
  <c r="AK62" i="2"/>
  <c r="AK63" i="2"/>
  <c r="AK64" i="2"/>
  <c r="AK65" i="2"/>
  <c r="AK66" i="2"/>
  <c r="AK67" i="2"/>
  <c r="AK68" i="2"/>
  <c r="AL51" i="2"/>
  <c r="AL52" i="2"/>
  <c r="AL53" i="2"/>
  <c r="AL54" i="2"/>
  <c r="AL55" i="2"/>
  <c r="AL56" i="2"/>
  <c r="AL58" i="2"/>
  <c r="AL59" i="2"/>
  <c r="AL60" i="2"/>
  <c r="AL61" i="2"/>
  <c r="AL62" i="2"/>
  <c r="AL63" i="2"/>
  <c r="AL64" i="2"/>
  <c r="AL65" i="2"/>
  <c r="AL66" i="2"/>
  <c r="AL67" i="2"/>
  <c r="AL68" i="2"/>
  <c r="AM51" i="2"/>
  <c r="AM52" i="2"/>
  <c r="AM53" i="2"/>
  <c r="AM54" i="2"/>
  <c r="AM55" i="2"/>
  <c r="AM56" i="2"/>
  <c r="AM58" i="2"/>
  <c r="AM59" i="2"/>
  <c r="AM60" i="2"/>
  <c r="AM61" i="2"/>
  <c r="AM62" i="2"/>
  <c r="AM63" i="2"/>
  <c r="AM64" i="2"/>
  <c r="AM65" i="2"/>
  <c r="AM66" i="2"/>
  <c r="AM67" i="2"/>
  <c r="AM68" i="2"/>
  <c r="AQ51" i="2"/>
  <c r="AQ54" i="2"/>
  <c r="AQ55" i="2"/>
  <c r="AQ58" i="2"/>
  <c r="AQ59" i="2"/>
  <c r="AQ60" i="2"/>
  <c r="AQ63" i="2"/>
  <c r="AQ67" i="2"/>
  <c r="AO51" i="2"/>
  <c r="AO52" i="2"/>
  <c r="AO53" i="2"/>
  <c r="AO54" i="2"/>
  <c r="AO55" i="2"/>
  <c r="AO56" i="2"/>
  <c r="AO58" i="2"/>
  <c r="AO59" i="2"/>
  <c r="AO60" i="2"/>
  <c r="AO61" i="2"/>
  <c r="AO62" i="2"/>
  <c r="AO63" i="2"/>
  <c r="AO64" i="2"/>
  <c r="AO65" i="2"/>
  <c r="AO66" i="2"/>
  <c r="AO67" i="2"/>
  <c r="AO68" i="2"/>
  <c r="AN51" i="2"/>
  <c r="AN52" i="2"/>
  <c r="AN53" i="2"/>
  <c r="AN54" i="2"/>
  <c r="AN55" i="2"/>
  <c r="AN56" i="2"/>
  <c r="AN58" i="2"/>
  <c r="AN59" i="2"/>
  <c r="AN60" i="2"/>
  <c r="AN61" i="2"/>
  <c r="AN62" i="2"/>
  <c r="AN63" i="2"/>
  <c r="AN64" i="2"/>
  <c r="AN65" i="2"/>
  <c r="AN66" i="2"/>
  <c r="AN67" i="2"/>
  <c r="AN68" i="2"/>
  <c r="AH51" i="2"/>
  <c r="AH52" i="2"/>
  <c r="AH53" i="2"/>
  <c r="AH54" i="2"/>
  <c r="AH55" i="2"/>
  <c r="AH56" i="2"/>
  <c r="AH57" i="2"/>
  <c r="AH58" i="2"/>
  <c r="AH59" i="2"/>
  <c r="AH61" i="2"/>
  <c r="AH62" i="2"/>
  <c r="AH63" i="2"/>
  <c r="AH64" i="2"/>
  <c r="AH65" i="2"/>
  <c r="AH66" i="2"/>
  <c r="AH67" i="2"/>
  <c r="AH68" i="2"/>
  <c r="AA51" i="2"/>
  <c r="AA52" i="2"/>
  <c r="AA53" i="2"/>
  <c r="AA54" i="2"/>
  <c r="AA55" i="2"/>
  <c r="AJ55" i="2" s="1"/>
  <c r="AA56" i="2"/>
  <c r="AJ56" i="2" s="1"/>
  <c r="AA57" i="2"/>
  <c r="AA58" i="2"/>
  <c r="AA59" i="2"/>
  <c r="AA60" i="2"/>
  <c r="AA61" i="2"/>
  <c r="AA62" i="2"/>
  <c r="AA63" i="2"/>
  <c r="AJ63" i="2" s="1"/>
  <c r="AA64" i="2"/>
  <c r="AJ64" i="2" s="1"/>
  <c r="AA65" i="2"/>
  <c r="AA66" i="2"/>
  <c r="AA67" i="2"/>
  <c r="AA68" i="2"/>
  <c r="Y51" i="2"/>
  <c r="Y52" i="2"/>
  <c r="AQ52" i="2" s="1"/>
  <c r="Y53" i="2"/>
  <c r="AQ53" i="2" s="1"/>
  <c r="Y54" i="2"/>
  <c r="Y55" i="2"/>
  <c r="Y56" i="2"/>
  <c r="AQ56" i="2" s="1"/>
  <c r="Y57" i="2"/>
  <c r="AQ57" i="2" s="1"/>
  <c r="Y58" i="2"/>
  <c r="Y59" i="2"/>
  <c r="AQ61" i="2"/>
  <c r="Y62" i="2"/>
  <c r="AQ62" i="2" s="1"/>
  <c r="Y63" i="2"/>
  <c r="Y64" i="2"/>
  <c r="AQ64" i="2" s="1"/>
  <c r="Y65" i="2"/>
  <c r="AQ65" i="2" s="1"/>
  <c r="Y66" i="2"/>
  <c r="AQ66" i="2" s="1"/>
  <c r="Y67" i="2"/>
  <c r="Y68" i="2"/>
  <c r="AQ68" i="2" s="1"/>
  <c r="AR19" i="2"/>
  <c r="AP19" i="2"/>
  <c r="AJ66" i="2" l="1"/>
  <c r="AJ62" i="2"/>
  <c r="AJ58" i="2"/>
  <c r="AJ54" i="2"/>
  <c r="AJ65" i="2"/>
  <c r="AJ61" i="2"/>
  <c r="AJ53" i="2"/>
  <c r="Y25" i="2" l="1"/>
  <c r="AH37" i="2" l="1"/>
  <c r="AA13" i="2" l="1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J42" i="2" s="1"/>
  <c r="AA43" i="2"/>
  <c r="AA44" i="2"/>
  <c r="AA45" i="2"/>
  <c r="AA46" i="2"/>
  <c r="AA47" i="2"/>
  <c r="AA48" i="2"/>
  <c r="AA49" i="2"/>
  <c r="AA50" i="2"/>
  <c r="AA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AJ36" i="2" s="1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12" i="2"/>
  <c r="AR42" i="2"/>
  <c r="AO42" i="2"/>
  <c r="AN42" i="2"/>
  <c r="AM42" i="2"/>
  <c r="AL42" i="2"/>
  <c r="AK42" i="2"/>
  <c r="AH42" i="2"/>
  <c r="Y42" i="2"/>
  <c r="AJ19" i="2" l="1"/>
  <c r="AQ42" i="2"/>
  <c r="AJ12" i="2" l="1"/>
  <c r="Y12" i="2"/>
  <c r="AH12" i="2"/>
  <c r="AQ12" i="2" s="1"/>
  <c r="AK12" i="2"/>
  <c r="AL12" i="2"/>
  <c r="AM12" i="2"/>
  <c r="AN12" i="2"/>
  <c r="AO12" i="2"/>
  <c r="AP12" i="2"/>
  <c r="AR12" i="2"/>
  <c r="Z36" i="2"/>
  <c r="Y36" i="2"/>
  <c r="AI36" i="2"/>
  <c r="AH36" i="2"/>
  <c r="AH25" i="2" l="1"/>
  <c r="Y37" i="2"/>
  <c r="D47" i="98" l="1"/>
  <c r="E47" i="98"/>
  <c r="F47" i="98"/>
  <c r="F90" i="98" s="1"/>
  <c r="F96" i="98" s="1"/>
  <c r="G47" i="98"/>
  <c r="H47" i="98"/>
  <c r="I47" i="98"/>
  <c r="K47" i="98"/>
  <c r="K87" i="98" s="1"/>
  <c r="K93" i="98" s="1"/>
  <c r="D48" i="98"/>
  <c r="E48" i="98"/>
  <c r="F48" i="98"/>
  <c r="F89" i="98" s="1"/>
  <c r="F95" i="98" s="1"/>
  <c r="G48" i="98"/>
  <c r="H48" i="98"/>
  <c r="I48" i="98"/>
  <c r="K48" i="98"/>
  <c r="K88" i="98" s="1"/>
  <c r="K94" i="98" s="1"/>
  <c r="D49" i="98"/>
  <c r="E49" i="98"/>
  <c r="F49" i="98"/>
  <c r="G49" i="98"/>
  <c r="H49" i="98"/>
  <c r="I49" i="98"/>
  <c r="K49" i="98"/>
  <c r="D50" i="98"/>
  <c r="E50" i="98"/>
  <c r="F50" i="98"/>
  <c r="G50" i="98"/>
  <c r="H50" i="98"/>
  <c r="I50" i="98"/>
  <c r="K50" i="98"/>
  <c r="D51" i="98"/>
  <c r="E51" i="98"/>
  <c r="F51" i="98"/>
  <c r="G51" i="98"/>
  <c r="H51" i="98"/>
  <c r="I51" i="98"/>
  <c r="K51" i="98"/>
  <c r="D52" i="98"/>
  <c r="E52" i="98"/>
  <c r="F52" i="98"/>
  <c r="D53" i="98"/>
  <c r="E53" i="98"/>
  <c r="F53" i="98"/>
  <c r="G53" i="98"/>
  <c r="H53" i="98"/>
  <c r="I53" i="98"/>
  <c r="K53" i="98"/>
  <c r="D54" i="98"/>
  <c r="E54" i="98"/>
  <c r="F54" i="98"/>
  <c r="G54" i="98"/>
  <c r="H54" i="98"/>
  <c r="I54" i="98"/>
  <c r="K54" i="98"/>
  <c r="D55" i="98"/>
  <c r="E55" i="98"/>
  <c r="F55" i="98"/>
  <c r="G55" i="98"/>
  <c r="H55" i="98"/>
  <c r="I55" i="98"/>
  <c r="K55" i="98"/>
  <c r="D56" i="98"/>
  <c r="E56" i="98"/>
  <c r="F56" i="98"/>
  <c r="G56" i="98"/>
  <c r="H56" i="98"/>
  <c r="I56" i="98"/>
  <c r="K56" i="98"/>
  <c r="D57" i="98"/>
  <c r="E57" i="98"/>
  <c r="F57" i="98"/>
  <c r="G57" i="98"/>
  <c r="H57" i="98"/>
  <c r="I57" i="98"/>
  <c r="K57" i="98"/>
  <c r="D58" i="98"/>
  <c r="E58" i="98"/>
  <c r="F58" i="98"/>
  <c r="G58" i="98"/>
  <c r="H58" i="98"/>
  <c r="I58" i="98"/>
  <c r="K58" i="98"/>
  <c r="D59" i="98"/>
  <c r="E59" i="98"/>
  <c r="F59" i="98"/>
  <c r="G59" i="98"/>
  <c r="D60" i="98"/>
  <c r="E60" i="98"/>
  <c r="F60" i="98"/>
  <c r="G60" i="98"/>
  <c r="H60" i="98"/>
  <c r="I60" i="98"/>
  <c r="K60" i="98"/>
  <c r="D61" i="98"/>
  <c r="E61" i="98"/>
  <c r="F61" i="98"/>
  <c r="G61" i="98"/>
  <c r="H61" i="98"/>
  <c r="I61" i="98"/>
  <c r="K61" i="98"/>
  <c r="D62" i="98"/>
  <c r="E62" i="98"/>
  <c r="F62" i="98"/>
  <c r="G62" i="98"/>
  <c r="H62" i="98"/>
  <c r="I62" i="98"/>
  <c r="J62" i="98"/>
  <c r="J88" i="98" s="1"/>
  <c r="J94" i="98" s="1"/>
  <c r="K62" i="98"/>
  <c r="D63" i="98"/>
  <c r="E63" i="98"/>
  <c r="F63" i="98"/>
  <c r="D64" i="98"/>
  <c r="E64" i="98"/>
  <c r="F64" i="98"/>
  <c r="G64" i="98"/>
  <c r="H64" i="98"/>
  <c r="I64" i="98"/>
  <c r="J64" i="98"/>
  <c r="K64" i="98"/>
  <c r="D65" i="98"/>
  <c r="E65" i="98"/>
  <c r="F65" i="98"/>
  <c r="G65" i="98"/>
  <c r="H65" i="98"/>
  <c r="I65" i="98"/>
  <c r="J65" i="98"/>
  <c r="K65" i="98"/>
  <c r="D66" i="98"/>
  <c r="E66" i="98"/>
  <c r="F66" i="98"/>
  <c r="G66" i="98"/>
  <c r="H66" i="98"/>
  <c r="I66" i="98"/>
  <c r="J66" i="98"/>
  <c r="K66" i="98"/>
  <c r="D67" i="98"/>
  <c r="E67" i="98"/>
  <c r="F67" i="98"/>
  <c r="G67" i="98"/>
  <c r="H67" i="98"/>
  <c r="J67" i="98"/>
  <c r="J90" i="98" s="1"/>
  <c r="J96" i="98" s="1"/>
  <c r="K67" i="98"/>
  <c r="D68" i="98"/>
  <c r="E68" i="98"/>
  <c r="F68" i="98"/>
  <c r="G68" i="98"/>
  <c r="H68" i="98"/>
  <c r="I68" i="98"/>
  <c r="J68" i="98"/>
  <c r="K68" i="98"/>
  <c r="D69" i="98"/>
  <c r="E69" i="98"/>
  <c r="F69" i="98"/>
  <c r="G69" i="98"/>
  <c r="H69" i="98"/>
  <c r="I69" i="98"/>
  <c r="J69" i="98"/>
  <c r="K69" i="98"/>
  <c r="D70" i="98"/>
  <c r="E70" i="98"/>
  <c r="F70" i="98"/>
  <c r="G70" i="98"/>
  <c r="H70" i="98"/>
  <c r="I70" i="98"/>
  <c r="J70" i="98"/>
  <c r="K70" i="98"/>
  <c r="D71" i="98"/>
  <c r="E71" i="98"/>
  <c r="F71" i="98"/>
  <c r="G71" i="98"/>
  <c r="D72" i="98"/>
  <c r="E72" i="98"/>
  <c r="F72" i="98"/>
  <c r="G72" i="98"/>
  <c r="H72" i="98"/>
  <c r="I72" i="98"/>
  <c r="J72" i="98"/>
  <c r="K72" i="98"/>
  <c r="D73" i="98"/>
  <c r="E73" i="98"/>
  <c r="F73" i="98"/>
  <c r="G73" i="98"/>
  <c r="H73" i="98"/>
  <c r="J73" i="98"/>
  <c r="K73" i="98"/>
  <c r="D74" i="98"/>
  <c r="E74" i="98"/>
  <c r="F74" i="98"/>
  <c r="G74" i="98"/>
  <c r="J74" i="98"/>
  <c r="D75" i="98"/>
  <c r="E75" i="98"/>
  <c r="F75" i="98"/>
  <c r="G75" i="98"/>
  <c r="H75" i="98"/>
  <c r="I75" i="98"/>
  <c r="J75" i="98"/>
  <c r="K75" i="98"/>
  <c r="D76" i="98"/>
  <c r="E76" i="98"/>
  <c r="F76" i="98"/>
  <c r="G76" i="98"/>
  <c r="H76" i="98"/>
  <c r="I76" i="98"/>
  <c r="J76" i="98"/>
  <c r="K76" i="98"/>
  <c r="D77" i="98"/>
  <c r="E77" i="98"/>
  <c r="F77" i="98"/>
  <c r="J77" i="98"/>
  <c r="D78" i="98"/>
  <c r="E78" i="98"/>
  <c r="F78" i="98"/>
  <c r="G78" i="98"/>
  <c r="H78" i="98"/>
  <c r="I78" i="98"/>
  <c r="J78" i="98"/>
  <c r="K78" i="98"/>
  <c r="D79" i="98"/>
  <c r="E79" i="98"/>
  <c r="F79" i="98"/>
  <c r="G79" i="98"/>
  <c r="H79" i="98"/>
  <c r="I79" i="98"/>
  <c r="J79" i="98"/>
  <c r="K79" i="98"/>
  <c r="D80" i="98"/>
  <c r="E80" i="98"/>
  <c r="F80" i="98"/>
  <c r="G80" i="98"/>
  <c r="H80" i="98"/>
  <c r="I80" i="98"/>
  <c r="J80" i="98"/>
  <c r="K80" i="98"/>
  <c r="D81" i="98"/>
  <c r="E81" i="98"/>
  <c r="F81" i="98"/>
  <c r="G81" i="98"/>
  <c r="H81" i="98"/>
  <c r="I81" i="98"/>
  <c r="J81" i="98"/>
  <c r="K81" i="98"/>
  <c r="D82" i="98"/>
  <c r="E82" i="98"/>
  <c r="F82" i="98"/>
  <c r="G82" i="98"/>
  <c r="H82" i="98"/>
  <c r="I82" i="98"/>
  <c r="J82" i="98"/>
  <c r="K82" i="98"/>
  <c r="D83" i="98"/>
  <c r="E83" i="98"/>
  <c r="F83" i="98"/>
  <c r="G83" i="98"/>
  <c r="H83" i="98"/>
  <c r="J83" i="98"/>
  <c r="K83" i="98"/>
  <c r="D84" i="98"/>
  <c r="E84" i="98"/>
  <c r="F84" i="98"/>
  <c r="G84" i="98"/>
  <c r="H84" i="98"/>
  <c r="I84" i="98"/>
  <c r="J84" i="98"/>
  <c r="K84" i="98"/>
  <c r="E46" i="98"/>
  <c r="E90" i="98" s="1"/>
  <c r="E96" i="98" s="1"/>
  <c r="F46" i="98"/>
  <c r="F88" i="98" s="1"/>
  <c r="F94" i="98" s="1"/>
  <c r="G46" i="98"/>
  <c r="G87" i="98" s="1"/>
  <c r="G93" i="98" s="1"/>
  <c r="H46" i="98"/>
  <c r="H87" i="98" s="1"/>
  <c r="H93" i="98" s="1"/>
  <c r="I46" i="98"/>
  <c r="I90" i="98" s="1"/>
  <c r="I96" i="98" s="1"/>
  <c r="K46" i="98"/>
  <c r="K90" i="98" s="1"/>
  <c r="K96" i="98" s="1"/>
  <c r="D46" i="98"/>
  <c r="D87" i="98" s="1"/>
  <c r="D93" i="98" s="1"/>
  <c r="D88" i="98" l="1"/>
  <c r="D94" i="98" s="1"/>
  <c r="J87" i="98"/>
  <c r="J93" i="98" s="1"/>
  <c r="F87" i="98"/>
  <c r="F93" i="98" s="1"/>
  <c r="I88" i="98"/>
  <c r="I94" i="98" s="1"/>
  <c r="E88" i="98"/>
  <c r="E94" i="98" s="1"/>
  <c r="H89" i="98"/>
  <c r="H95" i="98" s="1"/>
  <c r="D90" i="98"/>
  <c r="D96" i="98" s="1"/>
  <c r="H90" i="98"/>
  <c r="H96" i="98" s="1"/>
  <c r="D89" i="98"/>
  <c r="D95" i="98" s="1"/>
  <c r="I87" i="98"/>
  <c r="I93" i="98" s="1"/>
  <c r="H88" i="98"/>
  <c r="H94" i="98" s="1"/>
  <c r="K89" i="98"/>
  <c r="K95" i="98" s="1"/>
  <c r="G89" i="98"/>
  <c r="G95" i="98" s="1"/>
  <c r="G90" i="98"/>
  <c r="G96" i="98" s="1"/>
  <c r="G88" i="98"/>
  <c r="G94" i="98" s="1"/>
  <c r="J89" i="98"/>
  <c r="J95" i="98" s="1"/>
  <c r="E87" i="98"/>
  <c r="E93" i="98" s="1"/>
  <c r="I89" i="98"/>
  <c r="I95" i="98" s="1"/>
  <c r="E89" i="98"/>
  <c r="E95" i="98" s="1"/>
  <c r="AN15" i="2"/>
  <c r="AM17" i="2"/>
  <c r="AQ40" i="2"/>
  <c r="AH41" i="2"/>
  <c r="AQ18" i="2"/>
  <c r="AQ25" i="2"/>
  <c r="AQ29" i="2"/>
  <c r="AQ37" i="2"/>
  <c r="AO13" i="2"/>
  <c r="AO14" i="2"/>
  <c r="AO15" i="2"/>
  <c r="AO16" i="2"/>
  <c r="AO17" i="2"/>
  <c r="AO18" i="2"/>
  <c r="AO20" i="2"/>
  <c r="AO21" i="2"/>
  <c r="AO22" i="2"/>
  <c r="AO23" i="2"/>
  <c r="AO24" i="2"/>
  <c r="AO26" i="2"/>
  <c r="AO27" i="2"/>
  <c r="AO28" i="2"/>
  <c r="AO29" i="2"/>
  <c r="AO30" i="2"/>
  <c r="AO31" i="2"/>
  <c r="AO32" i="2"/>
  <c r="AO33" i="2"/>
  <c r="AO34" i="2"/>
  <c r="AO35" i="2"/>
  <c r="AO38" i="2"/>
  <c r="AO39" i="2"/>
  <c r="AO40" i="2"/>
  <c r="AO41" i="2"/>
  <c r="AO43" i="2"/>
  <c r="AO44" i="2"/>
  <c r="AO45" i="2"/>
  <c r="AO46" i="2"/>
  <c r="AO47" i="2"/>
  <c r="AO48" i="2"/>
  <c r="AO49" i="2"/>
  <c r="AO50" i="2"/>
  <c r="AN13" i="2"/>
  <c r="AN14" i="2"/>
  <c r="AN16" i="2"/>
  <c r="AN17" i="2"/>
  <c r="AN18" i="2"/>
  <c r="AN20" i="2"/>
  <c r="AN21" i="2"/>
  <c r="AN22" i="2"/>
  <c r="AN23" i="2"/>
  <c r="AN24" i="2"/>
  <c r="AN26" i="2"/>
  <c r="AN27" i="2"/>
  <c r="AN28" i="2"/>
  <c r="AN29" i="2"/>
  <c r="AN30" i="2"/>
  <c r="AN31" i="2"/>
  <c r="AN32" i="2"/>
  <c r="AN33" i="2"/>
  <c r="AN34" i="2"/>
  <c r="AN35" i="2"/>
  <c r="AN38" i="2"/>
  <c r="AN39" i="2"/>
  <c r="AN40" i="2"/>
  <c r="AN41" i="2"/>
  <c r="AN43" i="2"/>
  <c r="AN44" i="2"/>
  <c r="AN45" i="2"/>
  <c r="AN46" i="2"/>
  <c r="AN47" i="2"/>
  <c r="AN48" i="2"/>
  <c r="AN49" i="2"/>
  <c r="AN50" i="2"/>
  <c r="AM39" i="2"/>
  <c r="AM13" i="2"/>
  <c r="AM14" i="2"/>
  <c r="AM15" i="2"/>
  <c r="AM16" i="2"/>
  <c r="AM18" i="2"/>
  <c r="AM20" i="2"/>
  <c r="AM21" i="2"/>
  <c r="AM22" i="2"/>
  <c r="AM23" i="2"/>
  <c r="AM24" i="2"/>
  <c r="AM26" i="2"/>
  <c r="AM27" i="2"/>
  <c r="AM28" i="2"/>
  <c r="AM29" i="2"/>
  <c r="AM30" i="2"/>
  <c r="AM31" i="2"/>
  <c r="AM32" i="2"/>
  <c r="AM33" i="2"/>
  <c r="AM34" i="2"/>
  <c r="AM35" i="2"/>
  <c r="AM38" i="2"/>
  <c r="AM40" i="2"/>
  <c r="AM41" i="2"/>
  <c r="AM43" i="2"/>
  <c r="AM44" i="2"/>
  <c r="AM45" i="2"/>
  <c r="AM46" i="2"/>
  <c r="AM47" i="2"/>
  <c r="AM48" i="2"/>
  <c r="AM49" i="2"/>
  <c r="AM50" i="2"/>
  <c r="AL13" i="2"/>
  <c r="AL14" i="2"/>
  <c r="AL15" i="2"/>
  <c r="AL16" i="2"/>
  <c r="AL17" i="2"/>
  <c r="AL18" i="2"/>
  <c r="AL20" i="2"/>
  <c r="AL21" i="2"/>
  <c r="AL22" i="2"/>
  <c r="AL23" i="2"/>
  <c r="AL24" i="2"/>
  <c r="AL26" i="2"/>
  <c r="AL27" i="2"/>
  <c r="AL28" i="2"/>
  <c r="AL30" i="2"/>
  <c r="AL31" i="2"/>
  <c r="AL32" i="2"/>
  <c r="AL33" i="2"/>
  <c r="AL34" i="2"/>
  <c r="AL35" i="2"/>
  <c r="AL38" i="2"/>
  <c r="AL39" i="2"/>
  <c r="AL40" i="2"/>
  <c r="AL41" i="2"/>
  <c r="AL43" i="2"/>
  <c r="AL44" i="2"/>
  <c r="AL45" i="2"/>
  <c r="AL46" i="2"/>
  <c r="AL47" i="2"/>
  <c r="AL48" i="2"/>
  <c r="AL49" i="2"/>
  <c r="AL50" i="2"/>
  <c r="AK13" i="2"/>
  <c r="AK14" i="2"/>
  <c r="AK15" i="2"/>
  <c r="AK16" i="2"/>
  <c r="AK17" i="2"/>
  <c r="AK18" i="2"/>
  <c r="AK20" i="2"/>
  <c r="AK21" i="2"/>
  <c r="AK22" i="2"/>
  <c r="AK23" i="2"/>
  <c r="AK24" i="2"/>
  <c r="AK26" i="2"/>
  <c r="AK27" i="2"/>
  <c r="AK28" i="2"/>
  <c r="AK30" i="2"/>
  <c r="AK31" i="2"/>
  <c r="AK32" i="2"/>
  <c r="AK33" i="2"/>
  <c r="AK34" i="2"/>
  <c r="AK35" i="2"/>
  <c r="AK38" i="2"/>
  <c r="AK39" i="2"/>
  <c r="AK40" i="2"/>
  <c r="AK41" i="2"/>
  <c r="AK43" i="2"/>
  <c r="AK44" i="2"/>
  <c r="AK45" i="2"/>
  <c r="AK46" i="2"/>
  <c r="AK47" i="2"/>
  <c r="AK48" i="2"/>
  <c r="AK49" i="2"/>
  <c r="AK50" i="2"/>
  <c r="AH13" i="2"/>
  <c r="AH14" i="2"/>
  <c r="AH15" i="2"/>
  <c r="AH16" i="2"/>
  <c r="AH17" i="2"/>
  <c r="AH19" i="2"/>
  <c r="AH20" i="2"/>
  <c r="AH21" i="2"/>
  <c r="AH22" i="2"/>
  <c r="AH23" i="2"/>
  <c r="AH24" i="2"/>
  <c r="AH26" i="2"/>
  <c r="AH27" i="2"/>
  <c r="AH28" i="2"/>
  <c r="AH30" i="2"/>
  <c r="AH31" i="2"/>
  <c r="AH32" i="2"/>
  <c r="AH33" i="2"/>
  <c r="AH34" i="2"/>
  <c r="AH35" i="2"/>
  <c r="AH38" i="2"/>
  <c r="AH39" i="2"/>
  <c r="AH44" i="2"/>
  <c r="AH45" i="2"/>
  <c r="AH46" i="2"/>
  <c r="AH47" i="2"/>
  <c r="AH48" i="2"/>
  <c r="AH49" i="2"/>
  <c r="AH50" i="2"/>
  <c r="Y22" i="2"/>
  <c r="AQ22" i="2" s="1"/>
  <c r="Y17" i="2"/>
  <c r="Y13" i="2"/>
  <c r="Y14" i="2"/>
  <c r="Y15" i="2"/>
  <c r="Y16" i="2"/>
  <c r="Y19" i="2"/>
  <c r="Y20" i="2"/>
  <c r="Y21" i="2"/>
  <c r="Y23" i="2"/>
  <c r="Y24" i="2"/>
  <c r="Y26" i="2"/>
  <c r="Y27" i="2"/>
  <c r="AQ27" i="2" s="1"/>
  <c r="Y28" i="2"/>
  <c r="Y30" i="2"/>
  <c r="Y31" i="2"/>
  <c r="AQ31" i="2" s="1"/>
  <c r="Y32" i="2"/>
  <c r="AQ32" i="2" s="1"/>
  <c r="Y33" i="2"/>
  <c r="Y34" i="2"/>
  <c r="Y35" i="2"/>
  <c r="AQ35" i="2" s="1"/>
  <c r="AQ36" i="2"/>
  <c r="Y38" i="2"/>
  <c r="Y39" i="2"/>
  <c r="Y41" i="2"/>
  <c r="Y43" i="2"/>
  <c r="AQ43" i="2" s="1"/>
  <c r="Y44" i="2"/>
  <c r="Y45" i="2"/>
  <c r="Y46" i="2"/>
  <c r="Y47" i="2"/>
  <c r="Y48" i="2"/>
  <c r="AQ48" i="2" s="1"/>
  <c r="Y49" i="2"/>
  <c r="Y50" i="2"/>
  <c r="AQ20" i="2" l="1"/>
  <c r="AQ34" i="2"/>
  <c r="AQ19" i="2"/>
  <c r="AK6" i="2"/>
  <c r="AQ49" i="2"/>
  <c r="AQ45" i="2"/>
  <c r="AQ44" i="2"/>
  <c r="AQ30" i="2"/>
  <c r="AQ26" i="2"/>
  <c r="AQ24" i="2"/>
  <c r="AQ14" i="2"/>
  <c r="AQ39" i="2"/>
  <c r="AQ13" i="2"/>
  <c r="AK7" i="2"/>
  <c r="AQ38" i="2"/>
  <c r="AQ33" i="2"/>
  <c r="AQ28" i="2"/>
  <c r="AQ23" i="2"/>
  <c r="AQ50" i="2"/>
  <c r="AQ46" i="2"/>
  <c r="AQ15" i="2"/>
  <c r="AQ47" i="2"/>
  <c r="AQ16" i="2"/>
  <c r="AQ21" i="2"/>
  <c r="AQ17" i="2"/>
  <c r="AQ41" i="2"/>
  <c r="AJ49" i="2"/>
  <c r="AJ50" i="2"/>
  <c r="AJ13" i="2"/>
  <c r="AJ14" i="2"/>
  <c r="AJ15" i="2"/>
  <c r="AJ16" i="2"/>
  <c r="AJ17" i="2"/>
  <c r="AJ18" i="2"/>
  <c r="AJ20" i="2"/>
  <c r="AJ21" i="2"/>
  <c r="AJ22" i="2"/>
  <c r="AJ23" i="2"/>
  <c r="AJ24" i="2"/>
  <c r="AJ26" i="2"/>
  <c r="AJ27" i="2"/>
  <c r="AJ28" i="2"/>
  <c r="AJ30" i="2"/>
  <c r="AJ31" i="2"/>
  <c r="AJ32" i="2"/>
  <c r="AJ33" i="2"/>
  <c r="AJ34" i="2"/>
  <c r="AJ35" i="2"/>
  <c r="AJ38" i="2"/>
  <c r="AJ39" i="2"/>
  <c r="AJ40" i="2"/>
  <c r="AJ41" i="2"/>
  <c r="AJ43" i="2"/>
  <c r="AJ44" i="2"/>
  <c r="AJ45" i="2"/>
  <c r="AJ46" i="2"/>
  <c r="AJ47" i="2"/>
  <c r="AJ48" i="2"/>
  <c r="AR25" i="2"/>
  <c r="AP25" i="2"/>
  <c r="AJ5" i="2" l="1"/>
  <c r="E6" i="2"/>
  <c r="AR26" i="2" l="1"/>
  <c r="AP13" i="2" l="1"/>
  <c r="AR13" i="2"/>
  <c r="AP14" i="2"/>
  <c r="AR14" i="2"/>
  <c r="AP15" i="2"/>
  <c r="AR15" i="2"/>
  <c r="AP16" i="2"/>
  <c r="AR16" i="2"/>
  <c r="AP17" i="2"/>
  <c r="AR17" i="2"/>
  <c r="AP18" i="2"/>
  <c r="AR18" i="2"/>
  <c r="AP20" i="2"/>
  <c r="AR20" i="2"/>
  <c r="AP21" i="2"/>
  <c r="AR21" i="2"/>
  <c r="AP22" i="2"/>
  <c r="AR22" i="2"/>
  <c r="AP23" i="2"/>
  <c r="AR23" i="2"/>
  <c r="AP24" i="2"/>
  <c r="AR24" i="2"/>
  <c r="AP26" i="2"/>
  <c r="AP27" i="2"/>
  <c r="AR27" i="2"/>
  <c r="AL5" i="2" l="1"/>
  <c r="AL6" i="2"/>
  <c r="D12" i="1" s="1"/>
  <c r="AJ7" i="2"/>
  <c r="E9" i="1" s="1"/>
  <c r="E11" i="1"/>
  <c r="AL7" i="2"/>
  <c r="E12" i="1" s="1"/>
  <c r="AR28" i="2"/>
  <c r="AR29" i="2"/>
  <c r="AM6" i="2" s="1"/>
  <c r="AR30" i="2"/>
  <c r="AM7" i="2" s="1"/>
  <c r="AR31" i="2"/>
  <c r="AR32" i="2"/>
  <c r="AR33" i="2"/>
  <c r="AR34" i="2"/>
  <c r="AR35" i="2"/>
  <c r="AR36" i="2"/>
  <c r="AR37" i="2"/>
  <c r="AR38" i="2"/>
  <c r="AR39" i="2"/>
  <c r="AR40" i="2"/>
  <c r="AR41" i="2"/>
  <c r="AR43" i="2"/>
  <c r="AR44" i="2"/>
  <c r="AR45" i="2"/>
  <c r="AR46" i="2"/>
  <c r="AR47" i="2"/>
  <c r="AR48" i="2"/>
  <c r="AR49" i="2"/>
  <c r="AR50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03" i="2"/>
  <c r="AR104" i="2"/>
  <c r="AR105" i="2"/>
  <c r="AR106" i="2"/>
  <c r="AR107" i="2"/>
  <c r="AR108" i="2"/>
  <c r="AR109" i="2"/>
  <c r="AR110" i="2"/>
  <c r="AR111" i="2"/>
  <c r="AR112" i="2"/>
  <c r="AR113" i="2"/>
  <c r="AR114" i="2"/>
  <c r="AR115" i="2"/>
  <c r="AR116" i="2"/>
  <c r="AR117" i="2"/>
  <c r="AR118" i="2"/>
  <c r="AR119" i="2"/>
  <c r="AR120" i="2"/>
  <c r="AR121" i="2"/>
  <c r="AR122" i="2"/>
  <c r="AR123" i="2"/>
  <c r="AR124" i="2"/>
  <c r="AR125" i="2"/>
  <c r="AR126" i="2"/>
  <c r="AR127" i="2"/>
  <c r="AR128" i="2"/>
  <c r="AR129" i="2"/>
  <c r="AR130" i="2"/>
  <c r="AR131" i="2"/>
  <c r="AR132" i="2"/>
  <c r="AR133" i="2"/>
  <c r="AR134" i="2"/>
  <c r="AR135" i="2"/>
  <c r="AR136" i="2"/>
  <c r="AR137" i="2"/>
  <c r="AR138" i="2"/>
  <c r="J9" i="1"/>
  <c r="K9" i="1" s="1"/>
  <c r="G9" i="1" s="1"/>
  <c r="J10" i="1"/>
  <c r="K10" i="1" s="1"/>
  <c r="J11" i="1"/>
  <c r="K11" i="1" s="1"/>
  <c r="H11" i="1" s="1"/>
  <c r="J12" i="1"/>
  <c r="K12" i="1" s="1"/>
  <c r="H12" i="1" s="1"/>
  <c r="H7" i="1"/>
  <c r="F12" i="97"/>
  <c r="F11" i="97"/>
  <c r="F10" i="97"/>
  <c r="J10" i="97"/>
  <c r="K10" i="97" s="1"/>
  <c r="J12" i="97"/>
  <c r="K12" i="97"/>
  <c r="H12" i="97" s="1"/>
  <c r="M12" i="97" s="1"/>
  <c r="L12" i="97"/>
  <c r="J11" i="97"/>
  <c r="K11" i="97" s="1"/>
  <c r="L11" i="97"/>
  <c r="L10" i="97"/>
  <c r="J9" i="97"/>
  <c r="K9" i="97" s="1"/>
  <c r="F9" i="97"/>
  <c r="L9" i="97"/>
  <c r="R31" i="97"/>
  <c r="H7" i="97"/>
  <c r="AR50" i="3"/>
  <c r="AR25" i="3"/>
  <c r="AR26" i="3"/>
  <c r="AR27" i="3"/>
  <c r="AR28" i="3"/>
  <c r="AR29" i="3"/>
  <c r="AR30" i="3"/>
  <c r="AR31" i="3"/>
  <c r="AR32" i="3"/>
  <c r="AR33" i="3"/>
  <c r="AR3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13" i="3"/>
  <c r="AR14" i="3"/>
  <c r="AR15" i="3"/>
  <c r="AR17" i="3"/>
  <c r="AR16" i="3"/>
  <c r="AR18" i="3"/>
  <c r="AR19" i="3"/>
  <c r="AR23" i="3"/>
  <c r="AR20" i="3"/>
  <c r="AR21" i="3"/>
  <c r="AR22" i="3"/>
  <c r="AR24" i="3"/>
  <c r="AR12" i="3"/>
  <c r="AL6" i="3"/>
  <c r="AK7" i="3"/>
  <c r="AR51" i="3"/>
  <c r="AR35" i="3"/>
  <c r="AL7" i="3"/>
  <c r="AK6" i="3"/>
  <c r="AK5" i="3"/>
  <c r="AM5" i="2" l="1"/>
  <c r="B10" i="1" s="1"/>
  <c r="F10" i="1" s="1"/>
  <c r="G12" i="97"/>
  <c r="G11" i="1"/>
  <c r="H10" i="1"/>
  <c r="G10" i="1"/>
  <c r="G12" i="1"/>
  <c r="H9" i="1"/>
  <c r="B12" i="1"/>
  <c r="F12" i="1" s="1"/>
  <c r="D11" i="1"/>
  <c r="AK5" i="2"/>
  <c r="B11" i="1" s="1"/>
  <c r="F11" i="1" s="1"/>
  <c r="O12" i="97"/>
  <c r="O10" i="97" s="1"/>
  <c r="H9" i="97"/>
  <c r="M9" i="97" s="1"/>
  <c r="G9" i="97"/>
  <c r="AM7" i="3"/>
  <c r="AM6" i="3"/>
  <c r="AM5" i="3"/>
  <c r="G11" i="97"/>
  <c r="H11" i="97"/>
  <c r="M11" i="97" s="1"/>
  <c r="H10" i="97"/>
  <c r="M10" i="97" s="1"/>
  <c r="G10" i="97"/>
  <c r="E10" i="1"/>
  <c r="D10" i="1"/>
  <c r="AJ6" i="2"/>
  <c r="D9" i="1" s="1"/>
  <c r="B9" i="1"/>
  <c r="F9" i="1" s="1"/>
  <c r="AJ6" i="3"/>
  <c r="AJ7" i="3"/>
  <c r="AJ5" i="3"/>
  <c r="AL5" i="3"/>
  <c r="O12" i="1"/>
  <c r="O10" i="1" s="1"/>
  <c r="L11" i="1" l="1"/>
  <c r="M11" i="1"/>
  <c r="L12" i="1"/>
  <c r="M12" i="1"/>
  <c r="L9" i="1"/>
  <c r="M9" i="1"/>
  <c r="L10" i="1"/>
  <c r="M10" i="1"/>
</calcChain>
</file>

<file path=xl/sharedStrings.xml><?xml version="1.0" encoding="utf-8"?>
<sst xmlns="http://schemas.openxmlformats.org/spreadsheetml/2006/main" count="382" uniqueCount="127">
  <si>
    <t>Localisation :</t>
  </si>
  <si>
    <t>Statistiques sur les erreurs relatives</t>
  </si>
  <si>
    <t>Sens :</t>
  </si>
  <si>
    <t>TOUS VEHICULES</t>
  </si>
  <si>
    <t>PT</t>
  </si>
  <si>
    <t>ES</t>
  </si>
  <si>
    <t>ESG</t>
  </si>
  <si>
    <t>GE</t>
  </si>
  <si>
    <t>Voie :</t>
  </si>
  <si>
    <t>Nombre</t>
  </si>
  <si>
    <t>Nombre pesée :</t>
  </si>
  <si>
    <t>Erreur moyenne</t>
  </si>
  <si>
    <t>Ecart type</t>
  </si>
  <si>
    <t xml:space="preserve">Date de </t>
  </si>
  <si>
    <t>N°</t>
  </si>
  <si>
    <t>Heure</t>
  </si>
  <si>
    <t>Vit</t>
  </si>
  <si>
    <t>Q</t>
  </si>
  <si>
    <t>pos</t>
  </si>
  <si>
    <t>Te</t>
  </si>
  <si>
    <t>Silhouette</t>
  </si>
  <si>
    <t>Groupe de l'essieu</t>
  </si>
  <si>
    <t>Erreur relative en %</t>
  </si>
  <si>
    <t>Mesures</t>
  </si>
  <si>
    <t>Immatriculation</t>
  </si>
  <si>
    <t>Type</t>
  </si>
  <si>
    <t>VTR</t>
  </si>
  <si>
    <t>A1</t>
  </si>
  <si>
    <t>A2</t>
  </si>
  <si>
    <t>A3</t>
  </si>
  <si>
    <t>A4</t>
  </si>
  <si>
    <t>A5</t>
  </si>
  <si>
    <t>A6</t>
  </si>
  <si>
    <t>NI</t>
  </si>
  <si>
    <t>E1</t>
  </si>
  <si>
    <t>E2</t>
  </si>
  <si>
    <t>E3</t>
  </si>
  <si>
    <t>E4</t>
  </si>
  <si>
    <t>E5</t>
  </si>
  <si>
    <t>E6</t>
  </si>
  <si>
    <t>GE1</t>
  </si>
  <si>
    <t>GE2</t>
  </si>
  <si>
    <t>Poids en marche en kg</t>
  </si>
  <si>
    <t>Poids statiques en kg</t>
  </si>
  <si>
    <t>COST 323 : European Specifications on WIM</t>
  </si>
  <si>
    <t>Accuracy calculation (9. Initial verification/10. In service verification)</t>
  </si>
  <si>
    <t>Fulfil the green cells, and if necessary the blue ones</t>
  </si>
  <si>
    <t>Test plan</t>
  </si>
  <si>
    <t>Initial verification (Yes=1, No=0):</t>
  </si>
  <si>
    <t>rr2</t>
  </si>
  <si>
    <t>I</t>
  </si>
  <si>
    <t>SYSTEM</t>
  </si>
  <si>
    <t>Number</t>
  </si>
  <si>
    <t>Identified</t>
  </si>
  <si>
    <t>Mean</t>
  </si>
  <si>
    <t>Std deviat</t>
  </si>
  <si>
    <t>Class</t>
  </si>
  <si>
    <t>class</t>
  </si>
  <si>
    <t>p</t>
  </si>
  <si>
    <t>Accepted</t>
  </si>
  <si>
    <t>See definitons on lines 42 and below</t>
  </si>
  <si>
    <t>Entity</t>
  </si>
  <si>
    <t>(%)</t>
  </si>
  <si>
    <t>gross weight</t>
  </si>
  <si>
    <t>group of axles</t>
  </si>
  <si>
    <t>single axle</t>
  </si>
  <si>
    <t>axle of group</t>
  </si>
  <si>
    <t>(1)</t>
  </si>
  <si>
    <t>"r1"=full repeatability</t>
  </si>
  <si>
    <t>Users' instructions:</t>
  </si>
  <si>
    <t>"r2"=extended repeatability</t>
  </si>
  <si>
    <t>1.</t>
  </si>
  <si>
    <t xml:space="preserve">Enter the test conditions in cells B5 and D5, and put "1" in cell M4 if the same data sample </t>
  </si>
  <si>
    <t>"rr1"=limited reproducibility</t>
  </si>
  <si>
    <t>was used for calibration (initial verification), "0" otherwise (in service verification)</t>
  </si>
  <si>
    <t>"rr2"=full reproducibility</t>
  </si>
  <si>
    <t>2.</t>
  </si>
  <si>
    <t>Enter the test statistics (on relative errors) in cells B9 to B12 and D9 to E12</t>
  </si>
  <si>
    <t>"I"=environmental repeatability</t>
  </si>
  <si>
    <t>3. (option)</t>
  </si>
  <si>
    <t>"II"=environmental limited reproducibility</t>
  </si>
  <si>
    <t>4.</t>
  </si>
  <si>
    <t>Start the command "Tools/Solver/Solve/keep the results"</t>
  </si>
  <si>
    <t>"III"=environmental full reproducibility</t>
  </si>
  <si>
    <t xml:space="preserve"> - "Outils/Solveur/Résoudre/Garder la solution du solveur", and then OK if successful</t>
  </si>
  <si>
    <t xml:space="preserve">if the solver doesn't find an accepted solution, </t>
  </si>
  <si>
    <t>Definitons</t>
  </si>
  <si>
    <r>
      <t xml:space="preserve">Conditions </t>
    </r>
    <r>
      <rPr>
        <b/>
        <vertAlign val="superscript"/>
        <sz val="10"/>
        <rFont val="Arial"/>
        <family val="2"/>
      </rPr>
      <t>(1)</t>
    </r>
  </si>
  <si>
    <r>
      <t>Env</t>
    </r>
    <r>
      <rPr>
        <b/>
        <vertAlign val="superscript"/>
        <sz val="10"/>
        <rFont val="Arial"/>
        <family val="2"/>
      </rPr>
      <t>t</t>
    </r>
  </si>
  <si>
    <r>
      <t>p</t>
    </r>
    <r>
      <rPr>
        <b/>
        <vertAlign val="subscript"/>
        <sz val="10"/>
        <rFont val="Arial"/>
        <family val="2"/>
      </rPr>
      <t>o</t>
    </r>
  </si>
  <si>
    <r>
      <t>d</t>
    </r>
    <r>
      <rPr>
        <b/>
        <vertAlign val="subscript"/>
        <sz val="10"/>
        <rFont val="Arial"/>
        <family val="2"/>
      </rPr>
      <t>min</t>
    </r>
  </si>
  <si>
    <r>
      <t>d</t>
    </r>
    <r>
      <rPr>
        <b/>
        <vertAlign val="subscript"/>
        <sz val="10"/>
        <rFont val="Arial"/>
        <family val="2"/>
      </rPr>
      <t>c</t>
    </r>
  </si>
  <si>
    <r>
      <t>p</t>
    </r>
    <r>
      <rPr>
        <b/>
        <sz val="10"/>
        <rFont val="Arial"/>
        <family val="2"/>
      </rPr>
      <t>'</t>
    </r>
  </si>
  <si>
    <r>
      <t xml:space="preserve">Initialise the expected values of </t>
    </r>
    <r>
      <rPr>
        <sz val="10"/>
        <color indexed="12"/>
        <rFont val="Symbol"/>
        <family val="1"/>
        <charset val="2"/>
      </rPr>
      <t>d</t>
    </r>
    <r>
      <rPr>
        <vertAlign val="subscript"/>
        <sz val="10"/>
        <color indexed="12"/>
        <rFont val="Arial"/>
        <family val="2"/>
      </rPr>
      <t>min</t>
    </r>
    <r>
      <rPr>
        <sz val="10"/>
        <color indexed="12"/>
        <rFont val="Arial"/>
        <family val="2"/>
      </rPr>
      <t xml:space="preserve"> in cells I9 to I12 </t>
    </r>
    <r>
      <rPr>
        <b/>
        <i/>
        <sz val="10"/>
        <color indexed="12"/>
        <rFont val="Arial"/>
        <family val="2"/>
      </rPr>
      <t>(only if step 4. fails)</t>
    </r>
  </si>
  <si>
    <r>
      <t xml:space="preserve">return to step 3. and modify the initial values of </t>
    </r>
    <r>
      <rPr>
        <b/>
        <i/>
        <sz val="10"/>
        <color indexed="12"/>
        <rFont val="Symbol"/>
        <family val="1"/>
        <charset val="2"/>
      </rPr>
      <t>d</t>
    </r>
    <r>
      <rPr>
        <b/>
        <i/>
        <vertAlign val="subscript"/>
        <sz val="10"/>
        <color indexed="12"/>
        <rFont val="Arial"/>
        <family val="2"/>
      </rPr>
      <t>min</t>
    </r>
  </si>
  <si>
    <r>
      <t>Number</t>
    </r>
    <r>
      <rPr>
        <sz val="10"/>
        <color indexed="58"/>
        <rFont val="Arial"/>
        <family val="2"/>
      </rPr>
      <t>: number of measured vehicles/axles/etc. which are valid and kept for the test (may be less than those of the test plan)</t>
    </r>
  </si>
  <si>
    <r>
      <t>Identified</t>
    </r>
    <r>
      <rPr>
        <sz val="10"/>
        <color indexed="58"/>
        <rFont val="Arial"/>
        <family val="2"/>
      </rPr>
      <t>: percentage of the total number of measured vehicles/axles/etc. which are valid and kept for the test (enter by hand)</t>
    </r>
  </si>
  <si>
    <r>
      <t>Mean, Std Deviation</t>
    </r>
    <r>
      <rPr>
        <sz val="10"/>
        <color indexed="58"/>
        <rFont val="Arial"/>
        <family val="2"/>
      </rPr>
      <t>: mean and standard deviation of the individual relative errors with respect to the static reference loads</t>
    </r>
  </si>
  <si>
    <r>
      <t>p</t>
    </r>
    <r>
      <rPr>
        <sz val="8"/>
        <color indexed="58"/>
        <rFont val="Symbol"/>
        <family val="1"/>
        <charset val="2"/>
      </rPr>
      <t>o</t>
    </r>
    <r>
      <rPr>
        <sz val="10"/>
        <color indexed="58"/>
        <rFont val="Arial"/>
        <family val="2"/>
      </rPr>
      <t xml:space="preserve">: minimum required level of confidence within the class tolerance 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, i.e. of the confidence interval [-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;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]</t>
    </r>
  </si>
  <si>
    <r>
      <t>d</t>
    </r>
    <r>
      <rPr>
        <i/>
        <sz val="8"/>
        <color indexed="58"/>
        <rFont val="Arial"/>
        <family val="2"/>
      </rPr>
      <t>min</t>
    </r>
    <r>
      <rPr>
        <sz val="10"/>
        <color indexed="58"/>
        <rFont val="Arial"/>
        <family val="2"/>
      </rPr>
      <t xml:space="preserve">: for each criterion, tolerance (half width of the confidence interval) which exactly corresponds to the minimum required level of confidence </t>
    </r>
    <r>
      <rPr>
        <sz val="10"/>
        <color indexed="58"/>
        <rFont val="Symbol"/>
        <family val="1"/>
        <charset val="2"/>
      </rPr>
      <t>p</t>
    </r>
    <r>
      <rPr>
        <sz val="8"/>
        <color indexed="58"/>
        <rFont val="Symbol"/>
        <family val="1"/>
        <charset val="2"/>
      </rPr>
      <t>o</t>
    </r>
  </si>
  <si>
    <r>
      <t>d</t>
    </r>
    <r>
      <rPr>
        <i/>
        <sz val="8"/>
        <color indexed="58"/>
        <rFont val="Arial"/>
        <family val="2"/>
      </rPr>
      <t>c</t>
    </r>
    <r>
      <rPr>
        <sz val="10"/>
        <color indexed="58"/>
        <rFont val="Arial"/>
        <family val="2"/>
      </rPr>
      <t xml:space="preserve">: "best acceptable interpolated class for the given criterion", i.e. tolerance on the GW which exactly corresponds to the </t>
    </r>
    <r>
      <rPr>
        <sz val="10"/>
        <color indexed="58"/>
        <rFont val="Symbol"/>
        <family val="1"/>
        <charset val="2"/>
      </rPr>
      <t>d</t>
    </r>
    <r>
      <rPr>
        <sz val="8"/>
        <color indexed="58"/>
        <rFont val="Arial"/>
        <family val="2"/>
      </rPr>
      <t xml:space="preserve">min </t>
    </r>
    <r>
      <rPr>
        <sz val="10"/>
        <color indexed="58"/>
        <rFont val="Arial"/>
        <family val="2"/>
      </rPr>
      <t>of the given criterion</t>
    </r>
  </si>
  <si>
    <t>2 bilatérale</t>
  </si>
  <si>
    <t>1 unilatérale</t>
  </si>
  <si>
    <t>lente et rapide</t>
  </si>
  <si>
    <t>Senlis</t>
  </si>
  <si>
    <t>Province - Paris</t>
  </si>
  <si>
    <t>SiWIM</t>
  </si>
  <si>
    <t>Chamant</t>
  </si>
  <si>
    <t/>
  </si>
  <si>
    <t xml:space="preserve">Erreur </t>
  </si>
  <si>
    <t>Millau</t>
  </si>
  <si>
    <t>Clermont-Ferrand - Béziers</t>
  </si>
  <si>
    <t>Erreur en % en valeur absolue</t>
  </si>
  <si>
    <t>Répartition des erreurs</t>
  </si>
  <si>
    <t>&lt;</t>
  </si>
  <si>
    <t xml:space="preserve">&lt; </t>
  </si>
  <si>
    <t>Réparttion des erreurs en %</t>
  </si>
  <si>
    <t>*MP</t>
  </si>
  <si>
    <t>*RCON</t>
  </si>
  <si>
    <t>MP: multiple present</t>
  </si>
  <si>
    <t xml:space="preserve">RCON: vehicle was missing an axle(s) and was/were added automatically  </t>
  </si>
  <si>
    <t>*group axle E2 &amp; E3 - lorry, 1-2</t>
  </si>
  <si>
    <t>*</t>
  </si>
  <si>
    <t>*MP, RCON</t>
  </si>
  <si>
    <t>*Lane 2</t>
  </si>
  <si>
    <t>*MP (excluded to be single axles in B+)</t>
  </si>
  <si>
    <t>*semi trailer 1-2-2 (excluded to be axles in a group in B+)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</si>
</sst>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h:mm;@"/>
    <numFmt numFmtId="166" formatCode="_-* #,##0&quot;F&quot;_-;\-* #,##0&quot;F&quot;_-;_-* &quot;-&quot;&quot;F&quot;_-;_-@_-"/>
  </numFmts>
  <fonts count="50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b/>
      <vertAlign val="super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sz val="10"/>
      <name val="Times New Roman"/>
      <family val="1"/>
    </font>
    <font>
      <sz val="10"/>
      <name val="Symbol"/>
      <family val="1"/>
      <charset val="2"/>
    </font>
    <font>
      <i/>
      <sz val="10"/>
      <color indexed="58"/>
      <name val="Arial"/>
      <family val="2"/>
    </font>
    <font>
      <b/>
      <i/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2"/>
      <name val="Symbol"/>
      <family val="1"/>
      <charset val="2"/>
    </font>
    <font>
      <vertAlign val="subscript"/>
      <sz val="10"/>
      <color indexed="12"/>
      <name val="Arial"/>
      <family val="2"/>
    </font>
    <font>
      <b/>
      <i/>
      <sz val="10"/>
      <color indexed="12"/>
      <name val="Symbol"/>
      <family val="1"/>
      <charset val="2"/>
    </font>
    <font>
      <b/>
      <i/>
      <vertAlign val="subscript"/>
      <sz val="10"/>
      <color indexed="12"/>
      <name val="Arial"/>
      <family val="2"/>
    </font>
    <font>
      <b/>
      <sz val="10"/>
      <color indexed="58"/>
      <name val="Arial"/>
      <family val="2"/>
    </font>
    <font>
      <sz val="10"/>
      <color indexed="58"/>
      <name val="Arial"/>
      <family val="2"/>
    </font>
    <font>
      <sz val="8"/>
      <color indexed="58"/>
      <name val="Symbol"/>
      <family val="1"/>
      <charset val="2"/>
    </font>
    <font>
      <sz val="10"/>
      <color indexed="58"/>
      <name val="Symbol"/>
      <family val="1"/>
      <charset val="2"/>
    </font>
    <font>
      <i/>
      <sz val="8"/>
      <color indexed="58"/>
      <name val="Arial"/>
      <family val="2"/>
    </font>
    <font>
      <i/>
      <sz val="10"/>
      <color indexed="58"/>
      <name val="Symbol"/>
      <family val="1"/>
      <charset val="2"/>
    </font>
    <font>
      <sz val="8"/>
      <color indexed="58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theme="1"/>
      <name val="Myriad Pro Cond"/>
      <family val="2"/>
      <charset val="238"/>
    </font>
    <font>
      <sz val="12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i/>
      <sz val="8"/>
      <name val="Arial"/>
      <family val="2"/>
    </font>
    <font>
      <i/>
      <sz val="8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44"/>
        <bgColor indexed="49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indexed="1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FFCC"/>
        <bgColor indexed="64"/>
      </patternFill>
    </fill>
  </fills>
  <borders count="3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7">
    <xf numFmtId="0" fontId="0" fillId="0" borderId="0"/>
    <xf numFmtId="0" fontId="3" fillId="0" borderId="0"/>
    <xf numFmtId="0" fontId="2" fillId="0" borderId="0"/>
    <xf numFmtId="9" fontId="13" fillId="0" borderId="0" applyFill="0" applyBorder="0" applyAlignment="0" applyProtection="0"/>
    <xf numFmtId="0" fontId="36" fillId="0" borderId="0"/>
    <xf numFmtId="9" fontId="36" fillId="0" borderId="0" applyFont="0" applyFill="0" applyBorder="0" applyAlignment="0" applyProtection="0"/>
    <xf numFmtId="0" fontId="37" fillId="8" borderId="0" applyNumberFormat="0" applyBorder="0" applyAlignment="0" applyProtection="0"/>
    <xf numFmtId="0" fontId="38" fillId="11" borderId="32" applyNumberFormat="0" applyAlignment="0" applyProtection="0"/>
    <xf numFmtId="0" fontId="39" fillId="12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40" fillId="10" borderId="0" applyNumberFormat="0" applyBorder="0" applyAlignment="0" applyProtection="0"/>
    <xf numFmtId="0" fontId="41" fillId="9" borderId="0" applyNumberFormat="0" applyBorder="0" applyAlignment="0" applyProtection="0"/>
    <xf numFmtId="0" fontId="35" fillId="17" borderId="0" applyNumberFormat="0" applyBorder="0" applyAlignment="0" applyProtection="0"/>
    <xf numFmtId="0" fontId="1" fillId="16" borderId="0" applyNumberFormat="0" applyBorder="0" applyAlignment="0" applyProtection="0"/>
    <xf numFmtId="0" fontId="39" fillId="13" borderId="0" applyNumberFormat="0" applyBorder="0" applyAlignment="0" applyProtection="0"/>
    <xf numFmtId="0" fontId="36" fillId="20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36" fillId="0" borderId="0"/>
    <xf numFmtId="0" fontId="36" fillId="0" borderId="0"/>
    <xf numFmtId="0" fontId="42" fillId="0" borderId="0"/>
    <xf numFmtId="0" fontId="38" fillId="11" borderId="32" applyNumberFormat="0" applyAlignment="0" applyProtection="0"/>
    <xf numFmtId="0" fontId="37" fillId="8" borderId="0" applyNumberFormat="0" applyBorder="0" applyAlignment="0" applyProtection="0"/>
    <xf numFmtId="0" fontId="39" fillId="12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5" fillId="17" borderId="0" applyNumberFormat="0" applyBorder="0" applyAlignment="0" applyProtection="0"/>
    <xf numFmtId="0" fontId="1" fillId="16" borderId="0" applyNumberFormat="0" applyBorder="0" applyAlignment="0" applyProtection="0"/>
    <xf numFmtId="0" fontId="40" fillId="10" borderId="0" applyNumberFormat="0" applyBorder="0" applyAlignment="0" applyProtection="0"/>
    <xf numFmtId="0" fontId="39" fillId="14" borderId="0" applyNumberFormat="0" applyBorder="0" applyAlignment="0" applyProtection="0"/>
    <xf numFmtId="9" fontId="36" fillId="0" borderId="0" applyFont="0" applyFill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43" fillId="8" borderId="0" applyNumberFormat="0" applyBorder="0" applyAlignment="0" applyProtection="0"/>
    <xf numFmtId="0" fontId="44" fillId="0" borderId="0"/>
    <xf numFmtId="0" fontId="45" fillId="0" borderId="0"/>
    <xf numFmtId="0" fontId="1" fillId="0" borderId="0"/>
    <xf numFmtId="9" fontId="45" fillId="0" borderId="0" applyFont="0" applyFill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0" borderId="0"/>
    <xf numFmtId="0" fontId="46" fillId="23" borderId="0" applyNumberFormat="0" applyBorder="0" applyAlignment="0" applyProtection="0"/>
    <xf numFmtId="0" fontId="46" fillId="23" borderId="0" applyNumberFormat="0" applyBorder="0" applyAlignment="0" applyProtection="0"/>
    <xf numFmtId="0" fontId="46" fillId="23" borderId="0" applyNumberFormat="0" applyBorder="0" applyAlignment="0" applyProtection="0"/>
    <xf numFmtId="0" fontId="46" fillId="23" borderId="0" applyNumberFormat="0" applyBorder="0" applyAlignment="0" applyProtection="0"/>
    <xf numFmtId="0" fontId="46" fillId="23" borderId="0" applyNumberFormat="0" applyBorder="0" applyAlignment="0" applyProtection="0"/>
    <xf numFmtId="0" fontId="46" fillId="23" borderId="0" applyNumberFormat="0" applyBorder="0" applyAlignment="0" applyProtection="0"/>
    <xf numFmtId="0" fontId="46" fillId="23" borderId="0" applyNumberFormat="0" applyBorder="0" applyAlignment="0" applyProtection="0"/>
    <xf numFmtId="0" fontId="46" fillId="23" borderId="0" applyNumberFormat="0" applyBorder="0" applyAlignment="0" applyProtection="0"/>
    <xf numFmtId="0" fontId="47" fillId="0" borderId="0"/>
    <xf numFmtId="0" fontId="46" fillId="0" borderId="0"/>
  </cellStyleXfs>
  <cellXfs count="224">
    <xf numFmtId="0" fontId="0" fillId="0" borderId="0" xfId="0"/>
    <xf numFmtId="0" fontId="4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6" fillId="0" borderId="0" xfId="0" applyFont="1" applyFill="1" applyBorder="1"/>
    <xf numFmtId="0" fontId="4" fillId="0" borderId="0" xfId="0" applyFont="1" applyFill="1" applyBorder="1"/>
    <xf numFmtId="0" fontId="4" fillId="2" borderId="0" xfId="0" applyFont="1" applyFill="1" applyBorder="1"/>
    <xf numFmtId="0" fontId="6" fillId="2" borderId="0" xfId="0" applyFont="1" applyFill="1" applyBorder="1" applyAlignment="1">
      <alignment horizontal="center"/>
    </xf>
    <xf numFmtId="14" fontId="4" fillId="0" borderId="0" xfId="0" applyNumberFormat="1" applyFont="1" applyAlignment="1">
      <alignment horizontal="center"/>
    </xf>
    <xf numFmtId="17" fontId="4" fillId="0" borderId="0" xfId="0" applyNumberFormat="1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1" applyFont="1" applyBorder="1" applyAlignment="1">
      <alignment vertical="center"/>
    </xf>
    <xf numFmtId="10" fontId="6" fillId="0" borderId="0" xfId="1" applyNumberFormat="1" applyFont="1" applyFill="1" applyBorder="1" applyAlignment="1">
      <alignment horizontal="center" vertical="center"/>
    </xf>
    <xf numFmtId="10" fontId="6" fillId="0" borderId="0" xfId="3" applyNumberFormat="1" applyFont="1" applyFill="1" applyBorder="1" applyAlignment="1" applyProtection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4" fillId="0" borderId="0" xfId="0" applyFont="1" applyFill="1"/>
    <xf numFmtId="0" fontId="4" fillId="3" borderId="3" xfId="1" applyFont="1" applyFill="1" applyBorder="1" applyAlignment="1" applyProtection="1">
      <alignment horizontal="center" vertical="center"/>
      <protection locked="0"/>
    </xf>
    <xf numFmtId="0" fontId="4" fillId="0" borderId="4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Alignment="1" applyProtection="1">
      <alignment horizontal="center" vertical="center"/>
      <protection locked="0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3" borderId="7" xfId="1" applyFont="1" applyFill="1" applyBorder="1" applyAlignment="1">
      <alignment horizontal="center" vertical="center"/>
    </xf>
    <xf numFmtId="1" fontId="4" fillId="3" borderId="7" xfId="1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/>
    </xf>
    <xf numFmtId="0" fontId="4" fillId="0" borderId="7" xfId="0" applyFont="1" applyBorder="1"/>
    <xf numFmtId="0" fontId="6" fillId="0" borderId="7" xfId="0" applyFont="1" applyFill="1" applyBorder="1" applyAlignment="1">
      <alignment horizontal="center"/>
    </xf>
    <xf numFmtId="0" fontId="6" fillId="0" borderId="7" xfId="0" applyFont="1" applyBorder="1" applyAlignment="1"/>
    <xf numFmtId="0" fontId="6" fillId="4" borderId="7" xfId="0" applyFont="1" applyFill="1" applyBorder="1" applyAlignment="1"/>
    <xf numFmtId="0" fontId="6" fillId="0" borderId="7" xfId="1" applyFont="1" applyBorder="1" applyAlignment="1">
      <alignment vertical="center"/>
    </xf>
    <xf numFmtId="10" fontId="6" fillId="4" borderId="7" xfId="1" applyNumberFormat="1" applyFont="1" applyFill="1" applyBorder="1" applyAlignment="1">
      <alignment horizontal="center" vertical="center"/>
    </xf>
    <xf numFmtId="10" fontId="6" fillId="4" borderId="7" xfId="3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/>
    <xf numFmtId="14" fontId="4" fillId="0" borderId="7" xfId="0" applyNumberFormat="1" applyFont="1" applyFill="1" applyBorder="1" applyAlignment="1">
      <alignment horizontal="center"/>
    </xf>
    <xf numFmtId="0" fontId="4" fillId="3" borderId="7" xfId="1" applyFont="1" applyFill="1" applyBorder="1" applyAlignment="1" applyProtection="1">
      <alignment horizontal="center" vertical="center"/>
      <protection locked="0"/>
    </xf>
    <xf numFmtId="1" fontId="4" fillId="5" borderId="7" xfId="0" applyNumberFormat="1" applyFont="1" applyFill="1" applyBorder="1" applyAlignment="1" applyProtection="1">
      <alignment horizontal="center"/>
      <protection locked="0"/>
    </xf>
    <xf numFmtId="1" fontId="4" fillId="6" borderId="7" xfId="1" applyNumberFormat="1" applyFont="1" applyFill="1" applyBorder="1" applyAlignment="1" applyProtection="1">
      <alignment horizontal="center" vertical="center"/>
      <protection locked="0"/>
    </xf>
    <xf numFmtId="10" fontId="4" fillId="5" borderId="7" xfId="3" applyNumberFormat="1" applyFont="1" applyFill="1" applyBorder="1" applyAlignment="1" applyProtection="1">
      <alignment horizontal="center" vertical="center"/>
      <protection locked="0"/>
    </xf>
    <xf numFmtId="10" fontId="4" fillId="3" borderId="7" xfId="3" applyNumberFormat="1" applyFont="1" applyFill="1" applyBorder="1" applyAlignment="1" applyProtection="1">
      <alignment horizontal="center" vertical="center"/>
      <protection locked="0"/>
    </xf>
    <xf numFmtId="10" fontId="4" fillId="6" borderId="7" xfId="3" applyNumberFormat="1" applyFont="1" applyFill="1" applyBorder="1" applyAlignment="1" applyProtection="1">
      <alignment horizontal="center" vertical="center"/>
      <protection locked="0"/>
    </xf>
    <xf numFmtId="0" fontId="4" fillId="3" borderId="9" xfId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9" xfId="1" applyFont="1" applyFill="1" applyBorder="1" applyAlignment="1" applyProtection="1">
      <alignment horizontal="center" vertical="center"/>
      <protection locked="0"/>
    </xf>
    <xf numFmtId="0" fontId="6" fillId="0" borderId="10" xfId="0" applyFont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1" fontId="4" fillId="3" borderId="7" xfId="1" applyNumberFormat="1" applyFont="1" applyFill="1" applyBorder="1" applyAlignment="1" applyProtection="1">
      <alignment horizontal="center"/>
      <protection locked="0"/>
    </xf>
    <xf numFmtId="1" fontId="4" fillId="0" borderId="7" xfId="1" applyNumberFormat="1" applyFont="1" applyFill="1" applyBorder="1" applyAlignment="1" applyProtection="1">
      <alignment horizontal="center"/>
      <protection locked="0"/>
    </xf>
    <xf numFmtId="0" fontId="4" fillId="3" borderId="7" xfId="0" applyFont="1" applyFill="1" applyBorder="1" applyAlignment="1" applyProtection="1">
      <alignment horizontal="center"/>
      <protection locked="0"/>
    </xf>
    <xf numFmtId="1" fontId="4" fillId="3" borderId="7" xfId="0" applyNumberFormat="1" applyFont="1" applyFill="1" applyBorder="1" applyAlignment="1" applyProtection="1">
      <alignment horizontal="center"/>
      <protection locked="0"/>
    </xf>
    <xf numFmtId="0" fontId="4" fillId="3" borderId="14" xfId="1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21" fontId="4" fillId="0" borderId="6" xfId="1" applyNumberFormat="1" applyFont="1" applyFill="1" applyBorder="1" applyAlignment="1" applyProtection="1">
      <alignment horizontal="center"/>
      <protection locked="0"/>
    </xf>
    <xf numFmtId="0" fontId="4" fillId="0" borderId="16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165" fontId="4" fillId="0" borderId="7" xfId="0" applyNumberFormat="1" applyFont="1" applyBorder="1"/>
    <xf numFmtId="0" fontId="4" fillId="0" borderId="17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8" xfId="1" applyNumberFormat="1" applyFont="1" applyFill="1" applyBorder="1" applyAlignment="1" applyProtection="1">
      <alignment horizontal="center"/>
      <protection locked="0"/>
    </xf>
    <xf numFmtId="0" fontId="4" fillId="0" borderId="19" xfId="0" applyFont="1" applyFill="1" applyBorder="1" applyAlignment="1">
      <alignment horizontal="center"/>
    </xf>
    <xf numFmtId="0" fontId="4" fillId="3" borderId="4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 vertical="center"/>
    </xf>
    <xf numFmtId="0" fontId="0" fillId="0" borderId="7" xfId="0" applyBorder="1"/>
    <xf numFmtId="0" fontId="4" fillId="0" borderId="17" xfId="1" applyFont="1" applyFill="1" applyBorder="1" applyAlignment="1" applyProtection="1">
      <alignment horizontal="center" vertical="center"/>
      <protection locked="0"/>
    </xf>
    <xf numFmtId="0" fontId="4" fillId="0" borderId="2" xfId="1" applyFont="1" applyFill="1" applyBorder="1" applyAlignment="1" applyProtection="1">
      <alignment horizontal="center" vertical="center"/>
      <protection locked="0"/>
    </xf>
    <xf numFmtId="0" fontId="4" fillId="0" borderId="18" xfId="1" applyFont="1" applyFill="1" applyBorder="1" applyAlignment="1" applyProtection="1">
      <alignment horizontal="center" vertical="center"/>
      <protection locked="0"/>
    </xf>
    <xf numFmtId="0" fontId="4" fillId="0" borderId="19" xfId="1" applyFont="1" applyFill="1" applyBorder="1" applyAlignment="1" applyProtection="1">
      <alignment horizontal="center" vertical="center"/>
      <protection locked="0"/>
    </xf>
    <xf numFmtId="0" fontId="4" fillId="5" borderId="7" xfId="0" applyFont="1" applyFill="1" applyBorder="1"/>
    <xf numFmtId="0" fontId="7" fillId="3" borderId="0" xfId="0" applyFont="1" applyFill="1" applyAlignment="1">
      <alignment horizontal="center"/>
    </xf>
    <xf numFmtId="0" fontId="2" fillId="0" borderId="0" xfId="2"/>
    <xf numFmtId="0" fontId="8" fillId="0" borderId="0" xfId="2" applyFont="1" applyAlignment="1">
      <alignment vertical="top"/>
    </xf>
    <xf numFmtId="0" fontId="9" fillId="0" borderId="0" xfId="2" applyFont="1"/>
    <xf numFmtId="0" fontId="10" fillId="0" borderId="0" xfId="2" applyFont="1"/>
    <xf numFmtId="0" fontId="12" fillId="0" borderId="7" xfId="2" applyFont="1" applyBorder="1" applyAlignment="1">
      <alignment horizontal="left"/>
    </xf>
    <xf numFmtId="0" fontId="12" fillId="0" borderId="7" xfId="2" applyFont="1" applyBorder="1"/>
    <xf numFmtId="0" fontId="12" fillId="0" borderId="18" xfId="2" applyFont="1" applyBorder="1"/>
    <xf numFmtId="0" fontId="2" fillId="0" borderId="20" xfId="2" applyBorder="1"/>
    <xf numFmtId="0" fontId="2" fillId="0" borderId="6" xfId="2" applyBorder="1"/>
    <xf numFmtId="0" fontId="2" fillId="0" borderId="7" xfId="2" applyBorder="1" applyAlignment="1">
      <alignment horizontal="center"/>
    </xf>
    <xf numFmtId="0" fontId="2" fillId="0" borderId="7" xfId="2" applyBorder="1"/>
    <xf numFmtId="0" fontId="13" fillId="0" borderId="18" xfId="2" applyFont="1" applyBorder="1" applyAlignment="1" applyProtection="1">
      <alignment horizontal="right"/>
      <protection locked="0"/>
    </xf>
    <xf numFmtId="0" fontId="13" fillId="0" borderId="6" xfId="2" applyFont="1" applyBorder="1" applyAlignment="1" applyProtection="1">
      <alignment horizontal="center"/>
      <protection locked="0"/>
    </xf>
    <xf numFmtId="0" fontId="13" fillId="0" borderId="7" xfId="2" applyFont="1" applyBorder="1" applyAlignment="1" applyProtection="1">
      <alignment horizontal="center"/>
      <protection locked="0"/>
    </xf>
    <xf numFmtId="0" fontId="12" fillId="0" borderId="0" xfId="2" applyFont="1" applyBorder="1" applyAlignment="1">
      <alignment horizontal="center" vertical="center"/>
    </xf>
    <xf numFmtId="0" fontId="2" fillId="0" borderId="0" xfId="2" applyBorder="1" applyAlignment="1">
      <alignment horizontal="center" vertical="center"/>
    </xf>
    <xf numFmtId="1" fontId="2" fillId="0" borderId="0" xfId="2" applyNumberFormat="1" applyBorder="1" applyAlignment="1">
      <alignment horizontal="center" vertical="center"/>
    </xf>
    <xf numFmtId="2" fontId="2" fillId="0" borderId="0" xfId="2" applyNumberFormat="1" applyBorder="1" applyAlignment="1">
      <alignment horizontal="center" vertical="center"/>
    </xf>
    <xf numFmtId="164" fontId="2" fillId="0" borderId="0" xfId="2" applyNumberFormat="1" applyBorder="1" applyAlignment="1">
      <alignment horizontal="center" vertical="center"/>
    </xf>
    <xf numFmtId="164" fontId="12" fillId="0" borderId="0" xfId="2" applyNumberFormat="1" applyFont="1" applyBorder="1" applyAlignment="1">
      <alignment horizontal="center" vertical="center"/>
    </xf>
    <xf numFmtId="164" fontId="2" fillId="0" borderId="0" xfId="2" applyNumberFormat="1" applyBorder="1"/>
    <xf numFmtId="0" fontId="12" fillId="0" borderId="7" xfId="2" applyFont="1" applyBorder="1" applyAlignment="1">
      <alignment horizontal="center" vertical="center"/>
    </xf>
    <xf numFmtId="0" fontId="15" fillId="0" borderId="7" xfId="2" applyFont="1" applyBorder="1" applyAlignment="1">
      <alignment horizontal="center" vertical="center"/>
    </xf>
    <xf numFmtId="0" fontId="16" fillId="0" borderId="7" xfId="2" applyFont="1" applyBorder="1" applyAlignment="1">
      <alignment horizontal="center" vertical="center"/>
    </xf>
    <xf numFmtId="0" fontId="17" fillId="0" borderId="7" xfId="2" applyFont="1" applyBorder="1" applyAlignment="1">
      <alignment horizontal="center" vertical="center"/>
    </xf>
    <xf numFmtId="0" fontId="15" fillId="0" borderId="21" xfId="2" applyFont="1" applyBorder="1" applyAlignment="1">
      <alignment horizontal="center" vertical="center"/>
    </xf>
    <xf numFmtId="0" fontId="12" fillId="0" borderId="8" xfId="2" applyFont="1" applyBorder="1" applyAlignment="1">
      <alignment horizontal="center" vertical="center"/>
    </xf>
    <xf numFmtId="0" fontId="18" fillId="0" borderId="0" xfId="2" applyFont="1" applyAlignment="1">
      <alignment horizontal="left"/>
    </xf>
    <xf numFmtId="0" fontId="19" fillId="0" borderId="7" xfId="2" applyFont="1" applyBorder="1" applyAlignment="1">
      <alignment horizontal="center" vertical="center"/>
    </xf>
    <xf numFmtId="0" fontId="2" fillId="0" borderId="7" xfId="2" applyBorder="1" applyAlignment="1">
      <alignment horizontal="center" vertical="center"/>
    </xf>
    <xf numFmtId="0" fontId="2" fillId="0" borderId="22" xfId="2" applyBorder="1" applyAlignment="1">
      <alignment horizontal="center" vertical="center"/>
    </xf>
    <xf numFmtId="0" fontId="12" fillId="0" borderId="9" xfId="2" applyFont="1" applyBorder="1" applyAlignment="1">
      <alignment horizontal="center" vertical="center"/>
    </xf>
    <xf numFmtId="0" fontId="2" fillId="6" borderId="7" xfId="2" applyFill="1" applyBorder="1" applyAlignment="1" applyProtection="1">
      <alignment horizontal="center" vertical="center"/>
      <protection locked="0"/>
    </xf>
    <xf numFmtId="164" fontId="2" fillId="6" borderId="7" xfId="2" applyNumberFormat="1" applyFill="1" applyBorder="1" applyAlignment="1" applyProtection="1">
      <alignment horizontal="center" vertical="center"/>
      <protection locked="0"/>
    </xf>
    <xf numFmtId="2" fontId="2" fillId="6" borderId="7" xfId="2" applyNumberFormat="1" applyFill="1" applyBorder="1" applyAlignment="1" applyProtection="1">
      <alignment horizontal="center" vertical="center"/>
      <protection locked="0"/>
    </xf>
    <xf numFmtId="164" fontId="2" fillId="0" borderId="7" xfId="2" applyNumberFormat="1" applyBorder="1" applyAlignment="1">
      <alignment horizontal="center" vertical="center"/>
    </xf>
    <xf numFmtId="164" fontId="12" fillId="0" borderId="7" xfId="2" applyNumberFormat="1" applyFont="1" applyBorder="1" applyAlignment="1">
      <alignment horizontal="center" vertical="center"/>
    </xf>
    <xf numFmtId="1" fontId="2" fillId="0" borderId="7" xfId="2" applyNumberFormat="1" applyBorder="1" applyAlignment="1">
      <alignment horizontal="center" vertical="center"/>
    </xf>
    <xf numFmtId="164" fontId="2" fillId="7" borderId="7" xfId="2" applyNumberFormat="1" applyFill="1" applyBorder="1" applyAlignment="1" applyProtection="1">
      <alignment horizontal="center" vertical="center"/>
      <protection locked="0"/>
    </xf>
    <xf numFmtId="164" fontId="2" fillId="0" borderId="22" xfId="2" applyNumberFormat="1" applyBorder="1" applyAlignment="1">
      <alignment horizontal="center" vertical="center"/>
    </xf>
    <xf numFmtId="164" fontId="2" fillId="0" borderId="8" xfId="2" applyNumberFormat="1" applyBorder="1"/>
    <xf numFmtId="164" fontId="2" fillId="0" borderId="18" xfId="2" applyNumberFormat="1" applyBorder="1" applyAlignment="1">
      <alignment horizontal="center" vertical="center"/>
    </xf>
    <xf numFmtId="164" fontId="12" fillId="0" borderId="23" xfId="2" applyNumberFormat="1" applyFont="1" applyBorder="1" applyAlignment="1">
      <alignment horizontal="center"/>
    </xf>
    <xf numFmtId="164" fontId="2" fillId="0" borderId="19" xfId="2" applyNumberFormat="1" applyBorder="1" applyAlignment="1">
      <alignment horizontal="center" vertical="center"/>
    </xf>
    <xf numFmtId="164" fontId="2" fillId="0" borderId="23" xfId="2" applyNumberFormat="1" applyBorder="1"/>
    <xf numFmtId="1" fontId="20" fillId="0" borderId="9" xfId="2" applyNumberFormat="1" applyFont="1" applyBorder="1" applyAlignment="1" applyProtection="1">
      <alignment horizontal="center"/>
    </xf>
    <xf numFmtId="0" fontId="2" fillId="0" borderId="0" xfId="2" quotePrefix="1" applyAlignment="1">
      <alignment horizontal="left"/>
    </xf>
    <xf numFmtId="0" fontId="21" fillId="0" borderId="0" xfId="2" applyFont="1"/>
    <xf numFmtId="0" fontId="22" fillId="0" borderId="0" xfId="2" applyFont="1"/>
    <xf numFmtId="0" fontId="17" fillId="0" borderId="0" xfId="2" applyFont="1"/>
    <xf numFmtId="0" fontId="22" fillId="0" borderId="0" xfId="2" applyFont="1" applyAlignment="1">
      <alignment horizontal="center"/>
    </xf>
    <xf numFmtId="0" fontId="23" fillId="0" borderId="0" xfId="2" applyFont="1"/>
    <xf numFmtId="0" fontId="28" fillId="0" borderId="0" xfId="2" applyFont="1"/>
    <xf numFmtId="0" fontId="18" fillId="0" borderId="0" xfId="2" applyFont="1"/>
    <xf numFmtId="0" fontId="31" fillId="0" borderId="0" xfId="2" applyFont="1"/>
    <xf numFmtId="0" fontId="33" fillId="0" borderId="0" xfId="2" applyFont="1"/>
    <xf numFmtId="0" fontId="29" fillId="0" borderId="0" xfId="2" applyFont="1"/>
    <xf numFmtId="0" fontId="0" fillId="0" borderId="0" xfId="0" applyNumberFormat="1" applyFont="1" applyFill="1" applyBorder="1" applyAlignment="1" applyProtection="1"/>
    <xf numFmtId="49" fontId="0" fillId="0" borderId="0" xfId="0" applyNumberFormat="1" applyFont="1" applyFill="1" applyBorder="1" applyAlignment="1" applyProtection="1"/>
    <xf numFmtId="21" fontId="0" fillId="0" borderId="0" xfId="0" applyNumberFormat="1"/>
    <xf numFmtId="14" fontId="0" fillId="0" borderId="7" xfId="0" applyNumberFormat="1" applyFont="1" applyFill="1" applyBorder="1" applyAlignment="1" applyProtection="1"/>
    <xf numFmtId="49" fontId="0" fillId="0" borderId="7" xfId="0" applyNumberFormat="1" applyFill="1" applyBorder="1" applyAlignment="1" applyProtection="1"/>
    <xf numFmtId="21" fontId="0" fillId="0" borderId="7" xfId="0" applyNumberFormat="1" applyBorder="1"/>
    <xf numFmtId="49" fontId="0" fillId="0" borderId="7" xfId="0" applyNumberFormat="1" applyFont="1" applyFill="1" applyBorder="1" applyAlignment="1" applyProtection="1"/>
    <xf numFmtId="0" fontId="4" fillId="0" borderId="7" xfId="1" applyFont="1" applyFill="1" applyBorder="1" applyAlignment="1" applyProtection="1">
      <alignment horizontal="center" vertical="center"/>
      <protection locked="0"/>
    </xf>
    <xf numFmtId="21" fontId="4" fillId="0" borderId="7" xfId="1" applyNumberFormat="1" applyFont="1" applyFill="1" applyBorder="1" applyAlignment="1" applyProtection="1">
      <alignment horizontal="center"/>
      <protection locked="0"/>
    </xf>
    <xf numFmtId="0" fontId="4" fillId="0" borderId="7" xfId="1" applyNumberFormat="1" applyFont="1" applyFill="1" applyBorder="1" applyAlignment="1" applyProtection="1">
      <alignment horizontal="center"/>
      <protection locked="0"/>
    </xf>
    <xf numFmtId="20" fontId="4" fillId="0" borderId="7" xfId="0" applyNumberFormat="1" applyFont="1" applyFill="1" applyBorder="1" applyAlignment="1">
      <alignment horizontal="center"/>
    </xf>
    <xf numFmtId="0" fontId="0" fillId="0" borderId="0" xfId="0" applyFill="1"/>
    <xf numFmtId="2" fontId="4" fillId="5" borderId="7" xfId="0" applyNumberFormat="1" applyFont="1" applyFill="1" applyBorder="1" applyAlignment="1" applyProtection="1">
      <alignment horizontal="center"/>
      <protection locked="0"/>
    </xf>
    <xf numFmtId="164" fontId="4" fillId="6" borderId="7" xfId="1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4" fillId="5" borderId="9" xfId="0" applyFont="1" applyFill="1" applyBorder="1"/>
    <xf numFmtId="1" fontId="4" fillId="6" borderId="9" xfId="1" applyNumberFormat="1" applyFont="1" applyFill="1" applyBorder="1" applyAlignment="1" applyProtection="1">
      <alignment horizontal="center" vertical="center"/>
      <protection locked="0"/>
    </xf>
    <xf numFmtId="1" fontId="4" fillId="5" borderId="9" xfId="0" applyNumberFormat="1" applyFont="1" applyFill="1" applyBorder="1" applyAlignment="1" applyProtection="1">
      <alignment horizontal="center"/>
      <protection locked="0"/>
    </xf>
    <xf numFmtId="10" fontId="4" fillId="5" borderId="9" xfId="3" applyNumberFormat="1" applyFont="1" applyFill="1" applyBorder="1" applyAlignment="1" applyProtection="1">
      <alignment horizontal="center" vertical="center"/>
      <protection locked="0"/>
    </xf>
    <xf numFmtId="10" fontId="4" fillId="3" borderId="9" xfId="3" applyNumberFormat="1" applyFont="1" applyFill="1" applyBorder="1" applyAlignment="1" applyProtection="1">
      <alignment horizontal="center" vertical="center"/>
      <protection locked="0"/>
    </xf>
    <xf numFmtId="10" fontId="4" fillId="6" borderId="9" xfId="3" applyNumberFormat="1" applyFont="1" applyFill="1" applyBorder="1" applyAlignment="1" applyProtection="1">
      <alignment horizontal="center" vertical="center"/>
      <protection locked="0"/>
    </xf>
    <xf numFmtId="49" fontId="0" fillId="0" borderId="33" xfId="0" applyNumberFormat="1" applyFont="1" applyFill="1" applyBorder="1" applyAlignment="1" applyProtection="1"/>
    <xf numFmtId="21" fontId="0" fillId="0" borderId="33" xfId="0" applyNumberFormat="1" applyBorder="1"/>
    <xf numFmtId="0" fontId="4" fillId="0" borderId="33" xfId="0" applyFont="1" applyBorder="1"/>
    <xf numFmtId="0" fontId="4" fillId="0" borderId="33" xfId="0" applyFont="1" applyBorder="1" applyAlignment="1">
      <alignment horizontal="center"/>
    </xf>
    <xf numFmtId="0" fontId="0" fillId="0" borderId="33" xfId="0" applyFill="1" applyBorder="1"/>
    <xf numFmtId="0" fontId="0" fillId="0" borderId="33" xfId="0" applyBorder="1"/>
    <xf numFmtId="0" fontId="4" fillId="5" borderId="33" xfId="0" applyFont="1" applyFill="1" applyBorder="1"/>
    <xf numFmtId="0" fontId="0" fillId="0" borderId="33" xfId="0" applyNumberFormat="1" applyFont="1" applyFill="1" applyBorder="1" applyAlignment="1" applyProtection="1"/>
    <xf numFmtId="1" fontId="4" fillId="6" borderId="33" xfId="1" applyNumberFormat="1" applyFont="1" applyFill="1" applyBorder="1" applyAlignment="1" applyProtection="1">
      <alignment horizontal="center" vertical="center"/>
      <protection locked="0"/>
    </xf>
    <xf numFmtId="2" fontId="4" fillId="5" borderId="33" xfId="0" applyNumberFormat="1" applyFont="1" applyFill="1" applyBorder="1" applyAlignment="1" applyProtection="1">
      <alignment horizontal="center"/>
      <protection locked="0"/>
    </xf>
    <xf numFmtId="10" fontId="4" fillId="5" borderId="33" xfId="3" applyNumberFormat="1" applyFont="1" applyFill="1" applyBorder="1" applyAlignment="1" applyProtection="1">
      <alignment horizontal="center" vertical="center"/>
      <protection locked="0"/>
    </xf>
    <xf numFmtId="10" fontId="4" fillId="3" borderId="33" xfId="3" applyNumberFormat="1" applyFont="1" applyFill="1" applyBorder="1" applyAlignment="1" applyProtection="1">
      <alignment horizontal="center" vertical="center"/>
      <protection locked="0"/>
    </xf>
    <xf numFmtId="10" fontId="4" fillId="6" borderId="33" xfId="3" applyNumberFormat="1" applyFont="1" applyFill="1" applyBorder="1" applyAlignment="1" applyProtection="1">
      <alignment horizontal="center" vertical="center"/>
      <protection locked="0"/>
    </xf>
    <xf numFmtId="1" fontId="4" fillId="5" borderId="33" xfId="0" applyNumberFormat="1" applyFont="1" applyFill="1" applyBorder="1" applyAlignment="1" applyProtection="1">
      <alignment horizontal="center"/>
      <protection locked="0"/>
    </xf>
    <xf numFmtId="14" fontId="0" fillId="0" borderId="33" xfId="0" applyNumberFormat="1" applyFont="1" applyFill="1" applyBorder="1" applyAlignment="1" applyProtection="1"/>
    <xf numFmtId="21" fontId="0" fillId="0" borderId="7" xfId="0" applyNumberFormat="1" applyFill="1" applyBorder="1"/>
    <xf numFmtId="0" fontId="0" fillId="0" borderId="7" xfId="0" applyFill="1" applyBorder="1"/>
    <xf numFmtId="0" fontId="4" fillId="0" borderId="7" xfId="0" applyFont="1" applyFill="1" applyBorder="1"/>
    <xf numFmtId="21" fontId="0" fillId="0" borderId="33" xfId="0" applyNumberFormat="1" applyFill="1" applyBorder="1"/>
    <xf numFmtId="0" fontId="4" fillId="0" borderId="33" xfId="0" applyFont="1" applyFill="1" applyBorder="1" applyAlignment="1">
      <alignment horizontal="center"/>
    </xf>
    <xf numFmtId="0" fontId="4" fillId="0" borderId="33" xfId="1" applyFont="1" applyFill="1" applyBorder="1" applyAlignment="1" applyProtection="1">
      <alignment horizontal="center" vertical="center"/>
      <protection locked="0"/>
    </xf>
    <xf numFmtId="0" fontId="4" fillId="0" borderId="33" xfId="0" applyFont="1" applyFill="1" applyBorder="1"/>
    <xf numFmtId="0" fontId="4" fillId="24" borderId="7" xfId="0" applyFont="1" applyFill="1" applyBorder="1"/>
    <xf numFmtId="2" fontId="4" fillId="24" borderId="7" xfId="0" applyNumberFormat="1" applyFont="1" applyFill="1" applyBorder="1" applyAlignment="1" applyProtection="1">
      <alignment horizontal="center"/>
      <protection locked="0"/>
    </xf>
    <xf numFmtId="10" fontId="4" fillId="24" borderId="7" xfId="3" applyNumberFormat="1" applyFont="1" applyFill="1" applyBorder="1" applyAlignment="1" applyProtection="1">
      <alignment horizontal="center" vertical="center"/>
      <protection locked="0"/>
    </xf>
    <xf numFmtId="10" fontId="4" fillId="24" borderId="33" xfId="3" applyNumberFormat="1" applyFont="1" applyFill="1" applyBorder="1" applyAlignment="1" applyProtection="1">
      <alignment horizontal="center" vertical="center"/>
      <protection locked="0"/>
    </xf>
    <xf numFmtId="0" fontId="4" fillId="25" borderId="7" xfId="0" applyFont="1" applyFill="1" applyBorder="1" applyAlignment="1">
      <alignment horizontal="center"/>
    </xf>
    <xf numFmtId="0" fontId="4" fillId="25" borderId="7" xfId="1" applyFont="1" applyFill="1" applyBorder="1" applyAlignment="1">
      <alignment horizontal="center" vertical="center"/>
    </xf>
    <xf numFmtId="0" fontId="4" fillId="25" borderId="33" xfId="0" applyFont="1" applyFill="1" applyBorder="1" applyAlignment="1">
      <alignment horizontal="center"/>
    </xf>
    <xf numFmtId="0" fontId="4" fillId="25" borderId="33" xfId="1" applyFont="1" applyFill="1" applyBorder="1" applyAlignment="1">
      <alignment horizontal="center" vertical="center"/>
    </xf>
    <xf numFmtId="0" fontId="7" fillId="25" borderId="7" xfId="0" applyFont="1" applyFill="1" applyBorder="1" applyAlignment="1">
      <alignment horizontal="center"/>
    </xf>
    <xf numFmtId="0" fontId="4" fillId="25" borderId="7" xfId="1" applyFont="1" applyFill="1" applyBorder="1" applyAlignment="1" applyProtection="1">
      <alignment horizontal="center" vertical="center"/>
      <protection locked="0"/>
    </xf>
    <xf numFmtId="0" fontId="4" fillId="25" borderId="33" xfId="1" applyFont="1" applyFill="1" applyBorder="1" applyAlignment="1" applyProtection="1">
      <alignment horizontal="center" vertical="center"/>
      <protection locked="0"/>
    </xf>
    <xf numFmtId="1" fontId="4" fillId="26" borderId="7" xfId="1" applyNumberFormat="1" applyFont="1" applyFill="1" applyBorder="1" applyAlignment="1" applyProtection="1">
      <alignment horizontal="center" vertical="center"/>
      <protection locked="0"/>
    </xf>
    <xf numFmtId="1" fontId="4" fillId="27" borderId="7" xfId="1" applyNumberFormat="1" applyFont="1" applyFill="1" applyBorder="1" applyAlignment="1" applyProtection="1">
      <alignment horizontal="center" vertical="center"/>
      <protection locked="0"/>
    </xf>
    <xf numFmtId="1" fontId="4" fillId="27" borderId="33" xfId="1" applyNumberFormat="1" applyFont="1" applyFill="1" applyBorder="1" applyAlignment="1" applyProtection="1">
      <alignment horizontal="center" vertical="center"/>
      <protection locked="0"/>
    </xf>
    <xf numFmtId="164" fontId="4" fillId="27" borderId="7" xfId="1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0" fontId="0" fillId="25" borderId="33" xfId="0" applyNumberFormat="1" applyFont="1" applyFill="1" applyBorder="1" applyAlignment="1" applyProtection="1"/>
    <xf numFmtId="0" fontId="4" fillId="25" borderId="33" xfId="0" applyFont="1" applyFill="1" applyBorder="1"/>
    <xf numFmtId="2" fontId="48" fillId="25" borderId="33" xfId="0" applyNumberFormat="1" applyFont="1" applyFill="1" applyBorder="1" applyAlignment="1">
      <alignment horizontal="center"/>
    </xf>
    <xf numFmtId="2" fontId="49" fillId="25" borderId="33" xfId="42" applyNumberFormat="1" applyFont="1" applyFill="1" applyBorder="1" applyAlignment="1">
      <alignment horizontal="center"/>
    </xf>
    <xf numFmtId="2" fontId="49" fillId="25" borderId="33" xfId="41" applyNumberFormat="1" applyFont="1" applyFill="1" applyBorder="1" applyAlignment="1">
      <alignment horizontal="center"/>
    </xf>
    <xf numFmtId="0" fontId="4" fillId="25" borderId="33" xfId="0" applyNumberFormat="1" applyFont="1" applyFill="1" applyBorder="1" applyAlignment="1" applyProtection="1">
      <alignment horizontal="center"/>
    </xf>
    <xf numFmtId="2" fontId="4" fillId="3" borderId="7" xfId="1" applyNumberFormat="1" applyFont="1" applyFill="1" applyBorder="1" applyAlignment="1">
      <alignment horizontal="center" vertical="center"/>
    </xf>
    <xf numFmtId="2" fontId="4" fillId="25" borderId="7" xfId="1" applyNumberFormat="1" applyFont="1" applyFill="1" applyBorder="1" applyAlignment="1">
      <alignment horizontal="center" vertical="center"/>
    </xf>
    <xf numFmtId="2" fontId="4" fillId="3" borderId="7" xfId="1" applyNumberFormat="1" applyFont="1" applyFill="1" applyBorder="1" applyAlignment="1" applyProtection="1">
      <alignment horizontal="center" vertical="center"/>
      <protection locked="0"/>
    </xf>
    <xf numFmtId="2" fontId="4" fillId="25" borderId="33" xfId="1" applyNumberFormat="1" applyFont="1" applyFill="1" applyBorder="1" applyAlignment="1">
      <alignment horizontal="center" vertical="center"/>
    </xf>
    <xf numFmtId="2" fontId="0" fillId="25" borderId="33" xfId="0" applyNumberFormat="1" applyFill="1" applyBorder="1"/>
    <xf numFmtId="2" fontId="0" fillId="0" borderId="33" xfId="0" applyNumberFormat="1" applyBorder="1"/>
    <xf numFmtId="2" fontId="0" fillId="0" borderId="0" xfId="0" applyNumberFormat="1"/>
    <xf numFmtId="0" fontId="4" fillId="25" borderId="33" xfId="0" applyNumberFormat="1" applyFont="1" applyFill="1" applyBorder="1" applyAlignment="1" applyProtection="1"/>
    <xf numFmtId="0" fontId="6" fillId="0" borderId="24" xfId="0" applyFont="1" applyFill="1" applyBorder="1" applyAlignment="1">
      <alignment horizontal="center"/>
    </xf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</cellXfs>
  <cellStyles count="77">
    <cellStyle name="40% - Accent3 2" xfId="18"/>
    <cellStyle name="40% - Accent3 2 2" xfId="23"/>
    <cellStyle name="40% - Accent3 2 2 2" xfId="27"/>
    <cellStyle name="40% - Accent3 2 2 2 2" xfId="36"/>
    <cellStyle name="40% - Accent3 2 2 2_Preselection Sava bridge (2)" xfId="69"/>
    <cellStyle name="40% - Accent3 2 2 3" xfId="32"/>
    <cellStyle name="40% - Accent3 2 2 4" xfId="40"/>
    <cellStyle name="40% - Accent3 2 2 5" xfId="54"/>
    <cellStyle name="40% - Accent3 2 2 6" xfId="63"/>
    <cellStyle name="40% - Accent3 2 2_Preselection Sava bridge (2)" xfId="68"/>
    <cellStyle name="40% - Accent3 2 3" xfId="24"/>
    <cellStyle name="40% - Accent3 2 3 2" xfId="33"/>
    <cellStyle name="40% - Accent3 2 3_Preselection Sava bridge (2)" xfId="70"/>
    <cellStyle name="40% - Accent3 2 4" xfId="29"/>
    <cellStyle name="40% - Accent3 2 5" xfId="37"/>
    <cellStyle name="40% - Accent3 2 6" xfId="50"/>
    <cellStyle name="40% - Accent3 2 7" xfId="62"/>
    <cellStyle name="40% - Accent3 2_Preselection Sava bridge (2)" xfId="67"/>
    <cellStyle name="40% - Accent3 3" xfId="22"/>
    <cellStyle name="40% - Accent3 3 2" xfId="26"/>
    <cellStyle name="40% - Accent3 3 2 2" xfId="35"/>
    <cellStyle name="40% - Accent3 3 2_Preselection Sava bridge (2)" xfId="72"/>
    <cellStyle name="40% - Accent3 3 3" xfId="31"/>
    <cellStyle name="40% - Accent3 3 4" xfId="39"/>
    <cellStyle name="40% - Accent3 3 5" xfId="55"/>
    <cellStyle name="40% - Accent3 3 6" xfId="64"/>
    <cellStyle name="40% - Accent3 3_Preselection Sava bridge (2)" xfId="71"/>
    <cellStyle name="40% - Accent3 4" xfId="21"/>
    <cellStyle name="40% - Accent3 4 2" xfId="25"/>
    <cellStyle name="40% - Accent3 4 2 2" xfId="34"/>
    <cellStyle name="40% - Accent3 4 2_Preselection Sava bridge (2)" xfId="74"/>
    <cellStyle name="40% - Accent3 4 3" xfId="30"/>
    <cellStyle name="40% - Accent3 4 4" xfId="38"/>
    <cellStyle name="40% - Accent3 4 5" xfId="56"/>
    <cellStyle name="40% - Accent3 4 6" xfId="65"/>
    <cellStyle name="40% - Accent3 4_Preselection Sava bridge (2)" xfId="73"/>
    <cellStyle name="40% - Accent3 5" xfId="28"/>
    <cellStyle name="40% - Accent5 2" xfId="20"/>
    <cellStyle name="60% - Accent1 2" xfId="19"/>
    <cellStyle name="60% - Accent2 2" xfId="10"/>
    <cellStyle name="60% - Accent3 2" xfId="49"/>
    <cellStyle name="60% - Accent3 3" xfId="17"/>
    <cellStyle name="60% - Accent4 2" xfId="48"/>
    <cellStyle name="60% - Accent4 3" xfId="12"/>
    <cellStyle name="60% - Accent5 2" xfId="13"/>
    <cellStyle name="Accent1 2" xfId="46"/>
    <cellStyle name="Accent1 3" xfId="8"/>
    <cellStyle name="Accent2 2" xfId="52"/>
    <cellStyle name="Accent2 3" xfId="9"/>
    <cellStyle name="Accent4 2" xfId="47"/>
    <cellStyle name="Accent4 3" xfId="11"/>
    <cellStyle name="Accent6 2" xfId="14"/>
    <cellStyle name="Bad 2" xfId="16"/>
    <cellStyle name="Good 2" xfId="57"/>
    <cellStyle name="Good 3" xfId="45"/>
    <cellStyle name="Good 4" xfId="6"/>
    <cellStyle name="Input 2" xfId="44"/>
    <cellStyle name="Input 3" xfId="7"/>
    <cellStyle name="Neutral 2" xfId="51"/>
    <cellStyle name="Neutral 3" xfId="15"/>
    <cellStyle name="Normal" xfId="0" builtinId="0"/>
    <cellStyle name="Normal 2" xfId="58"/>
    <cellStyle name="Normal 2 2" xfId="59"/>
    <cellStyle name="Normal 2_Preselection Sava bridge (2)" xfId="75"/>
    <cellStyle name="Normal 3" xfId="42"/>
    <cellStyle name="Normal 4" xfId="60"/>
    <cellStyle name="Normal 4 2" xfId="66"/>
    <cellStyle name="Normal 4_Preselection Sava bridge (2)" xfId="76"/>
    <cellStyle name="Normal 5" xfId="43"/>
    <cellStyle name="Normal 6" xfId="4"/>
    <cellStyle name="Normal 7" xfId="41"/>
    <cellStyle name="Normal_Feuil1" xfId="1"/>
    <cellStyle name="Normal_millau_cost323_pltrafic" xfId="2"/>
    <cellStyle name="Percent" xfId="3" builtinId="5"/>
    <cellStyle name="Percent 2" xfId="61"/>
    <cellStyle name="Percent 3" xfId="53"/>
    <cellStyle name="Percent 4" xf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69FF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CCFFCC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87534626038585E-2"/>
          <c:y val="8.3636363636363911E-2"/>
          <c:w val="0.87811634349030476"/>
          <c:h val="0.69090909090909203"/>
        </c:manualLayout>
      </c:layout>
      <c:barChart>
        <c:barDir val="col"/>
        <c:grouping val="clustered"/>
        <c:varyColors val="0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Accuracy_trafic!$I$9:$I$12</c:f>
              <c:numCache>
                <c:formatCode>0.0</c:formatCode>
                <c:ptCount val="4"/>
                <c:pt idx="0">
                  <c:v>6.8224275966430241</c:v>
                </c:pt>
                <c:pt idx="1">
                  <c:v>6.6115340505282223</c:v>
                </c:pt>
                <c:pt idx="2">
                  <c:v>12.844054451656961</c:v>
                </c:pt>
                <c:pt idx="3">
                  <c:v>15.485268787940395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4-4BDA-9288-31FE50881478}"/>
            </c:ext>
          </c:extLst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Accuracy_trafic!$J$9:$J$12</c:f>
              <c:numCache>
                <c:formatCode>0.0</c:formatCode>
                <c:ptCount val="4"/>
                <c:pt idx="0">
                  <c:v>6.8224275966430241</c:v>
                </c:pt>
                <c:pt idx="1">
                  <c:v>4.6280738353697553</c:v>
                </c:pt>
                <c:pt idx="2">
                  <c:v>8.3978750986181794</c:v>
                </c:pt>
                <c:pt idx="3">
                  <c:v>7.7426343939701976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94-4BDA-9288-31FE50881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480064"/>
        <c:axId val="159490816"/>
      </c:barChart>
      <c:catAx>
        <c:axId val="159480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90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9490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63E-3"/>
              <c:y val="0.389090909090909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80064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4"/>
          <c:h val="0.178181818181818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045" footer="0.49212598450000045"/>
    <c:pageSetup paperSize="9" orientation="landscape" horizontalDpi="300" verticalDpi="30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313517408491199E-2"/>
          <c:y val="7.2727272727272724E-2"/>
          <c:w val="0.87656092650244788"/>
          <c:h val="0.69454545454545569"/>
        </c:manualLayout>
      </c:layout>
      <c:barChart>
        <c:barDir val="col"/>
        <c:grouping val="clustered"/>
        <c:varyColors val="0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Accuracy_calibration!$I$9:$I$12</c:f>
              <c:numCache>
                <c:formatCode>0.0</c:formatCode>
                <c:ptCount val="4"/>
                <c:pt idx="0">
                  <c:v>13.001896482635313</c:v>
                </c:pt>
                <c:pt idx="1">
                  <c:v>16.798173752804345</c:v>
                </c:pt>
                <c:pt idx="2">
                  <c:v>22.461177711460753</c:v>
                </c:pt>
                <c:pt idx="3">
                  <c:v>25.007043637314126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F-4C2B-92F4-90C105D220BD}"/>
            </c:ext>
          </c:extLst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Accuracy_calibration!$J$9:$J$12</c:f>
              <c:numCache>
                <c:formatCode>0.0</c:formatCode>
                <c:ptCount val="4"/>
                <c:pt idx="0">
                  <c:v>13.001896482635313</c:v>
                </c:pt>
                <c:pt idx="1">
                  <c:v>13.798173752804345</c:v>
                </c:pt>
                <c:pt idx="2">
                  <c:v>17.461177711460753</c:v>
                </c:pt>
                <c:pt idx="3">
                  <c:v>15.007043637314126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7F-4C2B-92F4-90C105D22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729152"/>
        <c:axId val="159731072"/>
      </c:barChart>
      <c:catAx>
        <c:axId val="15972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8266329497286747"/>
              <c:y val="0.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731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9731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348174565067077E-3"/>
              <c:y val="0.37818181818181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729152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205278723451812"/>
          <c:y val="0.10181818181818182"/>
          <c:w val="0.12343975072581963"/>
          <c:h val="0.178181818181818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045" footer="0.49212598450000045"/>
    <c:pageSetup paperSize="9" orientation="landscape" horizontalDpi="300" verticalDpi="300" copies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AY179"/>
  <sheetViews>
    <sheetView tabSelected="1" topLeftCell="P4" workbookViewId="0">
      <selection activeCell="AT15" sqref="AT15"/>
    </sheetView>
  </sheetViews>
  <sheetFormatPr defaultColWidth="11.5546875" defaultRowHeight="10.199999999999999"/>
  <cols>
    <col min="1" max="1" width="9.88671875" style="1" customWidth="1"/>
    <col min="2" max="2" width="12" style="2" customWidth="1"/>
    <col min="3" max="3" width="13.88671875" style="2" customWidth="1"/>
    <col min="4" max="4" width="7.109375" style="2" customWidth="1"/>
    <col min="5" max="5" width="4.109375" style="2" customWidth="1"/>
    <col min="6" max="6" width="3.109375" style="2" customWidth="1"/>
    <col min="7" max="7" width="4" style="1" bestFit="1" customWidth="1"/>
    <col min="8" max="8" width="4.88671875" style="1" bestFit="1" customWidth="1"/>
    <col min="9" max="9" width="9.6640625" style="1" customWidth="1"/>
    <col min="10" max="10" width="4.109375" style="1" bestFit="1" customWidth="1"/>
    <col min="11" max="12" width="2.5546875" style="1" customWidth="1"/>
    <col min="13" max="14" width="3" style="1" customWidth="1"/>
    <col min="15" max="15" width="3.6640625" style="1" customWidth="1"/>
    <col min="16" max="16" width="3.44140625" style="1" customWidth="1"/>
    <col min="17" max="17" width="4.44140625" style="1" customWidth="1"/>
    <col min="18" max="18" width="5.33203125" style="1" customWidth="1"/>
    <col min="19" max="19" width="6.109375" style="1" bestFit="1" customWidth="1"/>
    <col min="20" max="20" width="5" style="1" customWidth="1"/>
    <col min="21" max="21" width="5.109375" style="1" customWidth="1"/>
    <col min="22" max="22" width="4.44140625" style="1" customWidth="1"/>
    <col min="23" max="23" width="4.6640625" style="1" customWidth="1"/>
    <col min="24" max="24" width="4.44140625" style="1" customWidth="1"/>
    <col min="25" max="25" width="5.6640625" style="1" customWidth="1"/>
    <col min="26" max="26" width="6" style="1" customWidth="1"/>
    <col min="27" max="27" width="5.6640625" style="1" customWidth="1"/>
    <col min="28" max="28" width="4.6640625" style="1" customWidth="1"/>
    <col min="29" max="29" width="5.44140625" style="1" customWidth="1"/>
    <col min="30" max="30" width="5.77734375" style="1" customWidth="1"/>
    <col min="31" max="31" width="6" style="1" customWidth="1"/>
    <col min="32" max="33" width="4.6640625" style="1" customWidth="1"/>
    <col min="34" max="35" width="6.109375" style="1" customWidth="1"/>
    <col min="36" max="36" width="8.109375" style="1" customWidth="1"/>
    <col min="37" max="37" width="7.6640625" style="1" customWidth="1"/>
    <col min="38" max="39" width="8.109375" style="1" customWidth="1"/>
    <col min="40" max="40" width="7.33203125" style="1" customWidth="1"/>
    <col min="41" max="41" width="7.109375" style="1" bestFit="1" customWidth="1"/>
    <col min="42" max="42" width="6.6640625" style="2" customWidth="1"/>
    <col min="43" max="43" width="8.5546875" style="2" customWidth="1"/>
    <col min="44" max="44" width="8" style="2" customWidth="1"/>
    <col min="45" max="16384" width="11.5546875" style="2"/>
  </cols>
  <sheetData>
    <row r="2" spans="1:51" ht="13.8">
      <c r="R2" s="3"/>
    </row>
    <row r="3" spans="1:51">
      <c r="B3" s="4" t="s">
        <v>0</v>
      </c>
      <c r="C3" s="5"/>
      <c r="D3" s="6"/>
      <c r="E3" s="7" t="s">
        <v>110</v>
      </c>
      <c r="F3" s="7"/>
      <c r="R3" s="8"/>
      <c r="W3" s="9"/>
      <c r="AG3" s="31" t="s">
        <v>1</v>
      </c>
      <c r="AH3" s="31"/>
      <c r="AI3" s="31"/>
      <c r="AJ3" s="31"/>
      <c r="AK3" s="31"/>
      <c r="AL3" s="31"/>
      <c r="AM3" s="3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12.75" customHeight="1">
      <c r="B4" s="4" t="s">
        <v>2</v>
      </c>
      <c r="C4" s="5"/>
      <c r="D4" s="6"/>
      <c r="E4" s="7" t="s">
        <v>111</v>
      </c>
      <c r="F4" s="7"/>
      <c r="AG4" s="32" t="s">
        <v>3</v>
      </c>
      <c r="AH4" s="32"/>
      <c r="AI4" s="32"/>
      <c r="AJ4" s="30" t="s">
        <v>4</v>
      </c>
      <c r="AK4" s="30" t="s">
        <v>5</v>
      </c>
      <c r="AL4" s="30" t="s">
        <v>6</v>
      </c>
      <c r="AM4" s="30" t="s">
        <v>7</v>
      </c>
      <c r="AP4" s="1"/>
      <c r="AQ4" s="1"/>
      <c r="AR4" s="1"/>
      <c r="AS4" s="199" t="s">
        <v>119</v>
      </c>
      <c r="AT4" s="1"/>
      <c r="AU4" s="1"/>
      <c r="AV4" s="1"/>
      <c r="AW4" s="1"/>
      <c r="AX4" s="1"/>
      <c r="AY4" s="1"/>
    </row>
    <row r="5" spans="1:51" ht="12.75" customHeight="1">
      <c r="B5" s="4" t="s">
        <v>8</v>
      </c>
      <c r="C5" s="5"/>
      <c r="D5" s="6"/>
      <c r="E5" s="7" t="s">
        <v>103</v>
      </c>
      <c r="F5" s="7"/>
      <c r="AG5" s="31" t="s">
        <v>9</v>
      </c>
      <c r="AH5" s="31"/>
      <c r="AI5" s="31"/>
      <c r="AJ5" s="30">
        <f>COUNT(AJ12:AJ65536)</f>
        <v>57</v>
      </c>
      <c r="AK5" s="30">
        <f>COUNT(AK12:AL65536)</f>
        <v>111</v>
      </c>
      <c r="AL5" s="30">
        <f>COUNT(AM12:AP65536)</f>
        <v>139</v>
      </c>
      <c r="AM5" s="30">
        <f>COUNT(AQ12:AR65536)</f>
        <v>51</v>
      </c>
      <c r="AP5" s="1"/>
      <c r="AQ5" s="1"/>
      <c r="AR5" s="1"/>
      <c r="AS5" s="199" t="s">
        <v>120</v>
      </c>
      <c r="AT5" s="1"/>
      <c r="AU5" s="1"/>
      <c r="AV5" s="1"/>
      <c r="AW5" s="1"/>
      <c r="AX5" s="1"/>
      <c r="AY5" s="1"/>
    </row>
    <row r="6" spans="1:51" ht="12.75" customHeight="1">
      <c r="B6" s="4" t="s">
        <v>10</v>
      </c>
      <c r="C6" s="5"/>
      <c r="D6" s="6"/>
      <c r="E6" s="7">
        <f>COUNT(R12:R50)</f>
        <v>39</v>
      </c>
      <c r="F6" s="7"/>
      <c r="AG6" s="33" t="s">
        <v>11</v>
      </c>
      <c r="AH6" s="33"/>
      <c r="AI6" s="33"/>
      <c r="AJ6" s="34">
        <f>AVERAGE(AJ12:AJ65536)</f>
        <v>2.3286783975834138E-2</v>
      </c>
      <c r="AK6" s="35">
        <f>AVERAGE(AK12:AL65536)</f>
        <v>3.0234097216185106E-2</v>
      </c>
      <c r="AL6" s="35">
        <f>AVERAGE(AM12:AP65536)</f>
        <v>1.8113840436361175E-2</v>
      </c>
      <c r="AM6" s="35">
        <f>AVERAGE(AQ12:AR65536)</f>
        <v>1.379527401539188E-2</v>
      </c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ht="12.75" customHeight="1">
      <c r="B7" s="4"/>
      <c r="C7" s="5"/>
      <c r="D7" s="5"/>
      <c r="E7" s="10"/>
      <c r="F7" s="10"/>
      <c r="AG7" s="33" t="s">
        <v>12</v>
      </c>
      <c r="AH7" s="33"/>
      <c r="AI7" s="33"/>
      <c r="AJ7" s="34">
        <f>STDEV(AJ12:AJ65536)</f>
        <v>2.6765162709651322E-2</v>
      </c>
      <c r="AK7" s="35">
        <f>STDEV(AK12:AL65536)</f>
        <v>5.7177456798367797E-2</v>
      </c>
      <c r="AL7" s="35">
        <f>STDEV(AM12:AP65536)</f>
        <v>7.4930318805011109E-2</v>
      </c>
      <c r="AM7" s="35">
        <f>STDEV(AQ12:AR65536)</f>
        <v>3.0023756801428391E-2</v>
      </c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ht="12.75" customHeight="1">
      <c r="B8" s="4"/>
      <c r="C8" s="5"/>
      <c r="D8" s="5"/>
      <c r="E8" s="10"/>
      <c r="F8" s="10"/>
      <c r="AG8" s="11"/>
      <c r="AH8" s="11"/>
      <c r="AI8" s="11"/>
      <c r="AJ8" s="12"/>
      <c r="AK8" s="13"/>
      <c r="AL8" s="13"/>
      <c r="AM8" s="12"/>
      <c r="AP8" s="1"/>
      <c r="AQ8" s="1"/>
      <c r="AR8" s="1"/>
      <c r="AS8" s="67"/>
      <c r="AT8" s="67"/>
      <c r="AU8" s="67"/>
      <c r="AV8" s="1"/>
      <c r="AW8" s="1"/>
      <c r="AX8" s="1"/>
      <c r="AY8" s="1"/>
    </row>
    <row r="9" spans="1:51" ht="12.75" customHeight="1">
      <c r="B9" s="1"/>
      <c r="C9" s="1"/>
      <c r="D9" s="1"/>
      <c r="E9" s="1"/>
      <c r="F9" s="1"/>
      <c r="AS9" s="37"/>
      <c r="AT9" s="37"/>
      <c r="AU9" s="37"/>
    </row>
    <row r="10" spans="1:51" ht="12.75" customHeight="1">
      <c r="A10" s="14" t="s">
        <v>13</v>
      </c>
      <c r="B10" s="15" t="s">
        <v>14</v>
      </c>
      <c r="C10" s="15" t="s">
        <v>15</v>
      </c>
      <c r="D10" s="16" t="s">
        <v>15</v>
      </c>
      <c r="E10" s="16" t="s">
        <v>16</v>
      </c>
      <c r="F10" s="16" t="s">
        <v>17</v>
      </c>
      <c r="G10" s="16" t="s">
        <v>18</v>
      </c>
      <c r="H10" s="16" t="s">
        <v>19</v>
      </c>
      <c r="I10" s="219" t="s">
        <v>20</v>
      </c>
      <c r="J10" s="220"/>
      <c r="K10" s="221" t="s">
        <v>21</v>
      </c>
      <c r="L10" s="222"/>
      <c r="M10" s="222"/>
      <c r="N10" s="222"/>
      <c r="O10" s="222"/>
      <c r="P10" s="222"/>
      <c r="Q10" s="223"/>
      <c r="R10" s="214" t="s">
        <v>43</v>
      </c>
      <c r="S10" s="215"/>
      <c r="T10" s="215"/>
      <c r="U10" s="215"/>
      <c r="V10" s="215"/>
      <c r="W10" s="215"/>
      <c r="X10" s="215"/>
      <c r="Y10" s="215"/>
      <c r="Z10" s="216"/>
      <c r="AA10" s="214" t="s">
        <v>42</v>
      </c>
      <c r="AB10" s="215"/>
      <c r="AC10" s="215"/>
      <c r="AD10" s="215"/>
      <c r="AE10" s="215"/>
      <c r="AF10" s="215"/>
      <c r="AG10" s="215"/>
      <c r="AH10" s="215"/>
      <c r="AI10" s="216"/>
      <c r="AJ10" s="214" t="s">
        <v>22</v>
      </c>
      <c r="AK10" s="215"/>
      <c r="AL10" s="215"/>
      <c r="AM10" s="215"/>
      <c r="AN10" s="215"/>
      <c r="AO10" s="215"/>
      <c r="AP10" s="215"/>
      <c r="AQ10" s="215"/>
      <c r="AR10" s="216"/>
      <c r="AS10" s="217"/>
      <c r="AT10" s="217"/>
      <c r="AU10" s="37"/>
    </row>
    <row r="11" spans="1:51" ht="12.75" customHeight="1">
      <c r="A11" s="49" t="s">
        <v>23</v>
      </c>
      <c r="B11" s="50" t="s">
        <v>24</v>
      </c>
      <c r="C11" s="50" t="s">
        <v>106</v>
      </c>
      <c r="D11" s="50" t="s">
        <v>110</v>
      </c>
      <c r="E11" s="50"/>
      <c r="F11" s="50"/>
      <c r="G11" s="50"/>
      <c r="H11" s="50"/>
      <c r="I11" s="50" t="s">
        <v>25</v>
      </c>
      <c r="J11" s="51" t="s">
        <v>26</v>
      </c>
      <c r="K11" s="52" t="s">
        <v>27</v>
      </c>
      <c r="L11" s="15" t="s">
        <v>28</v>
      </c>
      <c r="M11" s="15" t="s">
        <v>29</v>
      </c>
      <c r="N11" s="15" t="s">
        <v>30</v>
      </c>
      <c r="O11" s="15" t="s">
        <v>31</v>
      </c>
      <c r="P11" s="15" t="s">
        <v>32</v>
      </c>
      <c r="Q11" s="53" t="s">
        <v>33</v>
      </c>
      <c r="R11" s="52" t="s">
        <v>4</v>
      </c>
      <c r="S11" s="15" t="s">
        <v>34</v>
      </c>
      <c r="T11" s="15" t="s">
        <v>35</v>
      </c>
      <c r="U11" s="15" t="s">
        <v>36</v>
      </c>
      <c r="V11" s="15" t="s">
        <v>37</v>
      </c>
      <c r="W11" s="15" t="s">
        <v>38</v>
      </c>
      <c r="X11" s="15" t="s">
        <v>39</v>
      </c>
      <c r="Y11" s="16" t="s">
        <v>40</v>
      </c>
      <c r="Z11" s="53" t="s">
        <v>41</v>
      </c>
      <c r="AA11" s="52" t="s">
        <v>4</v>
      </c>
      <c r="AB11" s="15" t="s">
        <v>34</v>
      </c>
      <c r="AC11" s="15" t="s">
        <v>35</v>
      </c>
      <c r="AD11" s="15" t="s">
        <v>36</v>
      </c>
      <c r="AE11" s="15" t="s">
        <v>37</v>
      </c>
      <c r="AF11" s="15" t="s">
        <v>38</v>
      </c>
      <c r="AG11" s="15" t="s">
        <v>39</v>
      </c>
      <c r="AH11" s="16" t="s">
        <v>40</v>
      </c>
      <c r="AI11" s="53" t="s">
        <v>41</v>
      </c>
      <c r="AJ11" s="52" t="s">
        <v>4</v>
      </c>
      <c r="AK11" s="15" t="s">
        <v>34</v>
      </c>
      <c r="AL11" s="15" t="s">
        <v>35</v>
      </c>
      <c r="AM11" s="15" t="s">
        <v>36</v>
      </c>
      <c r="AN11" s="15" t="s">
        <v>37</v>
      </c>
      <c r="AO11" s="15" t="s">
        <v>38</v>
      </c>
      <c r="AP11" s="15" t="s">
        <v>39</v>
      </c>
      <c r="AQ11" s="16" t="s">
        <v>40</v>
      </c>
      <c r="AR11" s="53" t="s">
        <v>41</v>
      </c>
      <c r="AS11" s="218"/>
      <c r="AT11" s="218"/>
      <c r="AU11" s="37"/>
    </row>
    <row r="12" spans="1:51" s="17" customFormat="1" ht="13.2">
      <c r="A12" s="144">
        <v>42656</v>
      </c>
      <c r="B12" s="145"/>
      <c r="C12" s="146">
        <v>0.41059027777777773</v>
      </c>
      <c r="D12" s="22"/>
      <c r="E12" s="28"/>
      <c r="F12" s="22"/>
      <c r="G12" s="22"/>
      <c r="H12" s="77"/>
      <c r="I12" s="145"/>
      <c r="J12" s="39"/>
      <c r="K12" s="77">
        <v>0</v>
      </c>
      <c r="L12" s="77">
        <v>0</v>
      </c>
      <c r="M12" s="77">
        <v>1</v>
      </c>
      <c r="N12" s="77">
        <v>1</v>
      </c>
      <c r="O12" s="77">
        <v>1</v>
      </c>
      <c r="P12" s="148"/>
      <c r="Q12" s="29"/>
      <c r="R12" s="82">
        <f>SUM(S12:X12)</f>
        <v>20.400000000000002</v>
      </c>
      <c r="S12" s="28">
        <v>6.2</v>
      </c>
      <c r="T12" s="28">
        <v>5.0999999999999996</v>
      </c>
      <c r="U12" s="28">
        <v>2.9</v>
      </c>
      <c r="V12" s="28">
        <v>2.9</v>
      </c>
      <c r="W12" s="28">
        <v>3.3</v>
      </c>
      <c r="X12" s="23"/>
      <c r="Y12" s="41">
        <f>SUM(U12:W12)</f>
        <v>9.1</v>
      </c>
      <c r="Z12" s="41"/>
      <c r="AA12" s="153">
        <f>SUM(AB12:AG12)</f>
        <v>20.91</v>
      </c>
      <c r="AB12" s="203">
        <v>6.31</v>
      </c>
      <c r="AC12" s="203">
        <v>5.33</v>
      </c>
      <c r="AD12" s="204">
        <v>3.09</v>
      </c>
      <c r="AE12" s="204">
        <v>3.09</v>
      </c>
      <c r="AF12" s="204">
        <v>3.09</v>
      </c>
      <c r="AG12" s="206"/>
      <c r="AH12" s="154">
        <f>SUM(AD12:AF12)</f>
        <v>9.27</v>
      </c>
      <c r="AI12" s="41"/>
      <c r="AJ12" s="42">
        <f>IF(R12&gt;0,(AA12-R12)/R12,"")</f>
        <v>2.4999999999999901E-2</v>
      </c>
      <c r="AK12" s="42">
        <f t="shared" ref="AK12:AR27" si="0">IF(S12&gt;0,(AB12-S12)/S12,"")</f>
        <v>1.7741935483870874E-2</v>
      </c>
      <c r="AL12" s="42">
        <f t="shared" si="0"/>
        <v>4.5098039215686364E-2</v>
      </c>
      <c r="AM12" s="42">
        <f t="shared" si="0"/>
        <v>6.5517241379310323E-2</v>
      </c>
      <c r="AN12" s="42">
        <f t="shared" si="0"/>
        <v>6.5517241379310323E-2</v>
      </c>
      <c r="AO12" s="42">
        <f t="shared" si="0"/>
        <v>-6.363636363636363E-2</v>
      </c>
      <c r="AP12" s="42" t="str">
        <f t="shared" si="0"/>
        <v/>
      </c>
      <c r="AQ12" s="42">
        <f>IF(Y12&gt;0,(AH12-Y12)/Y12,"")</f>
        <v>1.8681318681318674E-2</v>
      </c>
      <c r="AR12" s="42" t="str">
        <f t="shared" si="0"/>
        <v/>
      </c>
      <c r="AS12" s="5"/>
      <c r="AT12" s="5"/>
      <c r="AU12" s="5"/>
    </row>
    <row r="13" spans="1:51" s="17" customFormat="1" ht="13.2">
      <c r="A13" s="144">
        <v>42656</v>
      </c>
      <c r="B13" s="145"/>
      <c r="C13" s="146">
        <v>0.41144675925925928</v>
      </c>
      <c r="D13" s="22"/>
      <c r="E13" s="28"/>
      <c r="F13" s="22"/>
      <c r="G13" s="22"/>
      <c r="H13" s="77"/>
      <c r="I13" s="145"/>
      <c r="J13" s="39"/>
      <c r="K13" s="77">
        <v>0</v>
      </c>
      <c r="L13" s="77">
        <v>0</v>
      </c>
      <c r="M13" s="77">
        <v>1</v>
      </c>
      <c r="N13" s="77">
        <v>1</v>
      </c>
      <c r="O13" s="77">
        <v>1</v>
      </c>
      <c r="P13" s="148"/>
      <c r="Q13" s="29"/>
      <c r="R13" s="82">
        <f t="shared" ref="R13:R68" si="1">SUM(S13:X13)</f>
        <v>24.7</v>
      </c>
      <c r="S13" s="28">
        <v>6.9</v>
      </c>
      <c r="T13" s="28">
        <v>6.5</v>
      </c>
      <c r="U13" s="28">
        <v>3.8</v>
      </c>
      <c r="V13" s="28">
        <v>3.8</v>
      </c>
      <c r="W13" s="28">
        <v>3.7</v>
      </c>
      <c r="X13" s="23"/>
      <c r="Y13" s="41">
        <f t="shared" ref="Y13:Y68" si="2">SUM(U13:W13)</f>
        <v>11.3</v>
      </c>
      <c r="Z13" s="41"/>
      <c r="AA13" s="153">
        <f t="shared" ref="AA13:AA68" si="3">SUM(AB13:AG13)</f>
        <v>25.369999999999997</v>
      </c>
      <c r="AB13" s="204">
        <v>7.27</v>
      </c>
      <c r="AC13" s="204">
        <v>6.58</v>
      </c>
      <c r="AD13" s="204">
        <v>3.84</v>
      </c>
      <c r="AE13" s="204">
        <v>3.84</v>
      </c>
      <c r="AF13" s="204">
        <v>3.84</v>
      </c>
      <c r="AG13" s="206"/>
      <c r="AH13" s="154">
        <f t="shared" ref="AH13:AH68" si="4">SUM(AD13:AF13)</f>
        <v>11.52</v>
      </c>
      <c r="AI13" s="41"/>
      <c r="AJ13" s="42">
        <f t="shared" ref="AJ13:AO68" si="5">IF(R13&gt;0,(AA13-R13)/R13,"")</f>
        <v>2.7125506072874419E-2</v>
      </c>
      <c r="AK13" s="42">
        <f t="shared" si="0"/>
        <v>5.3623188405796988E-2</v>
      </c>
      <c r="AL13" s="42">
        <f t="shared" si="0"/>
        <v>1.2307692307692318E-2</v>
      </c>
      <c r="AM13" s="42">
        <f t="shared" si="0"/>
        <v>1.0526315789473694E-2</v>
      </c>
      <c r="AN13" s="42">
        <f t="shared" si="0"/>
        <v>1.0526315789473694E-2</v>
      </c>
      <c r="AO13" s="42">
        <f t="shared" si="0"/>
        <v>3.783783783783775E-2</v>
      </c>
      <c r="AP13" s="42" t="str">
        <f t="shared" si="0"/>
        <v/>
      </c>
      <c r="AQ13" s="42">
        <f t="shared" ref="AQ13:AQ68" si="6">IF(Y13&gt;0,(AH13-Y13)/Y13,"")</f>
        <v>1.9469026548672465E-2</v>
      </c>
      <c r="AR13" s="42" t="str">
        <f t="shared" si="0"/>
        <v/>
      </c>
      <c r="AS13" s="5"/>
      <c r="AT13" s="5"/>
      <c r="AU13" s="5"/>
    </row>
    <row r="14" spans="1:51" s="17" customFormat="1" ht="13.2">
      <c r="A14" s="144">
        <v>42656</v>
      </c>
      <c r="B14" s="145"/>
      <c r="C14" s="146">
        <v>0.41379629629629627</v>
      </c>
      <c r="D14" s="22"/>
      <c r="E14" s="28"/>
      <c r="F14" s="22"/>
      <c r="G14" s="22"/>
      <c r="H14" s="77"/>
      <c r="I14" s="145"/>
      <c r="J14" s="39"/>
      <c r="K14" s="77">
        <v>0</v>
      </c>
      <c r="L14" s="77">
        <v>0</v>
      </c>
      <c r="M14" s="77">
        <v>1</v>
      </c>
      <c r="N14" s="77">
        <v>1</v>
      </c>
      <c r="O14" s="77">
        <v>1</v>
      </c>
      <c r="P14" s="148"/>
      <c r="Q14" s="29"/>
      <c r="R14" s="82">
        <f t="shared" si="1"/>
        <v>40.199999999999996</v>
      </c>
      <c r="S14" s="28">
        <v>6.1</v>
      </c>
      <c r="T14" s="28">
        <v>10.6</v>
      </c>
      <c r="U14" s="28">
        <v>7.7</v>
      </c>
      <c r="V14" s="28">
        <v>7.8</v>
      </c>
      <c r="W14" s="28">
        <v>8</v>
      </c>
      <c r="X14" s="23"/>
      <c r="Y14" s="41">
        <f t="shared" si="2"/>
        <v>23.5</v>
      </c>
      <c r="Z14" s="41"/>
      <c r="AA14" s="153">
        <f t="shared" si="3"/>
        <v>41.5</v>
      </c>
      <c r="AB14" s="204">
        <v>7.2</v>
      </c>
      <c r="AC14" s="204">
        <v>11.32</v>
      </c>
      <c r="AD14" s="204">
        <v>7.66</v>
      </c>
      <c r="AE14" s="204">
        <v>7.66</v>
      </c>
      <c r="AF14" s="204">
        <v>7.66</v>
      </c>
      <c r="AG14" s="206"/>
      <c r="AH14" s="154">
        <f t="shared" si="4"/>
        <v>22.98</v>
      </c>
      <c r="AI14" s="41"/>
      <c r="AJ14" s="42">
        <f t="shared" si="5"/>
        <v>3.2338308457711552E-2</v>
      </c>
      <c r="AK14" s="42">
        <f t="shared" si="0"/>
        <v>0.18032786885245911</v>
      </c>
      <c r="AL14" s="42">
        <f t="shared" si="0"/>
        <v>6.7924528301886861E-2</v>
      </c>
      <c r="AM14" s="42">
        <f t="shared" si="0"/>
        <v>-5.1948051948051991E-3</v>
      </c>
      <c r="AN14" s="42">
        <f t="shared" si="0"/>
        <v>-1.7948717948717909E-2</v>
      </c>
      <c r="AO14" s="42">
        <f t="shared" si="0"/>
        <v>-4.2499999999999982E-2</v>
      </c>
      <c r="AP14" s="42" t="str">
        <f t="shared" si="0"/>
        <v/>
      </c>
      <c r="AQ14" s="42">
        <f t="shared" si="6"/>
        <v>-2.2127659574468068E-2</v>
      </c>
      <c r="AR14" s="42" t="str">
        <f t="shared" si="0"/>
        <v/>
      </c>
      <c r="AS14" s="5"/>
      <c r="AT14" s="5"/>
      <c r="AU14" s="5"/>
    </row>
    <row r="15" spans="1:51" s="17" customFormat="1" ht="13.2">
      <c r="A15" s="144">
        <v>42656</v>
      </c>
      <c r="B15" s="145"/>
      <c r="C15" s="146">
        <v>0.41965277777777782</v>
      </c>
      <c r="D15" s="22"/>
      <c r="E15" s="28"/>
      <c r="F15" s="22"/>
      <c r="G15" s="22"/>
      <c r="H15" s="77"/>
      <c r="I15" s="145"/>
      <c r="J15" s="39"/>
      <c r="K15" s="77">
        <v>0</v>
      </c>
      <c r="L15" s="77">
        <v>0</v>
      </c>
      <c r="M15" s="77">
        <v>1</v>
      </c>
      <c r="N15" s="77">
        <v>1</v>
      </c>
      <c r="O15" s="77">
        <v>1</v>
      </c>
      <c r="P15" s="148"/>
      <c r="Q15" s="29"/>
      <c r="R15" s="82">
        <f t="shared" si="1"/>
        <v>28.900000000000002</v>
      </c>
      <c r="S15" s="28">
        <v>7.5</v>
      </c>
      <c r="T15" s="28">
        <v>11.3</v>
      </c>
      <c r="U15" s="28">
        <v>3.5</v>
      </c>
      <c r="V15" s="28">
        <v>3.3</v>
      </c>
      <c r="W15" s="28">
        <v>3.3</v>
      </c>
      <c r="X15" s="23"/>
      <c r="Y15" s="41">
        <f t="shared" si="2"/>
        <v>10.1</v>
      </c>
      <c r="Z15" s="41"/>
      <c r="AA15" s="153">
        <f t="shared" si="3"/>
        <v>29.460000000000004</v>
      </c>
      <c r="AB15" s="204">
        <v>7.81</v>
      </c>
      <c r="AC15" s="204">
        <v>11.33</v>
      </c>
      <c r="AD15" s="204">
        <v>3.44</v>
      </c>
      <c r="AE15" s="204">
        <v>3.44</v>
      </c>
      <c r="AF15" s="204">
        <v>3.44</v>
      </c>
      <c r="AG15" s="206"/>
      <c r="AH15" s="154">
        <f t="shared" si="4"/>
        <v>10.32</v>
      </c>
      <c r="AI15" s="41"/>
      <c r="AJ15" s="42">
        <f t="shared" si="5"/>
        <v>1.9377162629757864E-2</v>
      </c>
      <c r="AK15" s="42">
        <f t="shared" si="0"/>
        <v>4.1333333333333284E-2</v>
      </c>
      <c r="AL15" s="42">
        <f t="shared" si="0"/>
        <v>2.6548672566371113E-3</v>
      </c>
      <c r="AM15" s="42">
        <f t="shared" si="0"/>
        <v>-1.7142857142857158E-2</v>
      </c>
      <c r="AN15" s="42">
        <f>IF(V15&gt;0,(AE15-V15)/V15,"")</f>
        <v>4.2424242424242462E-2</v>
      </c>
      <c r="AO15" s="42">
        <f t="shared" si="0"/>
        <v>4.2424242424242462E-2</v>
      </c>
      <c r="AP15" s="42" t="str">
        <f t="shared" si="0"/>
        <v/>
      </c>
      <c r="AQ15" s="42">
        <f t="shared" si="6"/>
        <v>2.1782178217821847E-2</v>
      </c>
      <c r="AR15" s="42" t="str">
        <f t="shared" si="0"/>
        <v/>
      </c>
    </row>
    <row r="16" spans="1:51" s="17" customFormat="1" ht="13.2">
      <c r="A16" s="144">
        <v>42656</v>
      </c>
      <c r="B16" s="145"/>
      <c r="C16" s="146">
        <v>0.42018518518518522</v>
      </c>
      <c r="D16" s="22"/>
      <c r="E16" s="28"/>
      <c r="F16" s="22"/>
      <c r="G16" s="22"/>
      <c r="H16" s="77"/>
      <c r="I16" s="145"/>
      <c r="J16" s="39"/>
      <c r="K16" s="77">
        <v>0</v>
      </c>
      <c r="L16" s="77">
        <v>0</v>
      </c>
      <c r="M16" s="77">
        <v>1</v>
      </c>
      <c r="N16" s="77">
        <v>1</v>
      </c>
      <c r="O16" s="77">
        <v>1</v>
      </c>
      <c r="P16" s="148"/>
      <c r="Q16" s="29"/>
      <c r="R16" s="82">
        <f t="shared" si="1"/>
        <v>27.400000000000002</v>
      </c>
      <c r="S16" s="28">
        <v>6.8</v>
      </c>
      <c r="T16" s="28">
        <v>10.7</v>
      </c>
      <c r="U16" s="28">
        <v>3.3</v>
      </c>
      <c r="V16" s="28">
        <v>3.3</v>
      </c>
      <c r="W16" s="28">
        <v>3.3</v>
      </c>
      <c r="X16" s="23"/>
      <c r="Y16" s="41">
        <f t="shared" si="2"/>
        <v>9.8999999999999986</v>
      </c>
      <c r="Z16" s="41"/>
      <c r="AA16" s="153">
        <f t="shared" si="3"/>
        <v>27.880000000000003</v>
      </c>
      <c r="AB16" s="204">
        <v>6.94</v>
      </c>
      <c r="AC16" s="204">
        <v>11.1</v>
      </c>
      <c r="AD16" s="204">
        <v>3.28</v>
      </c>
      <c r="AE16" s="204">
        <v>3.28</v>
      </c>
      <c r="AF16" s="204">
        <v>3.28</v>
      </c>
      <c r="AG16" s="206"/>
      <c r="AH16" s="154">
        <f t="shared" si="4"/>
        <v>9.84</v>
      </c>
      <c r="AI16" s="41"/>
      <c r="AJ16" s="42">
        <f t="shared" si="5"/>
        <v>1.7518248175182497E-2</v>
      </c>
      <c r="AK16" s="42">
        <f t="shared" si="0"/>
        <v>2.058823529411773E-2</v>
      </c>
      <c r="AL16" s="42">
        <f t="shared" si="0"/>
        <v>3.7383177570093497E-2</v>
      </c>
      <c r="AM16" s="42">
        <f t="shared" si="0"/>
        <v>-6.0606060606060667E-3</v>
      </c>
      <c r="AN16" s="42">
        <f t="shared" si="0"/>
        <v>-6.0606060606060667E-3</v>
      </c>
      <c r="AO16" s="42">
        <f t="shared" si="0"/>
        <v>-6.0606060606060667E-3</v>
      </c>
      <c r="AP16" s="42" t="str">
        <f t="shared" si="0"/>
        <v/>
      </c>
      <c r="AQ16" s="42">
        <f t="shared" si="6"/>
        <v>-6.0606060606059322E-3</v>
      </c>
      <c r="AR16" s="42" t="str">
        <f t="shared" si="0"/>
        <v/>
      </c>
      <c r="AS16" s="17" t="s">
        <v>117</v>
      </c>
    </row>
    <row r="17" spans="1:45" s="17" customFormat="1" ht="13.2">
      <c r="A17" s="144">
        <v>42656</v>
      </c>
      <c r="B17" s="145"/>
      <c r="C17" s="146">
        <v>0.42372685185185183</v>
      </c>
      <c r="D17" s="22"/>
      <c r="E17" s="28"/>
      <c r="F17" s="22"/>
      <c r="G17" s="22"/>
      <c r="H17" s="77"/>
      <c r="I17" s="145"/>
      <c r="J17" s="39"/>
      <c r="K17" s="77">
        <v>0</v>
      </c>
      <c r="L17" s="77">
        <v>0</v>
      </c>
      <c r="M17" s="77">
        <v>1</v>
      </c>
      <c r="N17" s="77">
        <v>1</v>
      </c>
      <c r="O17" s="77">
        <v>0</v>
      </c>
      <c r="P17" s="148"/>
      <c r="Q17" s="29"/>
      <c r="R17" s="82">
        <f t="shared" si="1"/>
        <v>16.799999999999997</v>
      </c>
      <c r="S17" s="28">
        <v>4.8</v>
      </c>
      <c r="T17" s="28">
        <v>6.1</v>
      </c>
      <c r="U17" s="28">
        <v>3.2</v>
      </c>
      <c r="V17" s="28">
        <v>2.7</v>
      </c>
      <c r="W17" s="28"/>
      <c r="X17" s="23"/>
      <c r="Y17" s="41">
        <f>SUM(U17:V17)</f>
        <v>5.9</v>
      </c>
      <c r="Z17" s="41"/>
      <c r="AA17" s="153">
        <f t="shared" si="3"/>
        <v>17.63</v>
      </c>
      <c r="AB17" s="204">
        <v>5.03</v>
      </c>
      <c r="AC17" s="204">
        <v>6.3</v>
      </c>
      <c r="AD17" s="204">
        <v>3.15</v>
      </c>
      <c r="AE17" s="204">
        <v>3.15</v>
      </c>
      <c r="AF17" s="204"/>
      <c r="AG17" s="206"/>
      <c r="AH17" s="154">
        <f t="shared" si="4"/>
        <v>6.3</v>
      </c>
      <c r="AI17" s="41"/>
      <c r="AJ17" s="42">
        <f t="shared" si="5"/>
        <v>4.9404761904762021E-2</v>
      </c>
      <c r="AK17" s="42">
        <f t="shared" si="0"/>
        <v>4.791666666666676E-2</v>
      </c>
      <c r="AL17" s="42">
        <f t="shared" si="0"/>
        <v>3.2786885245901669E-2</v>
      </c>
      <c r="AM17" s="42">
        <f>IF(U17&gt;0,(AD17-U17)/U17,"")</f>
        <v>-1.5625000000000083E-2</v>
      </c>
      <c r="AN17" s="42">
        <f t="shared" si="0"/>
        <v>0.16666666666666655</v>
      </c>
      <c r="AO17" s="42" t="str">
        <f t="shared" si="0"/>
        <v/>
      </c>
      <c r="AP17" s="42" t="str">
        <f t="shared" si="0"/>
        <v/>
      </c>
      <c r="AQ17" s="42">
        <f t="shared" si="6"/>
        <v>6.7796610169491428E-2</v>
      </c>
      <c r="AR17" s="42" t="str">
        <f t="shared" si="0"/>
        <v/>
      </c>
    </row>
    <row r="18" spans="1:45" s="17" customFormat="1" ht="13.2">
      <c r="A18" s="144">
        <v>42656</v>
      </c>
      <c r="B18" s="145"/>
      <c r="C18" s="146">
        <v>0.42171296296296296</v>
      </c>
      <c r="D18" s="151"/>
      <c r="E18" s="28"/>
      <c r="F18" s="22"/>
      <c r="G18" s="22"/>
      <c r="H18" s="77"/>
      <c r="I18" s="145"/>
      <c r="J18" s="39"/>
      <c r="K18" s="77">
        <v>0</v>
      </c>
      <c r="L18" s="77">
        <v>0</v>
      </c>
      <c r="M18" s="77">
        <v>0</v>
      </c>
      <c r="N18" s="77"/>
      <c r="O18" s="77"/>
      <c r="P18" s="148"/>
      <c r="Q18" s="29"/>
      <c r="R18" s="82">
        <f t="shared" si="1"/>
        <v>7.4</v>
      </c>
      <c r="S18" s="28">
        <v>3.7</v>
      </c>
      <c r="T18" s="28">
        <v>3.7</v>
      </c>
      <c r="U18" s="28"/>
      <c r="V18" s="28"/>
      <c r="W18" s="28"/>
      <c r="X18" s="23"/>
      <c r="Y18" s="41"/>
      <c r="Z18" s="41"/>
      <c r="AA18" s="153">
        <f t="shared" si="3"/>
        <v>7.41</v>
      </c>
      <c r="AB18" s="204">
        <v>3.73</v>
      </c>
      <c r="AC18" s="204">
        <v>3.68</v>
      </c>
      <c r="AD18" s="204"/>
      <c r="AE18" s="204"/>
      <c r="AF18" s="204"/>
      <c r="AG18" s="206"/>
      <c r="AH18" s="154"/>
      <c r="AI18" s="41"/>
      <c r="AJ18" s="42">
        <f t="shared" si="5"/>
        <v>1.3513513513513226E-3</v>
      </c>
      <c r="AK18" s="42">
        <f t="shared" si="0"/>
        <v>8.1081081081080548E-3</v>
      </c>
      <c r="AL18" s="42">
        <f t="shared" si="0"/>
        <v>-5.40540540540541E-3</v>
      </c>
      <c r="AM18" s="42" t="str">
        <f t="shared" si="0"/>
        <v/>
      </c>
      <c r="AN18" s="42" t="str">
        <f t="shared" si="0"/>
        <v/>
      </c>
      <c r="AO18" s="42" t="str">
        <f t="shared" si="0"/>
        <v/>
      </c>
      <c r="AP18" s="42" t="str">
        <f t="shared" si="0"/>
        <v/>
      </c>
      <c r="AQ18" s="42" t="str">
        <f t="shared" si="6"/>
        <v/>
      </c>
      <c r="AR18" s="42" t="str">
        <f t="shared" si="0"/>
        <v/>
      </c>
    </row>
    <row r="19" spans="1:45" s="17" customFormat="1" ht="13.2">
      <c r="A19" s="144">
        <v>42656</v>
      </c>
      <c r="B19" s="145"/>
      <c r="C19" s="146">
        <v>0.42824074074074076</v>
      </c>
      <c r="D19" s="151"/>
      <c r="E19" s="28"/>
      <c r="F19" s="22"/>
      <c r="G19" s="22"/>
      <c r="H19" s="77"/>
      <c r="I19" s="145"/>
      <c r="J19" s="39"/>
      <c r="K19" s="77">
        <v>0</v>
      </c>
      <c r="L19" s="77">
        <v>0</v>
      </c>
      <c r="M19" s="77">
        <v>1</v>
      </c>
      <c r="N19" s="77">
        <v>1</v>
      </c>
      <c r="O19" s="77">
        <v>1</v>
      </c>
      <c r="P19" s="148"/>
      <c r="Q19" s="29"/>
      <c r="R19" s="82">
        <f t="shared" si="1"/>
        <v>26.4</v>
      </c>
      <c r="S19" s="28">
        <v>4.8</v>
      </c>
      <c r="T19" s="28">
        <v>7.4</v>
      </c>
      <c r="U19" s="28">
        <v>4.5999999999999996</v>
      </c>
      <c r="V19" s="28">
        <v>4.5999999999999996</v>
      </c>
      <c r="W19" s="28">
        <v>5</v>
      </c>
      <c r="X19" s="23"/>
      <c r="Y19" s="41">
        <f t="shared" si="2"/>
        <v>14.2</v>
      </c>
      <c r="Z19" s="41"/>
      <c r="AA19" s="153">
        <f t="shared" si="3"/>
        <v>28.59</v>
      </c>
      <c r="AB19" s="204">
        <v>6.78</v>
      </c>
      <c r="AC19" s="204">
        <v>7.5</v>
      </c>
      <c r="AD19" s="204">
        <v>4.7699999999999996</v>
      </c>
      <c r="AE19" s="204">
        <v>4.7699999999999996</v>
      </c>
      <c r="AF19" s="204">
        <v>4.7699999999999996</v>
      </c>
      <c r="AG19" s="206"/>
      <c r="AH19" s="154">
        <f t="shared" si="4"/>
        <v>14.309999999999999</v>
      </c>
      <c r="AI19" s="41"/>
      <c r="AJ19" s="42">
        <f t="shared" si="5"/>
        <v>8.2954545454545503E-2</v>
      </c>
      <c r="AK19" s="42">
        <f t="shared" si="0"/>
        <v>0.41250000000000009</v>
      </c>
      <c r="AL19" s="42">
        <f t="shared" si="0"/>
        <v>1.3513513513513466E-2</v>
      </c>
      <c r="AM19" s="42">
        <f t="shared" si="0"/>
        <v>3.6956521739130423E-2</v>
      </c>
      <c r="AN19" s="42">
        <f t="shared" si="0"/>
        <v>3.6956521739130423E-2</v>
      </c>
      <c r="AO19" s="42">
        <f t="shared" si="0"/>
        <v>-4.6000000000000082E-2</v>
      </c>
      <c r="AP19" s="42" t="str">
        <f t="shared" si="0"/>
        <v/>
      </c>
      <c r="AQ19" s="42">
        <f t="shared" si="6"/>
        <v>7.7464788732393968E-3</v>
      </c>
      <c r="AR19" s="42" t="str">
        <f t="shared" si="0"/>
        <v/>
      </c>
      <c r="AS19" s="17" t="s">
        <v>125</v>
      </c>
    </row>
    <row r="20" spans="1:45" s="17" customFormat="1" ht="13.2">
      <c r="A20" s="144">
        <v>42656</v>
      </c>
      <c r="B20" s="145"/>
      <c r="C20" s="146">
        <v>0.61937500000000001</v>
      </c>
      <c r="D20" s="22"/>
      <c r="E20" s="28"/>
      <c r="F20" s="22"/>
      <c r="G20" s="22"/>
      <c r="H20" s="77"/>
      <c r="I20" s="145"/>
      <c r="J20" s="39"/>
      <c r="K20" s="77">
        <v>0</v>
      </c>
      <c r="L20" s="77">
        <v>0</v>
      </c>
      <c r="M20" s="77">
        <v>1</v>
      </c>
      <c r="N20" s="77">
        <v>1</v>
      </c>
      <c r="O20" s="77">
        <v>1</v>
      </c>
      <c r="P20" s="148"/>
      <c r="Q20" s="29"/>
      <c r="R20" s="82">
        <f t="shared" si="1"/>
        <v>44.3</v>
      </c>
      <c r="S20" s="28">
        <v>7.6</v>
      </c>
      <c r="T20" s="28">
        <v>11.9</v>
      </c>
      <c r="U20" s="28">
        <v>8.1999999999999993</v>
      </c>
      <c r="V20" s="28">
        <v>8.1999999999999993</v>
      </c>
      <c r="W20" s="28">
        <v>8.4</v>
      </c>
      <c r="X20" s="23"/>
      <c r="Y20" s="41">
        <f t="shared" si="2"/>
        <v>24.799999999999997</v>
      </c>
      <c r="Z20" s="41"/>
      <c r="AA20" s="153">
        <f t="shared" si="3"/>
        <v>45.129999999999995</v>
      </c>
      <c r="AB20" s="204">
        <v>8.26</v>
      </c>
      <c r="AC20" s="204">
        <v>11.64</v>
      </c>
      <c r="AD20" s="204">
        <v>8.41</v>
      </c>
      <c r="AE20" s="204">
        <v>8.41</v>
      </c>
      <c r="AF20" s="204">
        <v>8.41</v>
      </c>
      <c r="AG20" s="206"/>
      <c r="AH20" s="154">
        <f t="shared" si="4"/>
        <v>25.23</v>
      </c>
      <c r="AI20" s="41"/>
      <c r="AJ20" s="42">
        <f t="shared" si="5"/>
        <v>1.8735891647855493E-2</v>
      </c>
      <c r="AK20" s="42">
        <f t="shared" si="0"/>
        <v>8.6842105263157915E-2</v>
      </c>
      <c r="AL20" s="42">
        <f t="shared" si="0"/>
        <v>-2.1848739495798301E-2</v>
      </c>
      <c r="AM20" s="42">
        <f t="shared" si="0"/>
        <v>2.5609756097561082E-2</v>
      </c>
      <c r="AN20" s="42">
        <f t="shared" si="0"/>
        <v>2.5609756097561082E-2</v>
      </c>
      <c r="AO20" s="42">
        <f t="shared" si="0"/>
        <v>1.190476190476165E-3</v>
      </c>
      <c r="AP20" s="42" t="str">
        <f t="shared" si="0"/>
        <v/>
      </c>
      <c r="AQ20" s="42">
        <f t="shared" si="6"/>
        <v>1.7338709677419489E-2</v>
      </c>
      <c r="AR20" s="42" t="str">
        <f t="shared" si="0"/>
        <v/>
      </c>
    </row>
    <row r="21" spans="1:45" s="25" customFormat="1" ht="13.2">
      <c r="A21" s="144">
        <v>42656</v>
      </c>
      <c r="B21" s="145"/>
      <c r="C21" s="146">
        <v>0.62081018518518516</v>
      </c>
      <c r="D21" s="22"/>
      <c r="E21" s="28"/>
      <c r="F21" s="22"/>
      <c r="G21" s="22"/>
      <c r="H21" s="77"/>
      <c r="I21" s="145"/>
      <c r="J21" s="39"/>
      <c r="K21" s="77">
        <v>0</v>
      </c>
      <c r="L21" s="77">
        <v>0</v>
      </c>
      <c r="M21" s="77">
        <v>1</v>
      </c>
      <c r="N21" s="77">
        <v>1</v>
      </c>
      <c r="O21" s="77">
        <v>1</v>
      </c>
      <c r="P21" s="148"/>
      <c r="Q21" s="29"/>
      <c r="R21" s="82">
        <f t="shared" si="1"/>
        <v>39.5</v>
      </c>
      <c r="S21" s="28">
        <v>6.5</v>
      </c>
      <c r="T21" s="28">
        <v>11.8</v>
      </c>
      <c r="U21" s="28">
        <v>6.8</v>
      </c>
      <c r="V21" s="28">
        <v>6.9</v>
      </c>
      <c r="W21" s="28">
        <v>7.5</v>
      </c>
      <c r="X21" s="23"/>
      <c r="Y21" s="41">
        <f t="shared" si="2"/>
        <v>21.2</v>
      </c>
      <c r="Z21" s="41"/>
      <c r="AA21" s="153">
        <f t="shared" si="3"/>
        <v>39.92</v>
      </c>
      <c r="AB21" s="204">
        <v>6.71</v>
      </c>
      <c r="AC21" s="204">
        <v>11.79</v>
      </c>
      <c r="AD21" s="204">
        <v>7.14</v>
      </c>
      <c r="AE21" s="204">
        <v>7.14</v>
      </c>
      <c r="AF21" s="204">
        <v>7.14</v>
      </c>
      <c r="AG21" s="206"/>
      <c r="AH21" s="154">
        <f t="shared" si="4"/>
        <v>21.419999999999998</v>
      </c>
      <c r="AI21" s="41"/>
      <c r="AJ21" s="42">
        <f t="shared" si="5"/>
        <v>1.0632911392405107E-2</v>
      </c>
      <c r="AK21" s="42">
        <f t="shared" si="0"/>
        <v>3.2307692307692301E-2</v>
      </c>
      <c r="AL21" s="42">
        <f t="shared" si="0"/>
        <v>-8.4745762711877653E-4</v>
      </c>
      <c r="AM21" s="42">
        <f t="shared" si="0"/>
        <v>4.9999999999999982E-2</v>
      </c>
      <c r="AN21" s="42">
        <f t="shared" si="0"/>
        <v>3.4782608695652077E-2</v>
      </c>
      <c r="AO21" s="42">
        <f t="shared" si="0"/>
        <v>-4.8000000000000043E-2</v>
      </c>
      <c r="AP21" s="42" t="str">
        <f t="shared" si="0"/>
        <v/>
      </c>
      <c r="AQ21" s="42">
        <f t="shared" si="6"/>
        <v>1.0377358490565985E-2</v>
      </c>
      <c r="AR21" s="42" t="str">
        <f t="shared" si="0"/>
        <v/>
      </c>
      <c r="AS21" s="155" t="s">
        <v>118</v>
      </c>
    </row>
    <row r="22" spans="1:45" s="25" customFormat="1" ht="13.2">
      <c r="A22" s="144">
        <v>42656</v>
      </c>
      <c r="B22" s="145"/>
      <c r="C22" s="146">
        <v>0.62866898148148154</v>
      </c>
      <c r="D22" s="22"/>
      <c r="E22" s="28"/>
      <c r="F22" s="22"/>
      <c r="G22" s="22"/>
      <c r="H22" s="77"/>
      <c r="I22" s="145"/>
      <c r="J22" s="39"/>
      <c r="K22" s="77">
        <v>0</v>
      </c>
      <c r="L22" s="77">
        <v>0</v>
      </c>
      <c r="M22" s="77">
        <v>1</v>
      </c>
      <c r="N22" s="77">
        <v>1</v>
      </c>
      <c r="O22" s="77"/>
      <c r="P22" s="148"/>
      <c r="Q22" s="29"/>
      <c r="R22" s="82">
        <f t="shared" si="1"/>
        <v>29.599999999999998</v>
      </c>
      <c r="S22" s="28">
        <v>6.4</v>
      </c>
      <c r="T22" s="28">
        <v>8.5</v>
      </c>
      <c r="U22" s="28">
        <v>7.5</v>
      </c>
      <c r="V22" s="28">
        <v>7.2</v>
      </c>
      <c r="W22" s="28"/>
      <c r="X22" s="23"/>
      <c r="Y22" s="41">
        <f>SUM(U22:V22)</f>
        <v>14.7</v>
      </c>
      <c r="Z22" s="41"/>
      <c r="AA22" s="153">
        <f t="shared" si="3"/>
        <v>29.669999999999998</v>
      </c>
      <c r="AB22" s="204">
        <v>6.65</v>
      </c>
      <c r="AC22" s="204">
        <v>8.6199999999999992</v>
      </c>
      <c r="AD22" s="204">
        <v>7.2</v>
      </c>
      <c r="AE22" s="204">
        <v>7.2</v>
      </c>
      <c r="AF22" s="204"/>
      <c r="AG22" s="206"/>
      <c r="AH22" s="154">
        <f t="shared" si="4"/>
        <v>14.4</v>
      </c>
      <c r="AI22" s="41"/>
      <c r="AJ22" s="42">
        <f t="shared" si="5"/>
        <v>2.3648648648648745E-3</v>
      </c>
      <c r="AK22" s="42">
        <f t="shared" si="0"/>
        <v>3.90625E-2</v>
      </c>
      <c r="AL22" s="42">
        <f t="shared" si="0"/>
        <v>1.4117647058823438E-2</v>
      </c>
      <c r="AM22" s="42">
        <f t="shared" si="0"/>
        <v>-3.9999999999999973E-2</v>
      </c>
      <c r="AN22" s="42">
        <f t="shared" si="0"/>
        <v>0</v>
      </c>
      <c r="AO22" s="42" t="str">
        <f t="shared" si="0"/>
        <v/>
      </c>
      <c r="AP22" s="42" t="str">
        <f t="shared" si="0"/>
        <v/>
      </c>
      <c r="AQ22" s="42">
        <f t="shared" si="6"/>
        <v>-2.0408163265306051E-2</v>
      </c>
      <c r="AR22" s="42" t="str">
        <f t="shared" si="0"/>
        <v/>
      </c>
    </row>
    <row r="23" spans="1:45" s="25" customFormat="1" ht="13.2">
      <c r="A23" s="144">
        <v>42656</v>
      </c>
      <c r="B23" s="145"/>
      <c r="C23" s="146">
        <v>0.63021990740740741</v>
      </c>
      <c r="D23" s="22"/>
      <c r="E23" s="28"/>
      <c r="F23" s="22"/>
      <c r="G23" s="22"/>
      <c r="H23" s="77"/>
      <c r="I23" s="145"/>
      <c r="J23" s="39"/>
      <c r="K23" s="77">
        <v>0</v>
      </c>
      <c r="L23" s="77">
        <v>0</v>
      </c>
      <c r="M23" s="77">
        <v>1</v>
      </c>
      <c r="N23" s="77">
        <v>1</v>
      </c>
      <c r="O23" s="77">
        <v>1</v>
      </c>
      <c r="P23" s="148"/>
      <c r="Q23" s="29"/>
      <c r="R23" s="82">
        <f t="shared" si="1"/>
        <v>43.600000000000009</v>
      </c>
      <c r="S23" s="28">
        <v>7.5</v>
      </c>
      <c r="T23" s="28">
        <v>11.2</v>
      </c>
      <c r="U23" s="28">
        <v>8.4</v>
      </c>
      <c r="V23" s="28">
        <v>8.3000000000000007</v>
      </c>
      <c r="W23" s="28">
        <v>8.1999999999999993</v>
      </c>
      <c r="X23" s="23"/>
      <c r="Y23" s="41">
        <f t="shared" si="2"/>
        <v>24.900000000000002</v>
      </c>
      <c r="Z23" s="41"/>
      <c r="AA23" s="153">
        <f t="shared" si="3"/>
        <v>44.710000000000008</v>
      </c>
      <c r="AB23" s="204">
        <v>7.82</v>
      </c>
      <c r="AC23" s="204">
        <v>11.42</v>
      </c>
      <c r="AD23" s="204">
        <v>8.49</v>
      </c>
      <c r="AE23" s="204">
        <v>8.49</v>
      </c>
      <c r="AF23" s="204">
        <v>8.49</v>
      </c>
      <c r="AG23" s="206"/>
      <c r="AH23" s="198">
        <f t="shared" si="4"/>
        <v>25.47</v>
      </c>
      <c r="AI23" s="196"/>
      <c r="AJ23" s="186">
        <f t="shared" si="5"/>
        <v>2.5458715596330256E-2</v>
      </c>
      <c r="AK23" s="186">
        <f t="shared" si="0"/>
        <v>4.2666666666666707E-2</v>
      </c>
      <c r="AL23" s="186">
        <f t="shared" si="0"/>
        <v>1.9642857142857201E-2</v>
      </c>
      <c r="AM23" s="186">
        <f t="shared" si="0"/>
        <v>1.0714285714285697E-2</v>
      </c>
      <c r="AN23" s="186">
        <f t="shared" si="0"/>
        <v>2.2891566265060181E-2</v>
      </c>
      <c r="AO23" s="186">
        <f t="shared" si="0"/>
        <v>3.53658536585367E-2</v>
      </c>
      <c r="AP23" s="186" t="str">
        <f t="shared" si="0"/>
        <v/>
      </c>
      <c r="AQ23" s="186">
        <f t="shared" si="6"/>
        <v>2.2891566265060108E-2</v>
      </c>
      <c r="AR23" s="186" t="str">
        <f t="shared" si="0"/>
        <v/>
      </c>
    </row>
    <row r="24" spans="1:45" s="25" customFormat="1" ht="13.2">
      <c r="A24" s="144">
        <v>42656</v>
      </c>
      <c r="B24" s="147"/>
      <c r="C24" s="146">
        <v>0.63385416666666672</v>
      </c>
      <c r="D24" s="22"/>
      <c r="E24" s="28"/>
      <c r="F24" s="22"/>
      <c r="G24" s="22"/>
      <c r="H24" s="77"/>
      <c r="I24" s="145"/>
      <c r="J24" s="39"/>
      <c r="K24" s="77">
        <v>0</v>
      </c>
      <c r="L24" s="77">
        <v>0</v>
      </c>
      <c r="M24" s="77">
        <v>1</v>
      </c>
      <c r="N24" s="77">
        <v>1</v>
      </c>
      <c r="O24" s="77">
        <v>1</v>
      </c>
      <c r="P24" s="148"/>
      <c r="Q24" s="29"/>
      <c r="R24" s="82">
        <f t="shared" si="1"/>
        <v>39.800000000000004</v>
      </c>
      <c r="S24" s="28">
        <v>7.7</v>
      </c>
      <c r="T24" s="28">
        <v>10.8</v>
      </c>
      <c r="U24" s="28">
        <v>7</v>
      </c>
      <c r="V24" s="28">
        <v>7.1</v>
      </c>
      <c r="W24" s="28">
        <v>7.2</v>
      </c>
      <c r="X24" s="23"/>
      <c r="Y24" s="41">
        <f t="shared" si="2"/>
        <v>21.3</v>
      </c>
      <c r="Z24" s="41"/>
      <c r="AA24" s="185">
        <f t="shared" si="3"/>
        <v>40.86</v>
      </c>
      <c r="AB24" s="204">
        <v>7.96</v>
      </c>
      <c r="AC24" s="204">
        <v>10.97</v>
      </c>
      <c r="AD24" s="204">
        <v>7.31</v>
      </c>
      <c r="AE24" s="204">
        <v>7.31</v>
      </c>
      <c r="AF24" s="204">
        <v>7.31</v>
      </c>
      <c r="AG24" s="206"/>
      <c r="AH24" s="196">
        <f t="shared" si="4"/>
        <v>21.93</v>
      </c>
      <c r="AI24" s="196"/>
      <c r="AJ24" s="186">
        <f t="shared" si="5"/>
        <v>2.6633165829145603E-2</v>
      </c>
      <c r="AK24" s="186">
        <f t="shared" si="0"/>
        <v>3.3766233766233736E-2</v>
      </c>
      <c r="AL24" s="186">
        <f t="shared" si="0"/>
        <v>1.5740740740740732E-2</v>
      </c>
      <c r="AM24" s="186">
        <f t="shared" si="0"/>
        <v>4.4285714285714227E-2</v>
      </c>
      <c r="AN24" s="186">
        <f t="shared" si="0"/>
        <v>2.957746478873239E-2</v>
      </c>
      <c r="AO24" s="186">
        <f t="shared" si="0"/>
        <v>1.5277777777777699E-2</v>
      </c>
      <c r="AP24" s="186" t="str">
        <f t="shared" si="0"/>
        <v/>
      </c>
      <c r="AQ24" s="186">
        <f t="shared" si="6"/>
        <v>2.9577464788732348E-2</v>
      </c>
      <c r="AR24" s="186" t="str">
        <f t="shared" si="0"/>
        <v/>
      </c>
    </row>
    <row r="25" spans="1:45" s="25" customFormat="1" ht="13.2">
      <c r="A25" s="144">
        <v>42656</v>
      </c>
      <c r="B25" s="145"/>
      <c r="C25" s="177">
        <v>0.63498842592592586</v>
      </c>
      <c r="D25" s="22"/>
      <c r="E25" s="188"/>
      <c r="F25" s="22"/>
      <c r="G25" s="22"/>
      <c r="H25" s="178"/>
      <c r="I25" s="145"/>
      <c r="J25" s="193"/>
      <c r="K25" s="178">
        <v>0</v>
      </c>
      <c r="L25" s="178">
        <v>0</v>
      </c>
      <c r="M25" s="178"/>
      <c r="N25" s="178"/>
      <c r="O25" s="178"/>
      <c r="P25" s="148"/>
      <c r="Q25" s="179"/>
      <c r="R25" s="184">
        <f t="shared" si="1"/>
        <v>20.399999999999999</v>
      </c>
      <c r="S25" s="188">
        <v>8.6</v>
      </c>
      <c r="T25" s="188">
        <v>7.2</v>
      </c>
      <c r="U25" s="188">
        <v>4.5999999999999996</v>
      </c>
      <c r="V25" s="188"/>
      <c r="W25" s="188"/>
      <c r="X25" s="189"/>
      <c r="Y25" s="195">
        <f>SUM(T25:W25)</f>
        <v>11.8</v>
      </c>
      <c r="Z25" s="41"/>
      <c r="AA25" s="185">
        <f t="shared" si="3"/>
        <v>20.74</v>
      </c>
      <c r="AB25" s="204">
        <v>9.1199999999999992</v>
      </c>
      <c r="AC25" s="204">
        <v>5.81</v>
      </c>
      <c r="AD25" s="204">
        <v>5.81</v>
      </c>
      <c r="AE25" s="204"/>
      <c r="AF25" s="204"/>
      <c r="AG25" s="207"/>
      <c r="AH25" s="196">
        <f>SUM(AC25:AF25)</f>
        <v>11.62</v>
      </c>
      <c r="AI25" s="196"/>
      <c r="AJ25" s="186">
        <f t="shared" si="5"/>
        <v>1.6666666666666659E-2</v>
      </c>
      <c r="AK25" s="186">
        <f t="shared" si="0"/>
        <v>6.0465116279069718E-2</v>
      </c>
      <c r="AL25" s="186"/>
      <c r="AM25" s="186">
        <f t="shared" si="0"/>
        <v>0.2630434782608696</v>
      </c>
      <c r="AN25" s="186">
        <v>-0.19305555555555562</v>
      </c>
      <c r="AO25" s="186" t="str">
        <f t="shared" si="0"/>
        <v/>
      </c>
      <c r="AP25" s="186" t="str">
        <f t="shared" si="0"/>
        <v/>
      </c>
      <c r="AQ25" s="186">
        <f t="shared" si="6"/>
        <v>-1.5254237288135719E-2</v>
      </c>
      <c r="AR25" s="186" t="str">
        <f>IF(Z25&gt;0,(AI25-Z25)/Z25,"")</f>
        <v/>
      </c>
      <c r="AS25" s="155" t="s">
        <v>121</v>
      </c>
    </row>
    <row r="26" spans="1:45" s="25" customFormat="1" ht="13.2">
      <c r="A26" s="144">
        <v>42656</v>
      </c>
      <c r="B26" s="145"/>
      <c r="C26" s="146">
        <v>0.63538194444444451</v>
      </c>
      <c r="D26" s="22"/>
      <c r="E26" s="28"/>
      <c r="F26" s="22"/>
      <c r="G26" s="22"/>
      <c r="H26" s="77"/>
      <c r="I26" s="145"/>
      <c r="J26" s="39"/>
      <c r="K26" s="77">
        <v>0</v>
      </c>
      <c r="L26" s="77">
        <v>0</v>
      </c>
      <c r="M26" s="77">
        <v>1</v>
      </c>
      <c r="N26" s="77">
        <v>1</v>
      </c>
      <c r="O26" s="77">
        <v>1</v>
      </c>
      <c r="P26" s="148"/>
      <c r="Q26" s="29"/>
      <c r="R26" s="82">
        <f t="shared" si="1"/>
        <v>36.299999999999997</v>
      </c>
      <c r="S26" s="28">
        <v>7.1</v>
      </c>
      <c r="T26" s="28">
        <v>11.2</v>
      </c>
      <c r="U26" s="28">
        <v>6.1</v>
      </c>
      <c r="V26" s="28">
        <v>5.8</v>
      </c>
      <c r="W26" s="28">
        <v>6.1</v>
      </c>
      <c r="X26" s="23"/>
      <c r="Y26" s="41">
        <f t="shared" si="2"/>
        <v>18</v>
      </c>
      <c r="Z26" s="41"/>
      <c r="AA26" s="185">
        <f t="shared" si="3"/>
        <v>36.72</v>
      </c>
      <c r="AB26" s="204">
        <v>7.36</v>
      </c>
      <c r="AC26" s="204">
        <v>10.94</v>
      </c>
      <c r="AD26" s="204">
        <v>6.14</v>
      </c>
      <c r="AE26" s="204">
        <v>6.14</v>
      </c>
      <c r="AF26" s="204">
        <v>6.14</v>
      </c>
      <c r="AG26" s="206"/>
      <c r="AH26" s="196">
        <f t="shared" si="4"/>
        <v>18.419999999999998</v>
      </c>
      <c r="AI26" s="196"/>
      <c r="AJ26" s="186">
        <f t="shared" si="5"/>
        <v>1.1570247933884345E-2</v>
      </c>
      <c r="AK26" s="186">
        <f t="shared" si="0"/>
        <v>3.6619718309859252E-2</v>
      </c>
      <c r="AL26" s="186">
        <f t="shared" si="0"/>
        <v>-2.3214285714285698E-2</v>
      </c>
      <c r="AM26" s="186">
        <f t="shared" si="0"/>
        <v>6.5573770491803339E-3</v>
      </c>
      <c r="AN26" s="186">
        <f t="shared" si="0"/>
        <v>5.8620689655172392E-2</v>
      </c>
      <c r="AO26" s="186">
        <f t="shared" si="0"/>
        <v>6.5573770491803339E-3</v>
      </c>
      <c r="AP26" s="186" t="str">
        <f t="shared" si="0"/>
        <v/>
      </c>
      <c r="AQ26" s="186">
        <f t="shared" si="6"/>
        <v>2.333333333333323E-2</v>
      </c>
      <c r="AR26" s="186" t="str">
        <f>IF(Z26&gt;0,(AI26-Z26)/Z26,"")</f>
        <v/>
      </c>
    </row>
    <row r="27" spans="1:45" s="37" customFormat="1" ht="13.2">
      <c r="A27" s="144">
        <v>42656</v>
      </c>
      <c r="B27" s="147"/>
      <c r="C27" s="146">
        <v>0.64015046296296296</v>
      </c>
      <c r="D27" s="22"/>
      <c r="E27" s="28"/>
      <c r="F27" s="22"/>
      <c r="G27" s="22"/>
      <c r="H27" s="77"/>
      <c r="I27" s="147"/>
      <c r="J27" s="39"/>
      <c r="K27" s="77">
        <v>0</v>
      </c>
      <c r="L27" s="77">
        <v>0</v>
      </c>
      <c r="M27" s="77">
        <v>1</v>
      </c>
      <c r="N27" s="77">
        <v>1</v>
      </c>
      <c r="O27" s="77">
        <v>1</v>
      </c>
      <c r="P27" s="148"/>
      <c r="Q27" s="29"/>
      <c r="R27" s="82">
        <f t="shared" si="1"/>
        <v>39.5</v>
      </c>
      <c r="S27" s="28">
        <v>7.4</v>
      </c>
      <c r="T27" s="28">
        <v>11.4</v>
      </c>
      <c r="U27" s="28">
        <v>6.6</v>
      </c>
      <c r="V27" s="28">
        <v>6.9</v>
      </c>
      <c r="W27" s="28">
        <v>7.2</v>
      </c>
      <c r="X27" s="23"/>
      <c r="Y27" s="41">
        <f t="shared" si="2"/>
        <v>20.7</v>
      </c>
      <c r="Z27" s="41"/>
      <c r="AA27" s="153">
        <f t="shared" si="3"/>
        <v>40.629999999999995</v>
      </c>
      <c r="AB27" s="204">
        <v>7.68</v>
      </c>
      <c r="AC27" s="204">
        <v>11.8</v>
      </c>
      <c r="AD27" s="204">
        <v>7.05</v>
      </c>
      <c r="AE27" s="204">
        <v>7.05</v>
      </c>
      <c r="AF27" s="204">
        <v>7.05</v>
      </c>
      <c r="AG27" s="206"/>
      <c r="AH27" s="196">
        <f t="shared" si="4"/>
        <v>21.15</v>
      </c>
      <c r="AI27" s="196"/>
      <c r="AJ27" s="42">
        <f t="shared" si="5"/>
        <v>2.8607594936708745E-2</v>
      </c>
      <c r="AK27" s="42">
        <f t="shared" si="0"/>
        <v>3.783783783783775E-2</v>
      </c>
      <c r="AL27" s="42">
        <f t="shared" si="0"/>
        <v>3.5087719298245647E-2</v>
      </c>
      <c r="AM27" s="42">
        <f t="shared" si="0"/>
        <v>6.8181818181818218E-2</v>
      </c>
      <c r="AN27" s="42">
        <f t="shared" si="0"/>
        <v>2.1739130434782532E-2</v>
      </c>
      <c r="AO27" s="42">
        <f t="shared" si="0"/>
        <v>-2.0833333333333381E-2</v>
      </c>
      <c r="AP27" s="42" t="str">
        <f t="shared" si="0"/>
        <v/>
      </c>
      <c r="AQ27" s="42">
        <f t="shared" si="6"/>
        <v>2.1739130434782573E-2</v>
      </c>
      <c r="AR27" s="42" t="str">
        <f t="shared" si="0"/>
        <v/>
      </c>
      <c r="AS27" s="37" t="s">
        <v>118</v>
      </c>
    </row>
    <row r="28" spans="1:45" s="37" customFormat="1" ht="13.2">
      <c r="A28" s="144">
        <v>42656</v>
      </c>
      <c r="B28" s="147"/>
      <c r="C28" s="146">
        <v>0.64377314814814812</v>
      </c>
      <c r="D28" s="22"/>
      <c r="E28" s="28"/>
      <c r="F28" s="22"/>
      <c r="G28" s="22"/>
      <c r="H28" s="77"/>
      <c r="I28" s="147"/>
      <c r="J28" s="39"/>
      <c r="K28" s="77">
        <v>0</v>
      </c>
      <c r="L28" s="77">
        <v>0</v>
      </c>
      <c r="M28" s="77">
        <v>1</v>
      </c>
      <c r="N28" s="77">
        <v>1</v>
      </c>
      <c r="O28" s="77">
        <v>1</v>
      </c>
      <c r="P28" s="148"/>
      <c r="Q28" s="29"/>
      <c r="R28" s="82">
        <f t="shared" si="1"/>
        <v>23.4</v>
      </c>
      <c r="S28" s="28">
        <v>6.6</v>
      </c>
      <c r="T28" s="28">
        <v>8.4</v>
      </c>
      <c r="U28" s="28">
        <v>2.7</v>
      </c>
      <c r="V28" s="28">
        <v>2.8</v>
      </c>
      <c r="W28" s="28">
        <v>2.9</v>
      </c>
      <c r="X28" s="23"/>
      <c r="Y28" s="41">
        <f t="shared" si="2"/>
        <v>8.4</v>
      </c>
      <c r="Z28" s="41"/>
      <c r="AA28" s="153">
        <f t="shared" si="3"/>
        <v>24.21</v>
      </c>
      <c r="AB28" s="204">
        <v>6.99</v>
      </c>
      <c r="AC28" s="204">
        <v>8.64</v>
      </c>
      <c r="AD28" s="204">
        <v>2.86</v>
      </c>
      <c r="AE28" s="204">
        <v>2.86</v>
      </c>
      <c r="AF28" s="204">
        <v>2.86</v>
      </c>
      <c r="AG28" s="206"/>
      <c r="AH28" s="196">
        <f t="shared" si="4"/>
        <v>8.58</v>
      </c>
      <c r="AI28" s="196"/>
      <c r="AJ28" s="42">
        <f t="shared" si="5"/>
        <v>3.4615384615384714E-2</v>
      </c>
      <c r="AK28" s="42">
        <f t="shared" si="5"/>
        <v>5.909090909090918E-2</v>
      </c>
      <c r="AL28" s="42">
        <f t="shared" si="5"/>
        <v>2.8571428571428595E-2</v>
      </c>
      <c r="AM28" s="42">
        <f t="shared" si="5"/>
        <v>5.9259259259259144E-2</v>
      </c>
      <c r="AN28" s="42">
        <f t="shared" si="5"/>
        <v>2.142857142857145E-2</v>
      </c>
      <c r="AO28" s="42">
        <f t="shared" si="5"/>
        <v>-1.3793103448275874E-2</v>
      </c>
      <c r="AP28" s="186"/>
      <c r="AQ28" s="186">
        <f t="shared" si="6"/>
        <v>2.1428571428571394E-2</v>
      </c>
      <c r="AR28" s="186" t="str">
        <f t="shared" ref="AR28:AR71" si="7">IF(Z28&lt;&gt;"",(AI28-Z28)/Z28,"")</f>
        <v/>
      </c>
    </row>
    <row r="29" spans="1:45" s="37" customFormat="1" ht="13.2">
      <c r="A29" s="144">
        <v>42656</v>
      </c>
      <c r="B29" s="147"/>
      <c r="C29" s="146">
        <v>0.64599537037037036</v>
      </c>
      <c r="D29" s="22"/>
      <c r="E29" s="28"/>
      <c r="F29" s="22"/>
      <c r="G29" s="22"/>
      <c r="H29" s="77"/>
      <c r="I29" s="147"/>
      <c r="J29" s="39"/>
      <c r="K29" s="77">
        <v>0</v>
      </c>
      <c r="L29" s="77">
        <v>0</v>
      </c>
      <c r="M29" s="77"/>
      <c r="N29" s="77"/>
      <c r="O29" s="77"/>
      <c r="P29" s="148"/>
      <c r="Q29" s="29"/>
      <c r="R29" s="82">
        <f t="shared" si="1"/>
        <v>12.1</v>
      </c>
      <c r="S29" s="28">
        <v>6.3</v>
      </c>
      <c r="T29" s="28">
        <v>5.8</v>
      </c>
      <c r="U29" s="28"/>
      <c r="V29" s="28"/>
      <c r="W29" s="28"/>
      <c r="X29" s="23"/>
      <c r="Y29" s="41"/>
      <c r="Z29" s="41"/>
      <c r="AA29" s="153">
        <f t="shared" si="3"/>
        <v>13.600000000000001</v>
      </c>
      <c r="AB29" s="204">
        <v>6.95</v>
      </c>
      <c r="AC29" s="204">
        <v>6.65</v>
      </c>
      <c r="AD29" s="204"/>
      <c r="AE29" s="204"/>
      <c r="AF29" s="204"/>
      <c r="AG29" s="206"/>
      <c r="AH29" s="196"/>
      <c r="AI29" s="196"/>
      <c r="AJ29" s="42">
        <f t="shared" si="5"/>
        <v>0.12396694214876049</v>
      </c>
      <c r="AK29" s="42">
        <f t="shared" si="5"/>
        <v>0.10317460317460324</v>
      </c>
      <c r="AL29" s="42">
        <f t="shared" si="5"/>
        <v>0.14655172413793113</v>
      </c>
      <c r="AM29" s="42" t="str">
        <f t="shared" si="5"/>
        <v/>
      </c>
      <c r="AN29" s="42" t="str">
        <f t="shared" si="5"/>
        <v/>
      </c>
      <c r="AO29" s="42" t="str">
        <f t="shared" si="5"/>
        <v/>
      </c>
      <c r="AP29" s="186"/>
      <c r="AQ29" s="186" t="str">
        <f t="shared" si="6"/>
        <v/>
      </c>
      <c r="AR29" s="186" t="str">
        <f t="shared" si="7"/>
        <v/>
      </c>
    </row>
    <row r="30" spans="1:45" s="37" customFormat="1" ht="13.2">
      <c r="A30" s="144">
        <v>42656</v>
      </c>
      <c r="B30" s="147"/>
      <c r="C30" s="146">
        <v>0.64631944444444445</v>
      </c>
      <c r="D30" s="22"/>
      <c r="E30" s="28"/>
      <c r="F30" s="22"/>
      <c r="G30" s="22"/>
      <c r="H30" s="77"/>
      <c r="I30" s="147"/>
      <c r="J30" s="39"/>
      <c r="K30" s="77">
        <v>0</v>
      </c>
      <c r="L30" s="77">
        <v>0</v>
      </c>
      <c r="M30" s="77">
        <v>1</v>
      </c>
      <c r="N30" s="77">
        <v>1</v>
      </c>
      <c r="O30" s="77">
        <v>1</v>
      </c>
      <c r="P30" s="148"/>
      <c r="Q30" s="29"/>
      <c r="R30" s="82">
        <f t="shared" si="1"/>
        <v>15.000000000000002</v>
      </c>
      <c r="S30" s="28">
        <v>6.2</v>
      </c>
      <c r="T30" s="28">
        <v>3.3</v>
      </c>
      <c r="U30" s="28">
        <v>1.8</v>
      </c>
      <c r="V30" s="28">
        <v>1.8</v>
      </c>
      <c r="W30" s="28">
        <v>1.9</v>
      </c>
      <c r="X30" s="23"/>
      <c r="Y30" s="41">
        <f t="shared" si="2"/>
        <v>5.5</v>
      </c>
      <c r="Z30" s="41"/>
      <c r="AA30" s="153">
        <f t="shared" si="3"/>
        <v>14.809999999999999</v>
      </c>
      <c r="AB30" s="204">
        <v>6.43</v>
      </c>
      <c r="AC30" s="204">
        <v>3.01</v>
      </c>
      <c r="AD30" s="204">
        <v>1.79</v>
      </c>
      <c r="AE30" s="204">
        <v>1.79</v>
      </c>
      <c r="AF30" s="204">
        <v>1.79</v>
      </c>
      <c r="AG30" s="206"/>
      <c r="AH30" s="196">
        <f t="shared" si="4"/>
        <v>5.37</v>
      </c>
      <c r="AI30" s="196"/>
      <c r="AJ30" s="42">
        <f t="shared" si="5"/>
        <v>-1.2666666666666869E-2</v>
      </c>
      <c r="AK30" s="42">
        <f t="shared" si="5"/>
        <v>3.7096774193548308E-2</v>
      </c>
      <c r="AL30" s="42">
        <f t="shared" si="5"/>
        <v>-8.787878787878789E-2</v>
      </c>
      <c r="AM30" s="42">
        <f t="shared" si="5"/>
        <v>-5.5555555555555601E-3</v>
      </c>
      <c r="AN30" s="42">
        <f t="shared" si="5"/>
        <v>-5.5555555555555601E-3</v>
      </c>
      <c r="AO30" s="42">
        <f t="shared" si="5"/>
        <v>-5.78947368421052E-2</v>
      </c>
      <c r="AP30" s="186"/>
      <c r="AQ30" s="186">
        <f t="shared" si="6"/>
        <v>-2.3636363636363619E-2</v>
      </c>
      <c r="AR30" s="186" t="str">
        <f t="shared" si="7"/>
        <v/>
      </c>
    </row>
    <row r="31" spans="1:45" s="37" customFormat="1" ht="13.2">
      <c r="A31" s="144">
        <v>42656</v>
      </c>
      <c r="B31" s="147"/>
      <c r="C31" s="146">
        <v>0.64811342592592591</v>
      </c>
      <c r="D31" s="22"/>
      <c r="E31" s="28"/>
      <c r="F31" s="22"/>
      <c r="G31" s="22"/>
      <c r="H31" s="77"/>
      <c r="I31" s="147"/>
      <c r="J31" s="39"/>
      <c r="K31" s="77">
        <v>0</v>
      </c>
      <c r="L31" s="77">
        <v>0</v>
      </c>
      <c r="M31" s="77">
        <v>1</v>
      </c>
      <c r="N31" s="77">
        <v>1</v>
      </c>
      <c r="O31" s="77">
        <v>1</v>
      </c>
      <c r="P31" s="148"/>
      <c r="Q31" s="29"/>
      <c r="R31" s="82">
        <f t="shared" si="1"/>
        <v>15.500000000000002</v>
      </c>
      <c r="S31" s="28">
        <v>6.3</v>
      </c>
      <c r="T31" s="28">
        <v>3.6</v>
      </c>
      <c r="U31" s="28">
        <v>1.9</v>
      </c>
      <c r="V31" s="28">
        <v>1.8</v>
      </c>
      <c r="W31" s="28">
        <v>1.9</v>
      </c>
      <c r="X31" s="23"/>
      <c r="Y31" s="41">
        <f t="shared" si="2"/>
        <v>5.6</v>
      </c>
      <c r="Z31" s="41"/>
      <c r="AA31" s="153">
        <f t="shared" si="3"/>
        <v>15.870000000000001</v>
      </c>
      <c r="AB31" s="204">
        <v>6.67</v>
      </c>
      <c r="AC31" s="204">
        <v>3.77</v>
      </c>
      <c r="AD31" s="204">
        <v>1.81</v>
      </c>
      <c r="AE31" s="204">
        <v>1.81</v>
      </c>
      <c r="AF31" s="204">
        <v>1.81</v>
      </c>
      <c r="AG31" s="206"/>
      <c r="AH31" s="196">
        <f t="shared" si="4"/>
        <v>5.43</v>
      </c>
      <c r="AI31" s="196"/>
      <c r="AJ31" s="42">
        <f t="shared" si="5"/>
        <v>2.387096774193543E-2</v>
      </c>
      <c r="AK31" s="42">
        <f t="shared" si="5"/>
        <v>5.873015873015875E-2</v>
      </c>
      <c r="AL31" s="42">
        <f t="shared" si="5"/>
        <v>4.72222222222222E-2</v>
      </c>
      <c r="AM31" s="42">
        <f t="shared" si="5"/>
        <v>-4.7368421052631504E-2</v>
      </c>
      <c r="AN31" s="42">
        <f t="shared" si="5"/>
        <v>5.5555555555555601E-3</v>
      </c>
      <c r="AO31" s="42">
        <f t="shared" si="5"/>
        <v>-4.7368421052631504E-2</v>
      </c>
      <c r="AP31" s="186"/>
      <c r="AQ31" s="186">
        <f t="shared" si="6"/>
        <v>-3.0357142857142846E-2</v>
      </c>
      <c r="AR31" s="186" t="str">
        <f t="shared" si="7"/>
        <v/>
      </c>
    </row>
    <row r="32" spans="1:45" s="37" customFormat="1" ht="13.2">
      <c r="A32" s="144">
        <v>42656</v>
      </c>
      <c r="B32" s="147"/>
      <c r="C32" s="146">
        <v>0.65032407407407411</v>
      </c>
      <c r="D32" s="149"/>
      <c r="E32" s="54"/>
      <c r="F32" s="55"/>
      <c r="G32" s="150"/>
      <c r="H32" s="77"/>
      <c r="I32" s="147"/>
      <c r="J32" s="39"/>
      <c r="K32" s="77">
        <v>0</v>
      </c>
      <c r="L32" s="77">
        <v>0</v>
      </c>
      <c r="M32" s="77">
        <v>1</v>
      </c>
      <c r="N32" s="77">
        <v>1</v>
      </c>
      <c r="O32" s="77">
        <v>1</v>
      </c>
      <c r="P32" s="148"/>
      <c r="Q32" s="29"/>
      <c r="R32" s="82">
        <f t="shared" si="1"/>
        <v>40.1</v>
      </c>
      <c r="S32" s="56">
        <v>7.2</v>
      </c>
      <c r="T32" s="56">
        <v>9.9</v>
      </c>
      <c r="U32" s="56">
        <v>7.9</v>
      </c>
      <c r="V32" s="56">
        <v>7.5</v>
      </c>
      <c r="W32" s="56">
        <v>7.6</v>
      </c>
      <c r="X32" s="56"/>
      <c r="Y32" s="41">
        <f t="shared" si="2"/>
        <v>23</v>
      </c>
      <c r="Z32" s="41"/>
      <c r="AA32" s="153">
        <f t="shared" si="3"/>
        <v>41.39</v>
      </c>
      <c r="AB32" s="204">
        <v>7.6</v>
      </c>
      <c r="AC32" s="204">
        <v>10.9</v>
      </c>
      <c r="AD32" s="204">
        <v>7.63</v>
      </c>
      <c r="AE32" s="204">
        <v>7.63</v>
      </c>
      <c r="AF32" s="204">
        <v>7.63</v>
      </c>
      <c r="AG32" s="208"/>
      <c r="AH32" s="196">
        <f t="shared" si="4"/>
        <v>22.89</v>
      </c>
      <c r="AI32" s="196"/>
      <c r="AJ32" s="42">
        <f t="shared" si="5"/>
        <v>3.2169576059850352E-2</v>
      </c>
      <c r="AK32" s="42">
        <f t="shared" si="5"/>
        <v>5.5555555555555483E-2</v>
      </c>
      <c r="AL32" s="42">
        <f t="shared" si="5"/>
        <v>0.10101010101010101</v>
      </c>
      <c r="AM32" s="42">
        <f t="shared" si="5"/>
        <v>-3.4177215189873475E-2</v>
      </c>
      <c r="AN32" s="42">
        <f t="shared" si="5"/>
        <v>1.7333333333333319E-2</v>
      </c>
      <c r="AO32" s="42">
        <f t="shared" si="5"/>
        <v>3.9473684210526647E-3</v>
      </c>
      <c r="AP32" s="186"/>
      <c r="AQ32" s="186">
        <f t="shared" si="6"/>
        <v>-4.7826086956521494E-3</v>
      </c>
      <c r="AR32" s="186" t="str">
        <f t="shared" si="7"/>
        <v/>
      </c>
    </row>
    <row r="33" spans="1:45" s="37" customFormat="1" ht="13.2">
      <c r="A33" s="144">
        <v>42656</v>
      </c>
      <c r="B33" s="147"/>
      <c r="C33" s="146">
        <v>0.65130787037037041</v>
      </c>
      <c r="D33" s="22"/>
      <c r="E33" s="28"/>
      <c r="F33" s="22"/>
      <c r="G33" s="22"/>
      <c r="H33" s="77"/>
      <c r="I33" s="147"/>
      <c r="J33" s="39"/>
      <c r="K33" s="77">
        <v>0</v>
      </c>
      <c r="L33" s="77">
        <v>0</v>
      </c>
      <c r="M33" s="77">
        <v>1</v>
      </c>
      <c r="N33" s="77">
        <v>1</v>
      </c>
      <c r="O33" s="77"/>
      <c r="P33" s="148"/>
      <c r="Q33" s="29"/>
      <c r="R33" s="82">
        <f t="shared" si="1"/>
        <v>15.7</v>
      </c>
      <c r="S33" s="28">
        <v>4.2</v>
      </c>
      <c r="T33" s="28">
        <v>7.5</v>
      </c>
      <c r="U33" s="28">
        <v>2</v>
      </c>
      <c r="V33" s="28">
        <v>2</v>
      </c>
      <c r="W33" s="28"/>
      <c r="X33" s="23"/>
      <c r="Y33" s="196">
        <f t="shared" si="2"/>
        <v>4</v>
      </c>
      <c r="Z33" s="196"/>
      <c r="AA33" s="153">
        <f t="shared" si="3"/>
        <v>15.555</v>
      </c>
      <c r="AB33" s="204">
        <v>4.09</v>
      </c>
      <c r="AC33" s="204">
        <v>7.61</v>
      </c>
      <c r="AD33" s="204">
        <v>1.93</v>
      </c>
      <c r="AE33" s="204">
        <v>1.925</v>
      </c>
      <c r="AF33" s="204"/>
      <c r="AG33" s="207"/>
      <c r="AH33" s="196">
        <f t="shared" si="4"/>
        <v>3.855</v>
      </c>
      <c r="AI33" s="196"/>
      <c r="AJ33" s="42">
        <f t="shared" si="5"/>
        <v>-9.2356687898088909E-3</v>
      </c>
      <c r="AK33" s="42">
        <f t="shared" si="5"/>
        <v>-2.6190476190476264E-2</v>
      </c>
      <c r="AL33" s="42">
        <f t="shared" si="5"/>
        <v>1.466666666666671E-2</v>
      </c>
      <c r="AM33" s="42">
        <f t="shared" si="5"/>
        <v>-3.5000000000000031E-2</v>
      </c>
      <c r="AN33" s="42">
        <f t="shared" si="5"/>
        <v>-3.7499999999999978E-2</v>
      </c>
      <c r="AO33" s="42" t="str">
        <f t="shared" si="5"/>
        <v/>
      </c>
      <c r="AP33" s="186"/>
      <c r="AQ33" s="186">
        <f t="shared" si="6"/>
        <v>-3.6250000000000004E-2</v>
      </c>
      <c r="AR33" s="186" t="str">
        <f t="shared" si="7"/>
        <v/>
      </c>
    </row>
    <row r="34" spans="1:45" s="37" customFormat="1" ht="13.2">
      <c r="A34" s="144">
        <v>42656</v>
      </c>
      <c r="B34" s="147"/>
      <c r="C34" s="146">
        <v>0.65418981481481475</v>
      </c>
      <c r="D34" s="22"/>
      <c r="E34" s="28"/>
      <c r="F34" s="22"/>
      <c r="G34" s="22"/>
      <c r="H34" s="77"/>
      <c r="I34" s="147"/>
      <c r="J34" s="39"/>
      <c r="K34" s="77">
        <v>0</v>
      </c>
      <c r="L34" s="77">
        <v>0</v>
      </c>
      <c r="M34" s="77">
        <v>1</v>
      </c>
      <c r="N34" s="77">
        <v>1</v>
      </c>
      <c r="O34" s="77">
        <v>1</v>
      </c>
      <c r="P34" s="148"/>
      <c r="Q34" s="29"/>
      <c r="R34" s="82">
        <f t="shared" si="1"/>
        <v>23.3</v>
      </c>
      <c r="S34" s="28">
        <v>6.8</v>
      </c>
      <c r="T34" s="28">
        <v>7.1</v>
      </c>
      <c r="U34" s="28">
        <v>3.2</v>
      </c>
      <c r="V34" s="28">
        <v>3.1</v>
      </c>
      <c r="W34" s="28">
        <v>3.1</v>
      </c>
      <c r="X34" s="23"/>
      <c r="Y34" s="196">
        <f t="shared" si="2"/>
        <v>9.4</v>
      </c>
      <c r="Z34" s="196"/>
      <c r="AA34" s="153">
        <f t="shared" si="3"/>
        <v>23.590000000000003</v>
      </c>
      <c r="AB34" s="204">
        <v>7.11</v>
      </c>
      <c r="AC34" s="204">
        <v>6.97</v>
      </c>
      <c r="AD34" s="204">
        <v>3.17</v>
      </c>
      <c r="AE34" s="204">
        <v>3.17</v>
      </c>
      <c r="AF34" s="204">
        <v>3.17</v>
      </c>
      <c r="AG34" s="207"/>
      <c r="AH34" s="196">
        <f t="shared" si="4"/>
        <v>9.51</v>
      </c>
      <c r="AI34" s="196"/>
      <c r="AJ34" s="42">
        <f t="shared" si="5"/>
        <v>1.2446351931330587E-2</v>
      </c>
      <c r="AK34" s="42">
        <f t="shared" si="5"/>
        <v>4.5588235294117721E-2</v>
      </c>
      <c r="AL34" s="42">
        <f t="shared" si="5"/>
        <v>-1.8309859154929563E-2</v>
      </c>
      <c r="AM34" s="42">
        <f t="shared" si="5"/>
        <v>-9.3750000000000777E-3</v>
      </c>
      <c r="AN34" s="42">
        <f t="shared" si="5"/>
        <v>2.2580645161290269E-2</v>
      </c>
      <c r="AO34" s="42">
        <f t="shared" si="5"/>
        <v>2.2580645161290269E-2</v>
      </c>
      <c r="AP34" s="186"/>
      <c r="AQ34" s="186">
        <f t="shared" si="6"/>
        <v>1.1702127659574407E-2</v>
      </c>
      <c r="AR34" s="186" t="str">
        <f t="shared" si="7"/>
        <v/>
      </c>
    </row>
    <row r="35" spans="1:45" s="37" customFormat="1" ht="13.2">
      <c r="A35" s="144">
        <v>42656</v>
      </c>
      <c r="B35" s="147"/>
      <c r="C35" s="146">
        <v>0.65667824074074077</v>
      </c>
      <c r="D35" s="22"/>
      <c r="E35" s="28"/>
      <c r="F35" s="22"/>
      <c r="G35" s="22"/>
      <c r="H35" s="77"/>
      <c r="I35" s="147"/>
      <c r="J35" s="193"/>
      <c r="K35" s="77">
        <v>0</v>
      </c>
      <c r="L35" s="77">
        <v>0</v>
      </c>
      <c r="M35" s="77">
        <v>1</v>
      </c>
      <c r="N35" s="77">
        <v>1</v>
      </c>
      <c r="O35" s="77">
        <v>1</v>
      </c>
      <c r="P35" s="148"/>
      <c r="Q35" s="29"/>
      <c r="R35" s="82">
        <f t="shared" si="1"/>
        <v>17.7</v>
      </c>
      <c r="S35" s="188">
        <v>6.5</v>
      </c>
      <c r="T35" s="188">
        <v>4.9000000000000004</v>
      </c>
      <c r="U35" s="188">
        <v>2.1</v>
      </c>
      <c r="V35" s="188">
        <v>2.1</v>
      </c>
      <c r="W35" s="188">
        <v>2.1</v>
      </c>
      <c r="X35" s="189"/>
      <c r="Y35" s="196">
        <f t="shared" si="2"/>
        <v>6.3000000000000007</v>
      </c>
      <c r="Z35" s="196"/>
      <c r="AA35" s="185">
        <f t="shared" si="3"/>
        <v>17.579999999999998</v>
      </c>
      <c r="AB35" s="204">
        <v>6.75</v>
      </c>
      <c r="AC35" s="204">
        <v>4.72</v>
      </c>
      <c r="AD35" s="204">
        <v>2.0366666666666666</v>
      </c>
      <c r="AE35" s="204">
        <v>2.0366666666666666</v>
      </c>
      <c r="AF35" s="204">
        <v>2.0366666666666666</v>
      </c>
      <c r="AG35" s="207"/>
      <c r="AH35" s="196">
        <f t="shared" si="4"/>
        <v>6.1099999999999994</v>
      </c>
      <c r="AI35" s="196"/>
      <c r="AJ35" s="42">
        <f t="shared" si="5"/>
        <v>-6.7796610169492087E-3</v>
      </c>
      <c r="AK35" s="42">
        <f t="shared" si="5"/>
        <v>3.8461538461538464E-2</v>
      </c>
      <c r="AL35" s="42">
        <f t="shared" si="5"/>
        <v>-3.6734693877551142E-2</v>
      </c>
      <c r="AM35" s="42">
        <f t="shared" si="5"/>
        <v>-3.0158730158730218E-2</v>
      </c>
      <c r="AN35" s="42">
        <f t="shared" si="5"/>
        <v>-3.0158730158730218E-2</v>
      </c>
      <c r="AO35" s="42">
        <f t="shared" si="5"/>
        <v>-3.0158730158730218E-2</v>
      </c>
      <c r="AP35" s="186"/>
      <c r="AQ35" s="186">
        <f t="shared" si="6"/>
        <v>-3.0158730158730357E-2</v>
      </c>
      <c r="AR35" s="186" t="str">
        <f t="shared" si="7"/>
        <v/>
      </c>
    </row>
    <row r="36" spans="1:45" s="5" customFormat="1" ht="13.2">
      <c r="A36" s="144">
        <v>42656</v>
      </c>
      <c r="B36" s="147"/>
      <c r="C36" s="177">
        <v>0.65741898148148148</v>
      </c>
      <c r="D36" s="22"/>
      <c r="E36" s="188"/>
      <c r="F36" s="22"/>
      <c r="G36" s="22"/>
      <c r="H36" s="178"/>
      <c r="I36" s="147"/>
      <c r="J36" s="193"/>
      <c r="K36" s="178">
        <v>0</v>
      </c>
      <c r="L36" s="178">
        <v>0</v>
      </c>
      <c r="M36" s="178">
        <v>1</v>
      </c>
      <c r="N36" s="178">
        <v>1</v>
      </c>
      <c r="O36" s="178">
        <v>1</v>
      </c>
      <c r="P36" s="148"/>
      <c r="Q36" s="179"/>
      <c r="R36" s="184">
        <f t="shared" si="1"/>
        <v>28.7</v>
      </c>
      <c r="S36" s="188">
        <v>6.1</v>
      </c>
      <c r="T36" s="188">
        <v>8.1999999999999993</v>
      </c>
      <c r="U36" s="188">
        <v>4.4000000000000004</v>
      </c>
      <c r="V36" s="188">
        <v>5</v>
      </c>
      <c r="W36" s="188">
        <v>5</v>
      </c>
      <c r="X36" s="189"/>
      <c r="Y36" s="196">
        <f>SUM(T36:U36)</f>
        <v>12.6</v>
      </c>
      <c r="Z36" s="196">
        <f>SUM(V36:W36)</f>
        <v>10</v>
      </c>
      <c r="AA36" s="185">
        <f t="shared" si="3"/>
        <v>29.86</v>
      </c>
      <c r="AB36" s="204">
        <v>6.16</v>
      </c>
      <c r="AC36" s="204">
        <v>6.36</v>
      </c>
      <c r="AD36" s="204">
        <v>6.36</v>
      </c>
      <c r="AE36" s="202">
        <v>5.49</v>
      </c>
      <c r="AF36" s="202">
        <v>5.49</v>
      </c>
      <c r="AG36" s="207"/>
      <c r="AH36" s="196">
        <f>SUM(AC36:AD36)</f>
        <v>12.72</v>
      </c>
      <c r="AI36" s="196">
        <f>SUM(AE36:AF36)</f>
        <v>10.98</v>
      </c>
      <c r="AJ36" s="42">
        <f t="shared" si="5"/>
        <v>4.041811846689896E-2</v>
      </c>
      <c r="AK36" s="42">
        <f t="shared" si="5"/>
        <v>9.8360655737705742E-3</v>
      </c>
      <c r="AL36" s="42"/>
      <c r="AM36" s="42">
        <f t="shared" si="5"/>
        <v>0.44545454545454544</v>
      </c>
      <c r="AN36" s="42">
        <f t="shared" si="5"/>
        <v>9.8000000000000045E-2</v>
      </c>
      <c r="AO36" s="42">
        <f t="shared" si="5"/>
        <v>9.8000000000000045E-2</v>
      </c>
      <c r="AP36" s="42">
        <v>-0.22439024390243892</v>
      </c>
      <c r="AQ36" s="186">
        <f t="shared" si="6"/>
        <v>9.5238095238096027E-3</v>
      </c>
      <c r="AR36" s="186">
        <f t="shared" si="7"/>
        <v>9.8000000000000045E-2</v>
      </c>
      <c r="AS36" s="5" t="s">
        <v>126</v>
      </c>
    </row>
    <row r="37" spans="1:45" s="17" customFormat="1" ht="13.2">
      <c r="A37" s="144">
        <v>42656</v>
      </c>
      <c r="B37" s="147"/>
      <c r="C37" s="177">
        <v>0.6603472222222222</v>
      </c>
      <c r="D37" s="22"/>
      <c r="E37" s="188"/>
      <c r="F37" s="22"/>
      <c r="G37" s="22"/>
      <c r="H37" s="178"/>
      <c r="I37" s="147"/>
      <c r="J37" s="193"/>
      <c r="K37" s="178">
        <v>0</v>
      </c>
      <c r="L37" s="178">
        <v>0</v>
      </c>
      <c r="M37" s="178"/>
      <c r="N37" s="178"/>
      <c r="O37" s="178"/>
      <c r="P37" s="148"/>
      <c r="Q37" s="179"/>
      <c r="R37" s="184">
        <f t="shared" si="1"/>
        <v>15.299999999999999</v>
      </c>
      <c r="S37" s="188">
        <v>6.1</v>
      </c>
      <c r="T37" s="188">
        <v>5.8</v>
      </c>
      <c r="U37" s="188">
        <v>3.4</v>
      </c>
      <c r="V37" s="188"/>
      <c r="W37" s="188"/>
      <c r="X37" s="189"/>
      <c r="Y37" s="196">
        <f>SUM(T37:W37)</f>
        <v>9.1999999999999993</v>
      </c>
      <c r="Z37" s="196"/>
      <c r="AA37" s="185">
        <f t="shared" si="3"/>
        <v>15.14</v>
      </c>
      <c r="AB37" s="204">
        <v>5.88</v>
      </c>
      <c r="AC37" s="204">
        <v>4.63</v>
      </c>
      <c r="AD37" s="204">
        <v>4.63</v>
      </c>
      <c r="AE37" s="204"/>
      <c r="AF37" s="204"/>
      <c r="AG37" s="207"/>
      <c r="AH37" s="196">
        <f>SUM(AC37:AF37)</f>
        <v>9.26</v>
      </c>
      <c r="AI37" s="196"/>
      <c r="AJ37" s="42">
        <f t="shared" si="5"/>
        <v>-1.0457516339869175E-2</v>
      </c>
      <c r="AK37" s="42">
        <f t="shared" si="5"/>
        <v>-3.6065573770491764E-2</v>
      </c>
      <c r="AL37" s="42"/>
      <c r="AM37" s="42">
        <f t="shared" si="5"/>
        <v>0.36176470588235293</v>
      </c>
      <c r="AN37" s="42">
        <v>-0.20172413793103447</v>
      </c>
      <c r="AO37" s="42" t="str">
        <f t="shared" si="5"/>
        <v/>
      </c>
      <c r="AP37" s="186"/>
      <c r="AQ37" s="186">
        <f t="shared" si="6"/>
        <v>6.5217391304348369E-3</v>
      </c>
      <c r="AR37" s="186" t="str">
        <f t="shared" si="7"/>
        <v/>
      </c>
      <c r="AS37" s="17" t="s">
        <v>121</v>
      </c>
    </row>
    <row r="38" spans="1:45" ht="13.2">
      <c r="A38" s="144">
        <v>42656</v>
      </c>
      <c r="B38" s="147"/>
      <c r="C38" s="146">
        <v>0.66082175925925923</v>
      </c>
      <c r="D38" s="22"/>
      <c r="E38" s="28"/>
      <c r="F38" s="22"/>
      <c r="G38" s="22"/>
      <c r="H38" s="77"/>
      <c r="I38" s="147"/>
      <c r="J38" s="193"/>
      <c r="K38" s="77">
        <v>0</v>
      </c>
      <c r="L38" s="77">
        <v>0</v>
      </c>
      <c r="M38" s="77">
        <v>1</v>
      </c>
      <c r="N38" s="77" t="s">
        <v>122</v>
      </c>
      <c r="O38" s="77">
        <v>1</v>
      </c>
      <c r="P38" s="148"/>
      <c r="Q38" s="29"/>
      <c r="R38" s="82">
        <f t="shared" si="1"/>
        <v>15.299999999999999</v>
      </c>
      <c r="S38" s="188">
        <v>5.6</v>
      </c>
      <c r="T38" s="188">
        <v>3.8</v>
      </c>
      <c r="U38" s="188">
        <v>2</v>
      </c>
      <c r="V38" s="188">
        <v>1.9</v>
      </c>
      <c r="W38" s="188">
        <v>2</v>
      </c>
      <c r="X38" s="189"/>
      <c r="Y38" s="196">
        <f t="shared" si="2"/>
        <v>5.9</v>
      </c>
      <c r="Z38" s="196"/>
      <c r="AA38" s="185">
        <f t="shared" si="3"/>
        <v>16.150000000000002</v>
      </c>
      <c r="AB38" s="204">
        <v>6.12</v>
      </c>
      <c r="AC38" s="204">
        <v>3.85</v>
      </c>
      <c r="AD38" s="204">
        <v>2.06</v>
      </c>
      <c r="AE38" s="204">
        <v>2.06</v>
      </c>
      <c r="AF38" s="204">
        <v>2.06</v>
      </c>
      <c r="AG38" s="207"/>
      <c r="AH38" s="196">
        <f t="shared" si="4"/>
        <v>6.18</v>
      </c>
      <c r="AI38" s="196"/>
      <c r="AJ38" s="42">
        <f t="shared" si="5"/>
        <v>5.5555555555555768E-2</v>
      </c>
      <c r="AK38" s="42">
        <f t="shared" si="5"/>
        <v>9.2857142857142944E-2</v>
      </c>
      <c r="AL38" s="42">
        <f t="shared" si="5"/>
        <v>1.3157894736842176E-2</v>
      </c>
      <c r="AM38" s="42">
        <f t="shared" si="5"/>
        <v>3.0000000000000027E-2</v>
      </c>
      <c r="AN38" s="42">
        <f t="shared" si="5"/>
        <v>8.4210526315789555E-2</v>
      </c>
      <c r="AO38" s="42">
        <f t="shared" si="5"/>
        <v>3.0000000000000027E-2</v>
      </c>
      <c r="AP38" s="186"/>
      <c r="AQ38" s="186">
        <f t="shared" si="6"/>
        <v>4.7457627118643958E-2</v>
      </c>
      <c r="AR38" s="186" t="str">
        <f t="shared" si="7"/>
        <v/>
      </c>
      <c r="AS38" s="2" t="s">
        <v>118</v>
      </c>
    </row>
    <row r="39" spans="1:45" ht="13.2">
      <c r="A39" s="144">
        <v>42656</v>
      </c>
      <c r="B39" s="147"/>
      <c r="C39" s="146">
        <v>0.66287037037037033</v>
      </c>
      <c r="D39" s="22"/>
      <c r="E39" s="28"/>
      <c r="F39" s="22"/>
      <c r="G39" s="22"/>
      <c r="H39" s="77"/>
      <c r="I39" s="147"/>
      <c r="J39" s="39"/>
      <c r="K39" s="77">
        <v>0</v>
      </c>
      <c r="L39" s="77">
        <v>0</v>
      </c>
      <c r="M39" s="77">
        <v>1</v>
      </c>
      <c r="N39" s="77">
        <v>1</v>
      </c>
      <c r="O39" s="77">
        <v>1</v>
      </c>
      <c r="P39" s="148"/>
      <c r="Q39" s="29"/>
      <c r="R39" s="82">
        <f t="shared" si="1"/>
        <v>17</v>
      </c>
      <c r="S39" s="188">
        <v>5.8</v>
      </c>
      <c r="T39" s="188">
        <v>3.5</v>
      </c>
      <c r="U39" s="188">
        <v>3.5</v>
      </c>
      <c r="V39" s="188">
        <v>4.2</v>
      </c>
      <c r="W39" s="188"/>
      <c r="X39" s="189"/>
      <c r="Y39" s="41">
        <f t="shared" si="2"/>
        <v>7.7</v>
      </c>
      <c r="Z39" s="41"/>
      <c r="AA39" s="153">
        <f t="shared" si="3"/>
        <v>17.529999999999998</v>
      </c>
      <c r="AB39" s="204">
        <v>6.2</v>
      </c>
      <c r="AC39" s="204">
        <v>3.57</v>
      </c>
      <c r="AD39" s="204">
        <v>3.88</v>
      </c>
      <c r="AE39" s="204">
        <v>3.88</v>
      </c>
      <c r="AF39" s="204"/>
      <c r="AG39" s="207"/>
      <c r="AH39" s="196">
        <f t="shared" si="4"/>
        <v>7.76</v>
      </c>
      <c r="AI39" s="196"/>
      <c r="AJ39" s="42">
        <f t="shared" si="5"/>
        <v>3.1176470588235153E-2</v>
      </c>
      <c r="AK39" s="42">
        <f t="shared" si="5"/>
        <v>6.8965517241379379E-2</v>
      </c>
      <c r="AL39" s="42">
        <f t="shared" si="5"/>
        <v>1.9999999999999955E-2</v>
      </c>
      <c r="AM39" s="42">
        <f>IF(U39&gt;0,(AD39-U39)/U39,"")</f>
        <v>0.10857142857142854</v>
      </c>
      <c r="AN39" s="42">
        <f t="shared" si="5"/>
        <v>-7.6190476190476253E-2</v>
      </c>
      <c r="AO39" s="42" t="str">
        <f t="shared" si="5"/>
        <v/>
      </c>
      <c r="AP39" s="186"/>
      <c r="AQ39" s="186">
        <f t="shared" si="6"/>
        <v>7.792207792207741E-3</v>
      </c>
      <c r="AR39" s="186" t="str">
        <f t="shared" si="7"/>
        <v/>
      </c>
    </row>
    <row r="40" spans="1:45" ht="13.2">
      <c r="A40" s="144">
        <v>42656</v>
      </c>
      <c r="B40" s="147"/>
      <c r="C40" s="146">
        <v>0.66594907407407411</v>
      </c>
      <c r="D40" s="22"/>
      <c r="E40" s="28"/>
      <c r="F40" s="22"/>
      <c r="G40" s="22"/>
      <c r="H40" s="77"/>
      <c r="I40" s="147"/>
      <c r="J40" s="39"/>
      <c r="K40" s="77">
        <v>0</v>
      </c>
      <c r="L40" s="77">
        <v>0</v>
      </c>
      <c r="M40" s="77"/>
      <c r="N40" s="77"/>
      <c r="O40" s="77"/>
      <c r="P40" s="148"/>
      <c r="Q40" s="29"/>
      <c r="R40" s="82">
        <f t="shared" si="1"/>
        <v>16.100000000000001</v>
      </c>
      <c r="S40" s="188">
        <v>6.4</v>
      </c>
      <c r="T40" s="188">
        <v>5.6</v>
      </c>
      <c r="U40" s="188">
        <v>4.0999999999999996</v>
      </c>
      <c r="V40" s="188"/>
      <c r="W40" s="188"/>
      <c r="X40" s="189"/>
      <c r="Y40" s="41"/>
      <c r="Z40" s="41"/>
      <c r="AA40" s="153">
        <f t="shared" si="3"/>
        <v>16.79</v>
      </c>
      <c r="AB40" s="204">
        <v>6.85</v>
      </c>
      <c r="AC40" s="204">
        <v>5.74</v>
      </c>
      <c r="AD40" s="204">
        <v>4.2</v>
      </c>
      <c r="AE40" s="204"/>
      <c r="AF40" s="204"/>
      <c r="AG40" s="207"/>
      <c r="AH40" s="196"/>
      <c r="AI40" s="196"/>
      <c r="AJ40" s="42">
        <f t="shared" si="5"/>
        <v>4.2857142857142712E-2</v>
      </c>
      <c r="AK40" s="42">
        <f t="shared" si="5"/>
        <v>7.0312499999999889E-2</v>
      </c>
      <c r="AL40" s="42">
        <f t="shared" si="5"/>
        <v>2.5000000000000102E-2</v>
      </c>
      <c r="AM40" s="42">
        <f t="shared" si="5"/>
        <v>2.4390243902439157E-2</v>
      </c>
      <c r="AN40" s="42" t="str">
        <f t="shared" si="5"/>
        <v/>
      </c>
      <c r="AO40" s="42" t="str">
        <f t="shared" si="5"/>
        <v/>
      </c>
      <c r="AP40" s="186"/>
      <c r="AQ40" s="186" t="str">
        <f>IF(Y40&gt;0,(AH40-Y40)/Y40,"")</f>
        <v/>
      </c>
      <c r="AR40" s="186" t="str">
        <f t="shared" si="7"/>
        <v/>
      </c>
    </row>
    <row r="41" spans="1:45" ht="13.2">
      <c r="A41" s="144">
        <v>42656</v>
      </c>
      <c r="B41" s="147"/>
      <c r="C41" s="146">
        <v>0.66650462962962964</v>
      </c>
      <c r="D41" s="22"/>
      <c r="E41" s="28"/>
      <c r="F41" s="22"/>
      <c r="G41" s="22"/>
      <c r="H41" s="77"/>
      <c r="I41" s="147"/>
      <c r="J41" s="39"/>
      <c r="K41" s="77">
        <v>0</v>
      </c>
      <c r="L41" s="77">
        <v>0</v>
      </c>
      <c r="M41" s="77">
        <v>1</v>
      </c>
      <c r="N41" s="77">
        <v>1</v>
      </c>
      <c r="O41" s="77">
        <v>1</v>
      </c>
      <c r="P41" s="148"/>
      <c r="Q41" s="29"/>
      <c r="R41" s="82">
        <f t="shared" si="1"/>
        <v>44.2</v>
      </c>
      <c r="S41" s="188">
        <v>7.3</v>
      </c>
      <c r="T41" s="188">
        <v>12.3</v>
      </c>
      <c r="U41" s="188">
        <v>8.1999999999999993</v>
      </c>
      <c r="V41" s="188">
        <v>8.1</v>
      </c>
      <c r="W41" s="188">
        <v>8.3000000000000007</v>
      </c>
      <c r="X41" s="189"/>
      <c r="Y41" s="196">
        <f t="shared" si="2"/>
        <v>24.599999999999998</v>
      </c>
      <c r="Z41" s="196"/>
      <c r="AA41" s="153">
        <f t="shared" si="3"/>
        <v>44.28</v>
      </c>
      <c r="AB41" s="204">
        <v>7.79</v>
      </c>
      <c r="AC41" s="204">
        <v>11.89</v>
      </c>
      <c r="AD41" s="204">
        <v>8.1999999999999993</v>
      </c>
      <c r="AE41" s="204">
        <v>8.1999999999999993</v>
      </c>
      <c r="AF41" s="204">
        <v>8.1999999999999993</v>
      </c>
      <c r="AG41" s="207"/>
      <c r="AH41" s="196">
        <f t="shared" si="4"/>
        <v>24.599999999999998</v>
      </c>
      <c r="AI41" s="196"/>
      <c r="AJ41" s="42">
        <f t="shared" si="5"/>
        <v>1.809954751131183E-3</v>
      </c>
      <c r="AK41" s="42">
        <f t="shared" si="5"/>
        <v>6.7123287671232906E-2</v>
      </c>
      <c r="AL41" s="42">
        <f t="shared" si="5"/>
        <v>-3.333333333333334E-2</v>
      </c>
      <c r="AM41" s="42">
        <f t="shared" si="5"/>
        <v>0</v>
      </c>
      <c r="AN41" s="42">
        <f t="shared" si="5"/>
        <v>1.2345679012345635E-2</v>
      </c>
      <c r="AO41" s="42">
        <f t="shared" si="5"/>
        <v>-1.2048192771084508E-2</v>
      </c>
      <c r="AP41" s="186"/>
      <c r="AQ41" s="186">
        <f t="shared" si="6"/>
        <v>0</v>
      </c>
      <c r="AR41" s="186" t="str">
        <f t="shared" si="7"/>
        <v/>
      </c>
    </row>
    <row r="42" spans="1:45" s="17" customFormat="1" ht="13.2">
      <c r="A42" s="176">
        <v>42656</v>
      </c>
      <c r="B42" s="162"/>
      <c r="C42" s="180">
        <v>0.66942129629629632</v>
      </c>
      <c r="D42" s="181"/>
      <c r="E42" s="190"/>
      <c r="F42" s="181"/>
      <c r="G42" s="181"/>
      <c r="H42" s="166"/>
      <c r="I42" s="162"/>
      <c r="J42" s="194"/>
      <c r="K42" s="166">
        <v>0</v>
      </c>
      <c r="L42" s="166">
        <v>0</v>
      </c>
      <c r="M42" s="166">
        <v>1</v>
      </c>
      <c r="N42" s="166">
        <v>1</v>
      </c>
      <c r="O42" s="166">
        <v>1</v>
      </c>
      <c r="P42" s="182"/>
      <c r="Q42" s="183"/>
      <c r="R42" s="184">
        <f t="shared" si="1"/>
        <v>44</v>
      </c>
      <c r="S42" s="190">
        <v>7.2</v>
      </c>
      <c r="T42" s="190">
        <v>12.3</v>
      </c>
      <c r="U42" s="190">
        <v>7.9</v>
      </c>
      <c r="V42" s="190">
        <v>8.1</v>
      </c>
      <c r="W42" s="190">
        <v>8.5</v>
      </c>
      <c r="X42" s="191"/>
      <c r="Y42" s="197">
        <f t="shared" si="2"/>
        <v>24.5</v>
      </c>
      <c r="Z42" s="197"/>
      <c r="AA42" s="185">
        <f t="shared" si="3"/>
        <v>44.66</v>
      </c>
      <c r="AB42" s="202">
        <v>7.08</v>
      </c>
      <c r="AC42" s="202">
        <v>12.47</v>
      </c>
      <c r="AD42" s="202">
        <v>8.3699999999999992</v>
      </c>
      <c r="AE42" s="202">
        <v>8.3699999999999992</v>
      </c>
      <c r="AF42" s="202">
        <v>8.3699999999999992</v>
      </c>
      <c r="AG42" s="209"/>
      <c r="AH42" s="197">
        <f t="shared" si="4"/>
        <v>25.11</v>
      </c>
      <c r="AI42" s="197"/>
      <c r="AJ42" s="187">
        <f t="shared" si="5"/>
        <v>1.4999999999999923E-2</v>
      </c>
      <c r="AK42" s="187">
        <f t="shared" si="5"/>
        <v>-1.666666666666668E-2</v>
      </c>
      <c r="AL42" s="187">
        <f t="shared" si="5"/>
        <v>1.3821138211382106E-2</v>
      </c>
      <c r="AM42" s="187">
        <f t="shared" si="5"/>
        <v>5.9493670886075802E-2</v>
      </c>
      <c r="AN42" s="187">
        <f t="shared" si="5"/>
        <v>3.3333333333333284E-2</v>
      </c>
      <c r="AO42" s="187">
        <f t="shared" si="5"/>
        <v>-1.5294117647058916E-2</v>
      </c>
      <c r="AP42" s="187"/>
      <c r="AQ42" s="187">
        <f t="shared" si="6"/>
        <v>2.4897959183673445E-2</v>
      </c>
      <c r="AR42" s="187" t="str">
        <f t="shared" si="7"/>
        <v/>
      </c>
      <c r="AS42" s="17" t="s">
        <v>118</v>
      </c>
    </row>
    <row r="43" spans="1:45" ht="13.2">
      <c r="A43" s="144">
        <v>42656</v>
      </c>
      <c r="B43" s="147"/>
      <c r="C43" s="146">
        <v>0.67112268518518514</v>
      </c>
      <c r="D43" s="22"/>
      <c r="E43" s="28"/>
      <c r="F43" s="22"/>
      <c r="G43" s="22"/>
      <c r="H43" s="77"/>
      <c r="I43" s="147"/>
      <c r="J43" s="39"/>
      <c r="K43" s="77">
        <v>0</v>
      </c>
      <c r="L43" s="77">
        <v>0</v>
      </c>
      <c r="M43" s="77"/>
      <c r="N43" s="77"/>
      <c r="O43" s="77"/>
      <c r="P43" s="148"/>
      <c r="Q43" s="29"/>
      <c r="R43" s="82">
        <f t="shared" si="1"/>
        <v>8.6999999999999993</v>
      </c>
      <c r="S43" s="188">
        <v>4</v>
      </c>
      <c r="T43" s="188">
        <v>4.7</v>
      </c>
      <c r="U43" s="188"/>
      <c r="V43" s="188"/>
      <c r="W43" s="188"/>
      <c r="X43" s="189"/>
      <c r="Y43" s="41">
        <f t="shared" si="2"/>
        <v>0</v>
      </c>
      <c r="Z43" s="41"/>
      <c r="AA43" s="153">
        <f t="shared" si="3"/>
        <v>9.5599999999999987</v>
      </c>
      <c r="AB43" s="204">
        <v>4.43</v>
      </c>
      <c r="AC43" s="204">
        <v>5.13</v>
      </c>
      <c r="AD43" s="204"/>
      <c r="AE43" s="204"/>
      <c r="AF43" s="204"/>
      <c r="AG43" s="207"/>
      <c r="AH43" s="196"/>
      <c r="AI43" s="196"/>
      <c r="AJ43" s="42">
        <f t="shared" si="5"/>
        <v>9.8850574712643621E-2</v>
      </c>
      <c r="AK43" s="42">
        <f t="shared" si="5"/>
        <v>0.10749999999999993</v>
      </c>
      <c r="AL43" s="42">
        <f t="shared" si="5"/>
        <v>9.1489361702127597E-2</v>
      </c>
      <c r="AM43" s="42" t="str">
        <f t="shared" si="5"/>
        <v/>
      </c>
      <c r="AN43" s="42" t="str">
        <f t="shared" si="5"/>
        <v/>
      </c>
      <c r="AO43" s="42" t="str">
        <f t="shared" si="5"/>
        <v/>
      </c>
      <c r="AP43" s="186"/>
      <c r="AQ43" s="186" t="str">
        <f t="shared" si="6"/>
        <v/>
      </c>
      <c r="AR43" s="186" t="str">
        <f t="shared" si="7"/>
        <v/>
      </c>
    </row>
    <row r="44" spans="1:45" ht="13.2">
      <c r="A44" s="144">
        <v>42656</v>
      </c>
      <c r="B44" s="147"/>
      <c r="C44" s="146">
        <v>0.67261574074074071</v>
      </c>
      <c r="D44" s="22"/>
      <c r="E44" s="28"/>
      <c r="F44" s="22"/>
      <c r="G44" s="22"/>
      <c r="H44" s="77"/>
      <c r="I44" s="147"/>
      <c r="J44" s="39"/>
      <c r="K44" s="77">
        <v>0</v>
      </c>
      <c r="L44" s="77">
        <v>0</v>
      </c>
      <c r="M44" s="77">
        <v>1</v>
      </c>
      <c r="N44" s="77">
        <v>1</v>
      </c>
      <c r="O44" s="77">
        <v>1</v>
      </c>
      <c r="P44" s="148"/>
      <c r="Q44" s="29"/>
      <c r="R44" s="82">
        <f t="shared" si="1"/>
        <v>22.2</v>
      </c>
      <c r="S44" s="188">
        <v>6.3</v>
      </c>
      <c r="T44" s="188">
        <v>7.8</v>
      </c>
      <c r="U44" s="188">
        <v>2.7</v>
      </c>
      <c r="V44" s="188">
        <v>2.7</v>
      </c>
      <c r="W44" s="188">
        <v>2.7</v>
      </c>
      <c r="X44" s="189"/>
      <c r="Y44" s="41">
        <f t="shared" si="2"/>
        <v>8.1000000000000014</v>
      </c>
      <c r="Z44" s="41"/>
      <c r="AA44" s="153">
        <f t="shared" si="3"/>
        <v>22.47</v>
      </c>
      <c r="AB44" s="204">
        <v>6.64</v>
      </c>
      <c r="AC44" s="204">
        <v>7.85</v>
      </c>
      <c r="AD44" s="204">
        <v>2.66</v>
      </c>
      <c r="AE44" s="204">
        <v>2.66</v>
      </c>
      <c r="AF44" s="204">
        <v>2.66</v>
      </c>
      <c r="AG44" s="207"/>
      <c r="AH44" s="196">
        <f t="shared" si="4"/>
        <v>7.98</v>
      </c>
      <c r="AI44" s="196"/>
      <c r="AJ44" s="42">
        <f t="shared" si="5"/>
        <v>1.2162162162162144E-2</v>
      </c>
      <c r="AK44" s="42">
        <f t="shared" si="5"/>
        <v>5.396825396825395E-2</v>
      </c>
      <c r="AL44" s="42">
        <f t="shared" si="5"/>
        <v>6.4102564102563875E-3</v>
      </c>
      <c r="AM44" s="42">
        <f t="shared" si="5"/>
        <v>-1.4814814814814828E-2</v>
      </c>
      <c r="AN44" s="42">
        <f t="shared" si="5"/>
        <v>-1.4814814814814828E-2</v>
      </c>
      <c r="AO44" s="42">
        <f t="shared" si="5"/>
        <v>-1.4814814814814828E-2</v>
      </c>
      <c r="AP44" s="186"/>
      <c r="AQ44" s="186">
        <f t="shared" si="6"/>
        <v>-1.4814814814814935E-2</v>
      </c>
      <c r="AR44" s="186" t="str">
        <f t="shared" si="7"/>
        <v/>
      </c>
    </row>
    <row r="45" spans="1:45" ht="13.2">
      <c r="A45" s="144">
        <v>42656</v>
      </c>
      <c r="B45" s="147"/>
      <c r="C45" s="146">
        <v>0.67299768518518521</v>
      </c>
      <c r="D45" s="22"/>
      <c r="E45" s="28"/>
      <c r="F45" s="22"/>
      <c r="G45" s="22"/>
      <c r="H45" s="77"/>
      <c r="I45" s="147"/>
      <c r="J45" s="39"/>
      <c r="K45" s="77">
        <v>0</v>
      </c>
      <c r="L45" s="77">
        <v>0</v>
      </c>
      <c r="M45" s="77">
        <v>1</v>
      </c>
      <c r="N45" s="77">
        <v>1</v>
      </c>
      <c r="O45" s="77">
        <v>1</v>
      </c>
      <c r="P45" s="148"/>
      <c r="Q45" s="29"/>
      <c r="R45" s="82">
        <f t="shared" si="1"/>
        <v>40.800000000000004</v>
      </c>
      <c r="S45" s="188">
        <v>7.3</v>
      </c>
      <c r="T45" s="188">
        <v>14.3</v>
      </c>
      <c r="U45" s="192">
        <v>6.3</v>
      </c>
      <c r="V45" s="188">
        <v>6.5</v>
      </c>
      <c r="W45" s="188">
        <v>6.4</v>
      </c>
      <c r="X45" s="189"/>
      <c r="Y45" s="41">
        <f t="shared" si="2"/>
        <v>19.200000000000003</v>
      </c>
      <c r="Z45" s="41"/>
      <c r="AA45" s="153">
        <f t="shared" si="3"/>
        <v>41.18</v>
      </c>
      <c r="AB45" s="204">
        <v>7.71</v>
      </c>
      <c r="AC45" s="204">
        <v>14.39</v>
      </c>
      <c r="AD45" s="204">
        <v>6.36</v>
      </c>
      <c r="AE45" s="204">
        <v>6.36</v>
      </c>
      <c r="AF45" s="204">
        <v>6.36</v>
      </c>
      <c r="AG45" s="206"/>
      <c r="AH45" s="196">
        <f t="shared" si="4"/>
        <v>19.080000000000002</v>
      </c>
      <c r="AI45" s="196"/>
      <c r="AJ45" s="42">
        <f t="shared" si="5"/>
        <v>9.3137254901959655E-3</v>
      </c>
      <c r="AK45" s="42">
        <f t="shared" si="5"/>
        <v>5.6164383561643855E-2</v>
      </c>
      <c r="AL45" s="42">
        <f t="shared" si="5"/>
        <v>6.2937062937062837E-3</v>
      </c>
      <c r="AM45" s="42">
        <f t="shared" si="5"/>
        <v>9.5238095238096027E-3</v>
      </c>
      <c r="AN45" s="42">
        <f t="shared" si="5"/>
        <v>-2.1538461538461489E-2</v>
      </c>
      <c r="AO45" s="42">
        <f t="shared" si="5"/>
        <v>-6.2500000000000056E-3</v>
      </c>
      <c r="AP45" s="186"/>
      <c r="AQ45" s="186">
        <f t="shared" si="6"/>
        <v>-6.2500000000000507E-3</v>
      </c>
      <c r="AR45" s="186" t="str">
        <f t="shared" si="7"/>
        <v/>
      </c>
    </row>
    <row r="46" spans="1:45" ht="13.2">
      <c r="A46" s="144">
        <v>42656</v>
      </c>
      <c r="B46" s="147"/>
      <c r="C46" s="146">
        <v>0.67545138888888889</v>
      </c>
      <c r="D46" s="22"/>
      <c r="E46" s="28"/>
      <c r="F46" s="22"/>
      <c r="G46" s="22"/>
      <c r="H46" s="77"/>
      <c r="I46" s="147"/>
      <c r="J46" s="39"/>
      <c r="K46" s="77">
        <v>0</v>
      </c>
      <c r="L46" s="77">
        <v>0</v>
      </c>
      <c r="M46" s="77">
        <v>1</v>
      </c>
      <c r="N46" s="77">
        <v>1</v>
      </c>
      <c r="O46" s="77">
        <v>1</v>
      </c>
      <c r="P46" s="148"/>
      <c r="Q46" s="29"/>
      <c r="R46" s="82">
        <f t="shared" si="1"/>
        <v>40.099999999999994</v>
      </c>
      <c r="S46" s="28">
        <v>7.6</v>
      </c>
      <c r="T46" s="28">
        <v>12.1</v>
      </c>
      <c r="U46" s="28">
        <v>6.7</v>
      </c>
      <c r="V46" s="28">
        <v>6.8</v>
      </c>
      <c r="W46" s="28">
        <v>6.9</v>
      </c>
      <c r="X46" s="23"/>
      <c r="Y46" s="41">
        <f t="shared" si="2"/>
        <v>20.399999999999999</v>
      </c>
      <c r="Z46" s="41"/>
      <c r="AA46" s="153">
        <f t="shared" si="3"/>
        <v>40.71</v>
      </c>
      <c r="AB46" s="204">
        <v>7.98</v>
      </c>
      <c r="AC46" s="204">
        <v>11.88</v>
      </c>
      <c r="AD46" s="204">
        <v>6.95</v>
      </c>
      <c r="AE46" s="204">
        <v>6.95</v>
      </c>
      <c r="AF46" s="204">
        <v>6.95</v>
      </c>
      <c r="AG46" s="206"/>
      <c r="AH46" s="196">
        <f t="shared" si="4"/>
        <v>20.85</v>
      </c>
      <c r="AI46" s="196"/>
      <c r="AJ46" s="42">
        <f t="shared" si="5"/>
        <v>1.5211970074813133E-2</v>
      </c>
      <c r="AK46" s="42">
        <f t="shared" si="5"/>
        <v>5.0000000000000107E-2</v>
      </c>
      <c r="AL46" s="42">
        <f t="shared" si="5"/>
        <v>-1.8181818181818087E-2</v>
      </c>
      <c r="AM46" s="42">
        <f t="shared" si="5"/>
        <v>3.7313432835820892E-2</v>
      </c>
      <c r="AN46" s="42">
        <f t="shared" si="5"/>
        <v>2.2058823529411818E-2</v>
      </c>
      <c r="AO46" s="42">
        <f t="shared" si="5"/>
        <v>7.246376811594177E-3</v>
      </c>
      <c r="AP46" s="186"/>
      <c r="AQ46" s="186">
        <f t="shared" si="6"/>
        <v>2.2058823529411905E-2</v>
      </c>
      <c r="AR46" s="186" t="str">
        <f t="shared" si="7"/>
        <v/>
      </c>
    </row>
    <row r="47" spans="1:45" ht="13.2">
      <c r="A47" s="144">
        <v>42656</v>
      </c>
      <c r="B47" s="147"/>
      <c r="C47" s="146">
        <v>0.67829861111111101</v>
      </c>
      <c r="D47" s="149"/>
      <c r="E47" s="54"/>
      <c r="F47" s="55"/>
      <c r="G47" s="150"/>
      <c r="H47" s="77"/>
      <c r="I47" s="147"/>
      <c r="J47" s="39"/>
      <c r="K47" s="77">
        <v>0</v>
      </c>
      <c r="L47" s="77">
        <v>0</v>
      </c>
      <c r="M47" s="77">
        <v>1</v>
      </c>
      <c r="N47" s="77">
        <v>1</v>
      </c>
      <c r="O47" s="77">
        <v>1</v>
      </c>
      <c r="P47" s="148"/>
      <c r="Q47" s="29"/>
      <c r="R47" s="82">
        <f t="shared" si="1"/>
        <v>37.300000000000004</v>
      </c>
      <c r="S47" s="57">
        <v>7.2</v>
      </c>
      <c r="T47" s="57">
        <v>11.1</v>
      </c>
      <c r="U47" s="57">
        <v>6.4</v>
      </c>
      <c r="V47" s="57">
        <v>6.3</v>
      </c>
      <c r="W47" s="57">
        <v>6.3</v>
      </c>
      <c r="X47" s="57"/>
      <c r="Y47" s="41">
        <f t="shared" si="2"/>
        <v>19</v>
      </c>
      <c r="Z47" s="41"/>
      <c r="AA47" s="153">
        <f t="shared" si="3"/>
        <v>39.089999999999996</v>
      </c>
      <c r="AB47" s="204">
        <v>7.86</v>
      </c>
      <c r="AC47" s="204">
        <v>12.03</v>
      </c>
      <c r="AD47" s="204">
        <v>6.4</v>
      </c>
      <c r="AE47" s="204">
        <v>6.4</v>
      </c>
      <c r="AF47" s="204">
        <v>6.4</v>
      </c>
      <c r="AG47" s="208"/>
      <c r="AH47" s="196">
        <f t="shared" si="4"/>
        <v>19.200000000000003</v>
      </c>
      <c r="AI47" s="196"/>
      <c r="AJ47" s="42">
        <f t="shared" si="5"/>
        <v>4.7989276139409967E-2</v>
      </c>
      <c r="AK47" s="42">
        <f t="shared" si="5"/>
        <v>9.1666666666666688E-2</v>
      </c>
      <c r="AL47" s="42">
        <f t="shared" si="5"/>
        <v>8.3783783783783761E-2</v>
      </c>
      <c r="AM47" s="42">
        <f t="shared" si="5"/>
        <v>0</v>
      </c>
      <c r="AN47" s="42">
        <f t="shared" si="5"/>
        <v>1.5873015873015959E-2</v>
      </c>
      <c r="AO47" s="42">
        <f t="shared" si="5"/>
        <v>1.5873015873015959E-2</v>
      </c>
      <c r="AP47" s="186"/>
      <c r="AQ47" s="186">
        <f t="shared" si="6"/>
        <v>1.0526315789473833E-2</v>
      </c>
      <c r="AR47" s="186" t="str">
        <f t="shared" si="7"/>
        <v/>
      </c>
    </row>
    <row r="48" spans="1:45" ht="13.2">
      <c r="A48" s="144">
        <v>42656</v>
      </c>
      <c r="B48" s="147"/>
      <c r="C48" s="146">
        <v>0.67966435185185192</v>
      </c>
      <c r="D48" s="149"/>
      <c r="E48" s="54"/>
      <c r="F48" s="55"/>
      <c r="G48" s="150"/>
      <c r="H48" s="77"/>
      <c r="I48" s="147"/>
      <c r="J48" s="39"/>
      <c r="K48" s="77">
        <v>0</v>
      </c>
      <c r="L48" s="77">
        <v>0</v>
      </c>
      <c r="M48" s="77">
        <v>1</v>
      </c>
      <c r="N48" s="77">
        <v>1</v>
      </c>
      <c r="O48" s="77">
        <v>1</v>
      </c>
      <c r="P48" s="148"/>
      <c r="Q48" s="29"/>
      <c r="R48" s="82">
        <f t="shared" si="1"/>
        <v>39.699999999999996</v>
      </c>
      <c r="S48" s="57">
        <v>7.5</v>
      </c>
      <c r="T48" s="57">
        <v>12.6</v>
      </c>
      <c r="U48" s="57">
        <v>6.5</v>
      </c>
      <c r="V48" s="57">
        <v>6.3</v>
      </c>
      <c r="W48" s="57">
        <v>6.8</v>
      </c>
      <c r="X48" s="57"/>
      <c r="Y48" s="41">
        <f t="shared" si="2"/>
        <v>19.600000000000001</v>
      </c>
      <c r="Z48" s="41"/>
      <c r="AA48" s="153">
        <f t="shared" si="3"/>
        <v>39.549999999999997</v>
      </c>
      <c r="AB48" s="204">
        <v>7.82</v>
      </c>
      <c r="AC48" s="204">
        <v>11.75</v>
      </c>
      <c r="AD48" s="204">
        <v>6.66</v>
      </c>
      <c r="AE48" s="204">
        <v>6.66</v>
      </c>
      <c r="AF48" s="204">
        <v>6.66</v>
      </c>
      <c r="AG48" s="208"/>
      <c r="AH48" s="41">
        <f t="shared" si="4"/>
        <v>19.98</v>
      </c>
      <c r="AI48" s="41"/>
      <c r="AJ48" s="42">
        <f t="shared" si="5"/>
        <v>-3.7783375314861109E-3</v>
      </c>
      <c r="AK48" s="42">
        <f t="shared" si="5"/>
        <v>4.2666666666666707E-2</v>
      </c>
      <c r="AL48" s="42">
        <f t="shared" si="5"/>
        <v>-6.7460317460317429E-2</v>
      </c>
      <c r="AM48" s="42">
        <f t="shared" si="5"/>
        <v>2.4615384615384636E-2</v>
      </c>
      <c r="AN48" s="42">
        <f t="shared" si="5"/>
        <v>5.7142857142857197E-2</v>
      </c>
      <c r="AO48" s="42">
        <f t="shared" si="5"/>
        <v>-2.0588235294117602E-2</v>
      </c>
      <c r="AP48" s="186"/>
      <c r="AQ48" s="186">
        <f t="shared" si="6"/>
        <v>1.9387755102040764E-2</v>
      </c>
      <c r="AR48" s="186" t="str">
        <f t="shared" si="7"/>
        <v/>
      </c>
    </row>
    <row r="49" spans="1:45" ht="13.2">
      <c r="A49" s="176">
        <v>42656</v>
      </c>
      <c r="B49" s="162"/>
      <c r="C49" s="163">
        <v>0.6820949074074073</v>
      </c>
      <c r="D49" s="164"/>
      <c r="E49" s="201"/>
      <c r="F49" s="164"/>
      <c r="G49" s="165"/>
      <c r="H49" s="165"/>
      <c r="I49" s="162"/>
      <c r="J49" s="190"/>
      <c r="K49" s="166">
        <v>0</v>
      </c>
      <c r="L49" s="166">
        <v>0</v>
      </c>
      <c r="M49" s="166">
        <v>1</v>
      </c>
      <c r="N49" s="166">
        <v>1</v>
      </c>
      <c r="O49" s="167"/>
      <c r="P49" s="165"/>
      <c r="Q49" s="165"/>
      <c r="R49" s="168">
        <f t="shared" si="1"/>
        <v>19.299999999999997</v>
      </c>
      <c r="S49" s="205">
        <v>5.2</v>
      </c>
      <c r="T49" s="205">
        <v>8.3000000000000007</v>
      </c>
      <c r="U49" s="205">
        <v>2.9</v>
      </c>
      <c r="V49" s="205">
        <v>2.9</v>
      </c>
      <c r="W49" s="205"/>
      <c r="X49" s="200"/>
      <c r="Y49" s="170">
        <f t="shared" si="2"/>
        <v>5.8</v>
      </c>
      <c r="Z49" s="170"/>
      <c r="AA49" s="171">
        <f t="shared" si="3"/>
        <v>19.61</v>
      </c>
      <c r="AB49" s="204">
        <v>5.01</v>
      </c>
      <c r="AC49" s="204">
        <v>8.44</v>
      </c>
      <c r="AD49" s="204">
        <v>3.08</v>
      </c>
      <c r="AE49" s="204">
        <v>3.08</v>
      </c>
      <c r="AF49" s="204"/>
      <c r="AG49" s="210"/>
      <c r="AH49" s="170">
        <f t="shared" si="4"/>
        <v>6.16</v>
      </c>
      <c r="AI49" s="170"/>
      <c r="AJ49" s="172">
        <f t="shared" si="5"/>
        <v>1.606217616580323E-2</v>
      </c>
      <c r="AK49" s="172">
        <f t="shared" si="5"/>
        <v>-3.653846153846161E-2</v>
      </c>
      <c r="AL49" s="172">
        <f t="shared" si="5"/>
        <v>1.6867469879517927E-2</v>
      </c>
      <c r="AM49" s="172">
        <f t="shared" si="5"/>
        <v>6.2068965517241434E-2</v>
      </c>
      <c r="AN49" s="172">
        <f t="shared" si="5"/>
        <v>6.2068965517241434E-2</v>
      </c>
      <c r="AO49" s="172" t="str">
        <f t="shared" si="5"/>
        <v/>
      </c>
      <c r="AP49" s="187"/>
      <c r="AQ49" s="187">
        <f t="shared" si="6"/>
        <v>6.2068965517241434E-2</v>
      </c>
      <c r="AR49" s="187" t="str">
        <f t="shared" si="7"/>
        <v/>
      </c>
    </row>
    <row r="50" spans="1:45" ht="13.2">
      <c r="A50" s="176">
        <v>42656</v>
      </c>
      <c r="B50" s="162"/>
      <c r="C50" s="163">
        <v>0.68496527777777771</v>
      </c>
      <c r="D50" s="164"/>
      <c r="E50" s="201"/>
      <c r="F50" s="164"/>
      <c r="G50" s="165"/>
      <c r="H50" s="165"/>
      <c r="I50" s="162"/>
      <c r="J50" s="190"/>
      <c r="K50" s="166">
        <v>0</v>
      </c>
      <c r="L50" s="166">
        <v>0</v>
      </c>
      <c r="M50" s="166">
        <v>1</v>
      </c>
      <c r="N50" s="166">
        <v>1</v>
      </c>
      <c r="O50" s="167">
        <v>1</v>
      </c>
      <c r="P50" s="165"/>
      <c r="Q50" s="165"/>
      <c r="R50" s="168">
        <f t="shared" si="1"/>
        <v>17.900000000000002</v>
      </c>
      <c r="S50" s="205">
        <v>5.9</v>
      </c>
      <c r="T50" s="205">
        <v>4.7</v>
      </c>
      <c r="U50" s="205">
        <v>2.4</v>
      </c>
      <c r="V50" s="205">
        <v>2.4</v>
      </c>
      <c r="W50" s="205">
        <v>2.5</v>
      </c>
      <c r="X50" s="200"/>
      <c r="Y50" s="170">
        <f t="shared" si="2"/>
        <v>7.3</v>
      </c>
      <c r="Z50" s="170"/>
      <c r="AA50" s="171">
        <f t="shared" si="3"/>
        <v>18.160000000000004</v>
      </c>
      <c r="AB50" s="204">
        <v>6.17</v>
      </c>
      <c r="AC50" s="204">
        <v>4.6100000000000003</v>
      </c>
      <c r="AD50" s="204">
        <v>2.46</v>
      </c>
      <c r="AE50" s="204">
        <v>2.46</v>
      </c>
      <c r="AF50" s="204">
        <v>2.46</v>
      </c>
      <c r="AG50" s="210"/>
      <c r="AH50" s="170">
        <f t="shared" si="4"/>
        <v>7.38</v>
      </c>
      <c r="AI50" s="170"/>
      <c r="AJ50" s="172">
        <f t="shared" si="5"/>
        <v>1.4525139664804555E-2</v>
      </c>
      <c r="AK50" s="172">
        <f t="shared" si="5"/>
        <v>4.5762711864406704E-2</v>
      </c>
      <c r="AL50" s="172">
        <f t="shared" si="5"/>
        <v>-1.9148936170212735E-2</v>
      </c>
      <c r="AM50" s="172">
        <f t="shared" si="5"/>
        <v>2.5000000000000022E-2</v>
      </c>
      <c r="AN50" s="172">
        <f t="shared" si="5"/>
        <v>2.5000000000000022E-2</v>
      </c>
      <c r="AO50" s="172">
        <f t="shared" si="5"/>
        <v>-1.6000000000000014E-2</v>
      </c>
      <c r="AP50" s="187"/>
      <c r="AQ50" s="187">
        <f t="shared" si="6"/>
        <v>1.0958904109589052E-2</v>
      </c>
      <c r="AR50" s="187" t="str">
        <f t="shared" si="7"/>
        <v/>
      </c>
      <c r="AS50" s="2" t="s">
        <v>118</v>
      </c>
    </row>
    <row r="51" spans="1:45" ht="13.2">
      <c r="A51" s="176">
        <v>42657</v>
      </c>
      <c r="B51" s="162"/>
      <c r="C51" s="163">
        <v>0.39908564814814818</v>
      </c>
      <c r="D51" s="164"/>
      <c r="E51" s="164"/>
      <c r="F51" s="164"/>
      <c r="G51" s="165"/>
      <c r="H51" s="165"/>
      <c r="I51" s="162"/>
      <c r="J51" s="165"/>
      <c r="K51" s="167"/>
      <c r="L51" s="166"/>
      <c r="M51" s="167"/>
      <c r="N51" s="167"/>
      <c r="O51" s="167"/>
      <c r="P51" s="165"/>
      <c r="Q51" s="165"/>
      <c r="R51" s="168">
        <f t="shared" si="1"/>
        <v>36.1</v>
      </c>
      <c r="S51" s="205">
        <v>6.9</v>
      </c>
      <c r="T51" s="205">
        <v>9.8000000000000007</v>
      </c>
      <c r="U51" s="205">
        <v>6.5</v>
      </c>
      <c r="V51" s="205">
        <v>6.5</v>
      </c>
      <c r="W51" s="205">
        <v>6.4</v>
      </c>
      <c r="X51" s="213"/>
      <c r="Y51" s="170">
        <f t="shared" si="2"/>
        <v>19.399999999999999</v>
      </c>
      <c r="Z51" s="170"/>
      <c r="AA51" s="171">
        <f t="shared" si="3"/>
        <v>37.42</v>
      </c>
      <c r="AB51" s="202">
        <v>7.72</v>
      </c>
      <c r="AC51" s="202">
        <v>9.48</v>
      </c>
      <c r="AD51" s="202">
        <v>6.74</v>
      </c>
      <c r="AE51" s="202">
        <v>6.74</v>
      </c>
      <c r="AF51" s="202">
        <v>6.74</v>
      </c>
      <c r="AG51" s="202"/>
      <c r="AH51" s="170">
        <f t="shared" si="4"/>
        <v>20.22</v>
      </c>
      <c r="AI51" s="170"/>
      <c r="AJ51" s="172">
        <f t="shared" ref="AJ51:AJ68" si="8">IF(R51&gt;0,(AA51-R51)/R51,"")</f>
        <v>3.6565096952908591E-2</v>
      </c>
      <c r="AK51" s="172">
        <f t="shared" ref="AK51:AK68" si="9">IF(S51&gt;0,(AB51-S51)/S51,"")</f>
        <v>0.11884057971014483</v>
      </c>
      <c r="AL51" s="172">
        <f t="shared" ref="AL51:AL68" si="10">IF(T51&gt;0,(AC51-T51)/T51,"")</f>
        <v>-3.265306122448982E-2</v>
      </c>
      <c r="AM51" s="172">
        <f t="shared" si="5"/>
        <v>3.6923076923076954E-2</v>
      </c>
      <c r="AN51" s="172">
        <f t="shared" si="5"/>
        <v>3.6923076923076954E-2</v>
      </c>
      <c r="AO51" s="172">
        <f t="shared" si="5"/>
        <v>5.3124999999999978E-2</v>
      </c>
      <c r="AP51" s="187"/>
      <c r="AQ51" s="187">
        <f t="shared" si="6"/>
        <v>4.2268041237113418E-2</v>
      </c>
      <c r="AR51" s="187" t="str">
        <f t="shared" si="7"/>
        <v/>
      </c>
    </row>
    <row r="52" spans="1:45" ht="13.2">
      <c r="A52" s="176">
        <v>42657</v>
      </c>
      <c r="B52" s="162"/>
      <c r="C52" s="163">
        <v>0.40407407407407409</v>
      </c>
      <c r="D52" s="164"/>
      <c r="E52" s="164"/>
      <c r="F52" s="164"/>
      <c r="G52" s="165"/>
      <c r="H52" s="165"/>
      <c r="I52" s="162"/>
      <c r="J52" s="165"/>
      <c r="K52" s="167"/>
      <c r="L52" s="167"/>
      <c r="M52" s="167"/>
      <c r="N52" s="167"/>
      <c r="O52" s="167"/>
      <c r="P52" s="165"/>
      <c r="Q52" s="165"/>
      <c r="R52" s="168">
        <f t="shared" si="1"/>
        <v>28.400000000000002</v>
      </c>
      <c r="S52" s="205">
        <v>7.5</v>
      </c>
      <c r="T52" s="205">
        <v>8.6</v>
      </c>
      <c r="U52" s="205">
        <v>6.1</v>
      </c>
      <c r="V52" s="205">
        <v>6.2</v>
      </c>
      <c r="W52" s="205"/>
      <c r="X52" s="213"/>
      <c r="Y52" s="170">
        <f t="shared" si="2"/>
        <v>12.3</v>
      </c>
      <c r="Z52" s="170"/>
      <c r="AA52" s="171">
        <f t="shared" si="3"/>
        <v>29.159999999999997</v>
      </c>
      <c r="AB52" s="202">
        <v>7.52</v>
      </c>
      <c r="AC52" s="202">
        <v>8.8800000000000008</v>
      </c>
      <c r="AD52" s="202">
        <v>6.38</v>
      </c>
      <c r="AE52" s="202">
        <v>6.38</v>
      </c>
      <c r="AF52" s="202"/>
      <c r="AG52" s="202"/>
      <c r="AH52" s="170">
        <f t="shared" si="4"/>
        <v>12.76</v>
      </c>
      <c r="AI52" s="170"/>
      <c r="AJ52" s="172">
        <f t="shared" si="8"/>
        <v>2.6760563380281491E-2</v>
      </c>
      <c r="AK52" s="172">
        <f t="shared" si="9"/>
        <v>2.6666666666666098E-3</v>
      </c>
      <c r="AL52" s="172">
        <f t="shared" si="10"/>
        <v>3.2558139534883852E-2</v>
      </c>
      <c r="AM52" s="172">
        <f t="shared" si="5"/>
        <v>4.5901639344262342E-2</v>
      </c>
      <c r="AN52" s="172">
        <f t="shared" si="5"/>
        <v>2.9032258064516082E-2</v>
      </c>
      <c r="AO52" s="172" t="str">
        <f t="shared" si="5"/>
        <v/>
      </c>
      <c r="AP52" s="187"/>
      <c r="AQ52" s="187">
        <f t="shared" si="6"/>
        <v>3.7398373983739762E-2</v>
      </c>
      <c r="AR52" s="187" t="str">
        <f t="shared" si="7"/>
        <v/>
      </c>
    </row>
    <row r="53" spans="1:45" ht="13.2">
      <c r="A53" s="176">
        <v>42657</v>
      </c>
      <c r="B53" s="162"/>
      <c r="C53" s="163">
        <v>0.40413194444444445</v>
      </c>
      <c r="D53" s="164"/>
      <c r="E53" s="164"/>
      <c r="F53" s="164"/>
      <c r="G53" s="165"/>
      <c r="H53" s="165"/>
      <c r="I53" s="162"/>
      <c r="J53" s="165"/>
      <c r="K53" s="167"/>
      <c r="L53" s="167"/>
      <c r="M53" s="167"/>
      <c r="N53" s="167"/>
      <c r="O53" s="167"/>
      <c r="P53" s="165"/>
      <c r="Q53" s="165"/>
      <c r="R53" s="168">
        <f t="shared" si="1"/>
        <v>43.5</v>
      </c>
      <c r="S53" s="205">
        <v>7.1</v>
      </c>
      <c r="T53" s="205">
        <v>11</v>
      </c>
      <c r="U53" s="205">
        <v>8.5</v>
      </c>
      <c r="V53" s="205">
        <v>8.6999999999999993</v>
      </c>
      <c r="W53" s="205">
        <v>8.1999999999999993</v>
      </c>
      <c r="X53" s="213"/>
      <c r="Y53" s="170">
        <f t="shared" si="2"/>
        <v>25.4</v>
      </c>
      <c r="Z53" s="170"/>
      <c r="AA53" s="171">
        <f t="shared" si="3"/>
        <v>42.809999999999995</v>
      </c>
      <c r="AB53" s="202">
        <v>6.82</v>
      </c>
      <c r="AC53" s="202">
        <v>10.7</v>
      </c>
      <c r="AD53" s="202">
        <v>8.43</v>
      </c>
      <c r="AE53" s="202">
        <v>8.43</v>
      </c>
      <c r="AF53" s="202">
        <v>8.43</v>
      </c>
      <c r="AG53" s="202"/>
      <c r="AH53" s="170">
        <f t="shared" si="4"/>
        <v>25.29</v>
      </c>
      <c r="AI53" s="170"/>
      <c r="AJ53" s="172">
        <f t="shared" si="8"/>
        <v>-1.5862068965517354E-2</v>
      </c>
      <c r="AK53" s="172">
        <f t="shared" si="9"/>
        <v>-3.9436619718309772E-2</v>
      </c>
      <c r="AL53" s="172">
        <f t="shared" si="10"/>
        <v>-2.7272727272727337E-2</v>
      </c>
      <c r="AM53" s="172">
        <f t="shared" si="5"/>
        <v>-8.2352941176470924E-3</v>
      </c>
      <c r="AN53" s="172">
        <f t="shared" si="5"/>
        <v>-3.1034482758620644E-2</v>
      </c>
      <c r="AO53" s="172">
        <f t="shared" si="5"/>
        <v>2.8048780487804934E-2</v>
      </c>
      <c r="AP53" s="187"/>
      <c r="AQ53" s="187">
        <f t="shared" si="6"/>
        <v>-4.3307086614173011E-3</v>
      </c>
      <c r="AR53" s="187" t="str">
        <f t="shared" si="7"/>
        <v/>
      </c>
    </row>
    <row r="54" spans="1:45" ht="13.2">
      <c r="A54" s="176">
        <v>42657</v>
      </c>
      <c r="B54" s="162"/>
      <c r="C54" s="163">
        <v>0.40574074074074074</v>
      </c>
      <c r="D54" s="164"/>
      <c r="E54" s="164"/>
      <c r="F54" s="164"/>
      <c r="G54" s="165"/>
      <c r="H54" s="165"/>
      <c r="I54" s="162"/>
      <c r="J54" s="165"/>
      <c r="K54" s="167"/>
      <c r="L54" s="167"/>
      <c r="M54" s="167"/>
      <c r="N54" s="167"/>
      <c r="O54" s="167"/>
      <c r="P54" s="165"/>
      <c r="Q54" s="165"/>
      <c r="R54" s="168">
        <f t="shared" si="1"/>
        <v>21.8</v>
      </c>
      <c r="S54" s="205">
        <v>6.7</v>
      </c>
      <c r="T54" s="205">
        <v>6.9</v>
      </c>
      <c r="U54" s="205">
        <v>2.8</v>
      </c>
      <c r="V54" s="205">
        <v>2.7</v>
      </c>
      <c r="W54" s="205">
        <v>2.7</v>
      </c>
      <c r="X54" s="213"/>
      <c r="Y54" s="170">
        <f t="shared" si="2"/>
        <v>8.1999999999999993</v>
      </c>
      <c r="Z54" s="170"/>
      <c r="AA54" s="171">
        <f t="shared" si="3"/>
        <v>21.87</v>
      </c>
      <c r="AB54" s="202">
        <v>6.59</v>
      </c>
      <c r="AC54" s="202">
        <v>7.09</v>
      </c>
      <c r="AD54" s="202">
        <v>2.73</v>
      </c>
      <c r="AE54" s="202">
        <v>2.73</v>
      </c>
      <c r="AF54" s="202">
        <v>2.73</v>
      </c>
      <c r="AG54" s="202"/>
      <c r="AH54" s="170">
        <f t="shared" si="4"/>
        <v>8.19</v>
      </c>
      <c r="AI54" s="170"/>
      <c r="AJ54" s="172">
        <f t="shared" si="8"/>
        <v>3.2110091743119394E-3</v>
      </c>
      <c r="AK54" s="172">
        <f t="shared" si="9"/>
        <v>-1.6417910447761242E-2</v>
      </c>
      <c r="AL54" s="172">
        <f t="shared" si="10"/>
        <v>2.7536231884057898E-2</v>
      </c>
      <c r="AM54" s="172">
        <f t="shared" si="5"/>
        <v>-2.4999999999999946E-2</v>
      </c>
      <c r="AN54" s="172">
        <f t="shared" si="5"/>
        <v>1.1111111111111039E-2</v>
      </c>
      <c r="AO54" s="172">
        <f t="shared" si="5"/>
        <v>1.1111111111111039E-2</v>
      </c>
      <c r="AP54" s="187"/>
      <c r="AQ54" s="187">
        <f t="shared" si="6"/>
        <v>-1.2195121951219254E-3</v>
      </c>
      <c r="AR54" s="187" t="str">
        <f t="shared" si="7"/>
        <v/>
      </c>
    </row>
    <row r="55" spans="1:45" ht="13.2">
      <c r="A55" s="176">
        <v>42657</v>
      </c>
      <c r="B55" s="162"/>
      <c r="C55" s="163">
        <v>0.40880787037037036</v>
      </c>
      <c r="D55" s="164"/>
      <c r="E55" s="164"/>
      <c r="F55" s="164"/>
      <c r="G55" s="165"/>
      <c r="H55" s="165"/>
      <c r="I55" s="162"/>
      <c r="J55" s="165"/>
      <c r="K55" s="167"/>
      <c r="L55" s="167"/>
      <c r="M55" s="167"/>
      <c r="N55" s="167"/>
      <c r="O55" s="167"/>
      <c r="P55" s="165"/>
      <c r="Q55" s="165"/>
      <c r="R55" s="168">
        <f t="shared" si="1"/>
        <v>42.3</v>
      </c>
      <c r="S55" s="205">
        <v>6.6</v>
      </c>
      <c r="T55" s="205">
        <v>7.5</v>
      </c>
      <c r="U55" s="205">
        <v>9.1</v>
      </c>
      <c r="V55" s="205">
        <v>9.3000000000000007</v>
      </c>
      <c r="W55" s="205">
        <v>9.8000000000000007</v>
      </c>
      <c r="X55" s="213"/>
      <c r="Y55" s="170">
        <f t="shared" si="2"/>
        <v>28.2</v>
      </c>
      <c r="Z55" s="170"/>
      <c r="AA55" s="171">
        <f t="shared" si="3"/>
        <v>43.86</v>
      </c>
      <c r="AB55" s="202">
        <v>6.95</v>
      </c>
      <c r="AC55" s="202">
        <v>7.45</v>
      </c>
      <c r="AD55" s="202">
        <v>9.82</v>
      </c>
      <c r="AE55" s="202">
        <v>9.82</v>
      </c>
      <c r="AF55" s="202">
        <v>9.82</v>
      </c>
      <c r="AG55" s="202"/>
      <c r="AH55" s="170">
        <f t="shared" si="4"/>
        <v>29.46</v>
      </c>
      <c r="AI55" s="170"/>
      <c r="AJ55" s="172">
        <f t="shared" si="8"/>
        <v>3.6879432624113528E-2</v>
      </c>
      <c r="AK55" s="172">
        <f t="shared" si="9"/>
        <v>5.3030303030303115E-2</v>
      </c>
      <c r="AL55" s="172">
        <f t="shared" si="10"/>
        <v>-6.6666666666666428E-3</v>
      </c>
      <c r="AM55" s="172">
        <f t="shared" si="5"/>
        <v>7.9120879120879201E-2</v>
      </c>
      <c r="AN55" s="172">
        <f t="shared" si="5"/>
        <v>5.5913978494623609E-2</v>
      </c>
      <c r="AO55" s="172">
        <f t="shared" si="5"/>
        <v>2.0408163265305686E-3</v>
      </c>
      <c r="AP55" s="187"/>
      <c r="AQ55" s="187">
        <f t="shared" si="6"/>
        <v>4.4680851063829845E-2</v>
      </c>
      <c r="AR55" s="187" t="str">
        <f t="shared" si="7"/>
        <v/>
      </c>
    </row>
    <row r="56" spans="1:45" ht="13.2">
      <c r="A56" s="176">
        <v>42657</v>
      </c>
      <c r="B56" s="162"/>
      <c r="C56" s="163">
        <v>0.41099537037037037</v>
      </c>
      <c r="D56" s="164"/>
      <c r="E56" s="164"/>
      <c r="F56" s="164"/>
      <c r="G56" s="165"/>
      <c r="H56" s="165"/>
      <c r="I56" s="162"/>
      <c r="J56" s="165"/>
      <c r="K56" s="167"/>
      <c r="L56" s="167"/>
      <c r="M56" s="167"/>
      <c r="N56" s="167"/>
      <c r="O56" s="167"/>
      <c r="P56" s="165"/>
      <c r="Q56" s="165"/>
      <c r="R56" s="168">
        <f t="shared" si="1"/>
        <v>37.9</v>
      </c>
      <c r="S56" s="205">
        <v>5.0999999999999996</v>
      </c>
      <c r="T56" s="205">
        <v>12.7</v>
      </c>
      <c r="U56" s="205">
        <v>9.6999999999999993</v>
      </c>
      <c r="V56" s="205">
        <v>10.4</v>
      </c>
      <c r="W56" s="205"/>
      <c r="X56" s="213"/>
      <c r="Y56" s="170">
        <f t="shared" si="2"/>
        <v>20.100000000000001</v>
      </c>
      <c r="Z56" s="170"/>
      <c r="AA56" s="171">
        <f t="shared" si="3"/>
        <v>37.869999999999997</v>
      </c>
      <c r="AB56" s="202">
        <v>5.0599999999999996</v>
      </c>
      <c r="AC56" s="202">
        <v>12.01</v>
      </c>
      <c r="AD56" s="202">
        <v>10.4</v>
      </c>
      <c r="AE56" s="202">
        <v>10.4</v>
      </c>
      <c r="AF56" s="202"/>
      <c r="AG56" s="202"/>
      <c r="AH56" s="170">
        <f t="shared" si="4"/>
        <v>20.8</v>
      </c>
      <c r="AI56" s="170"/>
      <c r="AJ56" s="172">
        <f t="shared" si="8"/>
        <v>-7.9155672823221998E-4</v>
      </c>
      <c r="AK56" s="172">
        <f t="shared" si="9"/>
        <v>-7.8431372549019676E-3</v>
      </c>
      <c r="AL56" s="172">
        <f t="shared" si="10"/>
        <v>-5.4330708661417287E-2</v>
      </c>
      <c r="AM56" s="172">
        <f t="shared" si="5"/>
        <v>7.2164948453608366E-2</v>
      </c>
      <c r="AN56" s="172">
        <f t="shared" si="5"/>
        <v>0</v>
      </c>
      <c r="AO56" s="172" t="str">
        <f t="shared" si="5"/>
        <v/>
      </c>
      <c r="AP56" s="187"/>
      <c r="AQ56" s="187">
        <f t="shared" si="6"/>
        <v>3.4825870646766129E-2</v>
      </c>
      <c r="AR56" s="187" t="str">
        <f t="shared" si="7"/>
        <v/>
      </c>
    </row>
    <row r="57" spans="1:45" ht="13.2">
      <c r="A57" s="176">
        <v>42657</v>
      </c>
      <c r="B57" s="162"/>
      <c r="C57" s="163">
        <v>0.4111805555555556</v>
      </c>
      <c r="D57" s="164"/>
      <c r="E57" s="164"/>
      <c r="F57" s="164"/>
      <c r="G57" s="165"/>
      <c r="H57" s="165"/>
      <c r="I57" s="162"/>
      <c r="J57" s="165"/>
      <c r="K57" s="167"/>
      <c r="L57" s="167"/>
      <c r="M57" s="167"/>
      <c r="N57" s="167"/>
      <c r="O57" s="167"/>
      <c r="P57" s="165"/>
      <c r="Q57" s="165"/>
      <c r="R57" s="168">
        <f t="shared" si="1"/>
        <v>14.1</v>
      </c>
      <c r="S57" s="205">
        <v>6.1</v>
      </c>
      <c r="T57" s="205">
        <v>3.5</v>
      </c>
      <c r="U57" s="205">
        <v>1.4</v>
      </c>
      <c r="V57" s="205">
        <v>1.4</v>
      </c>
      <c r="W57" s="205">
        <v>1.7</v>
      </c>
      <c r="X57" s="213"/>
      <c r="Y57" s="170">
        <f t="shared" si="2"/>
        <v>4.5</v>
      </c>
      <c r="Z57" s="170"/>
      <c r="AA57" s="171">
        <f t="shared" si="3"/>
        <v>14.55</v>
      </c>
      <c r="AB57" s="202">
        <v>6.31</v>
      </c>
      <c r="AC57" s="202">
        <v>3.53</v>
      </c>
      <c r="AD57" s="202">
        <v>1.57</v>
      </c>
      <c r="AE57" s="202">
        <v>1.57</v>
      </c>
      <c r="AF57" s="202">
        <v>1.57</v>
      </c>
      <c r="AG57" s="202"/>
      <c r="AH57" s="170">
        <f t="shared" si="4"/>
        <v>4.71</v>
      </c>
      <c r="AI57" s="170"/>
      <c r="AJ57" s="172">
        <f t="shared" si="8"/>
        <v>3.191489361702135E-2</v>
      </c>
      <c r="AK57" s="172">
        <f t="shared" si="9"/>
        <v>3.4426229508196717E-2</v>
      </c>
      <c r="AL57" s="172">
        <f t="shared" si="10"/>
        <v>8.5714285714285163E-3</v>
      </c>
      <c r="AM57" s="172">
        <f t="shared" si="5"/>
        <v>0.12142857142857154</v>
      </c>
      <c r="AN57" s="172">
        <f t="shared" si="5"/>
        <v>0.12142857142857154</v>
      </c>
      <c r="AO57" s="172">
        <f t="shared" si="5"/>
        <v>-7.6470588235294054E-2</v>
      </c>
      <c r="AP57" s="187"/>
      <c r="AQ57" s="187">
        <f t="shared" si="6"/>
        <v>4.6666666666666662E-2</v>
      </c>
      <c r="AR57" s="187" t="str">
        <f t="shared" si="7"/>
        <v/>
      </c>
      <c r="AS57" s="2" t="s">
        <v>118</v>
      </c>
    </row>
    <row r="58" spans="1:45" ht="13.2">
      <c r="A58" s="176">
        <v>42657</v>
      </c>
      <c r="B58" s="162"/>
      <c r="C58" s="163">
        <v>0.41120370370370374</v>
      </c>
      <c r="D58" s="164"/>
      <c r="E58" s="164"/>
      <c r="F58" s="164"/>
      <c r="G58" s="165"/>
      <c r="H58" s="165"/>
      <c r="I58" s="162"/>
      <c r="J58" s="165"/>
      <c r="K58" s="167"/>
      <c r="L58" s="167"/>
      <c r="M58" s="167"/>
      <c r="N58" s="167"/>
      <c r="O58" s="167"/>
      <c r="P58" s="165"/>
      <c r="Q58" s="165"/>
      <c r="R58" s="168">
        <f t="shared" si="1"/>
        <v>14.899999999999999</v>
      </c>
      <c r="S58" s="205">
        <v>6</v>
      </c>
      <c r="T58" s="205">
        <v>4.2</v>
      </c>
      <c r="U58" s="205">
        <v>2.2000000000000002</v>
      </c>
      <c r="V58" s="205">
        <v>2.5</v>
      </c>
      <c r="W58" s="205"/>
      <c r="X58" s="213"/>
      <c r="Y58" s="170">
        <f t="shared" si="2"/>
        <v>4.7</v>
      </c>
      <c r="Z58" s="170"/>
      <c r="AA58" s="171">
        <f t="shared" si="3"/>
        <v>15.02</v>
      </c>
      <c r="AB58" s="202">
        <v>6.22</v>
      </c>
      <c r="AC58" s="202">
        <v>4.08</v>
      </c>
      <c r="AD58" s="202">
        <v>2.36</v>
      </c>
      <c r="AE58" s="202">
        <v>2.36</v>
      </c>
      <c r="AF58" s="202"/>
      <c r="AG58" s="202"/>
      <c r="AH58" s="170">
        <f t="shared" si="4"/>
        <v>4.72</v>
      </c>
      <c r="AI58" s="170"/>
      <c r="AJ58" s="172">
        <f t="shared" si="8"/>
        <v>8.053691275167852E-3</v>
      </c>
      <c r="AK58" s="172">
        <f t="shared" si="9"/>
        <v>3.6666666666666625E-2</v>
      </c>
      <c r="AL58" s="172">
        <f t="shared" si="10"/>
        <v>-2.8571428571428595E-2</v>
      </c>
      <c r="AM58" s="172">
        <f t="shared" si="5"/>
        <v>7.2727272727272585E-2</v>
      </c>
      <c r="AN58" s="172">
        <f t="shared" si="5"/>
        <v>-5.600000000000005E-2</v>
      </c>
      <c r="AO58" s="172" t="str">
        <f t="shared" si="5"/>
        <v/>
      </c>
      <c r="AP58" s="187"/>
      <c r="AQ58" s="187">
        <f t="shared" si="6"/>
        <v>4.2553191489360792E-3</v>
      </c>
      <c r="AR58" s="187" t="str">
        <f t="shared" si="7"/>
        <v/>
      </c>
      <c r="AS58" s="2" t="s">
        <v>118</v>
      </c>
    </row>
    <row r="59" spans="1:45" ht="13.2">
      <c r="A59" s="176">
        <v>42657</v>
      </c>
      <c r="B59" s="162"/>
      <c r="C59" s="163">
        <v>0.41752314814814812</v>
      </c>
      <c r="D59" s="164"/>
      <c r="E59" s="164"/>
      <c r="F59" s="164"/>
      <c r="G59" s="165"/>
      <c r="H59" s="165"/>
      <c r="I59" s="162"/>
      <c r="J59" s="165"/>
      <c r="K59" s="167"/>
      <c r="L59" s="167"/>
      <c r="M59" s="167"/>
      <c r="N59" s="167"/>
      <c r="O59" s="167"/>
      <c r="P59" s="165"/>
      <c r="Q59" s="165"/>
      <c r="R59" s="168">
        <f t="shared" si="1"/>
        <v>19.400000000000002</v>
      </c>
      <c r="S59" s="205">
        <v>4.2</v>
      </c>
      <c r="T59" s="205">
        <v>9.1</v>
      </c>
      <c r="U59" s="205">
        <v>3</v>
      </c>
      <c r="V59" s="205">
        <v>3.1</v>
      </c>
      <c r="W59" s="205"/>
      <c r="X59" s="213"/>
      <c r="Y59" s="170">
        <f t="shared" si="2"/>
        <v>6.1</v>
      </c>
      <c r="Z59" s="170"/>
      <c r="AA59" s="171">
        <f t="shared" si="3"/>
        <v>19.579999999999998</v>
      </c>
      <c r="AB59" s="202">
        <v>3.95</v>
      </c>
      <c r="AC59" s="202">
        <v>9.19</v>
      </c>
      <c r="AD59" s="202">
        <v>3.22</v>
      </c>
      <c r="AE59" s="202">
        <v>3.22</v>
      </c>
      <c r="AF59" s="202"/>
      <c r="AG59" s="202"/>
      <c r="AH59" s="170">
        <f t="shared" si="4"/>
        <v>6.44</v>
      </c>
      <c r="AI59" s="170"/>
      <c r="AJ59" s="172">
        <f t="shared" si="8"/>
        <v>9.278350515463718E-3</v>
      </c>
      <c r="AK59" s="172">
        <f t="shared" si="9"/>
        <v>-5.9523809523809521E-2</v>
      </c>
      <c r="AL59" s="172">
        <f t="shared" si="10"/>
        <v>9.8901098901098741E-3</v>
      </c>
      <c r="AM59" s="172">
        <f t="shared" si="5"/>
        <v>7.3333333333333403E-2</v>
      </c>
      <c r="AN59" s="172">
        <f t="shared" si="5"/>
        <v>3.8709677419354875E-2</v>
      </c>
      <c r="AO59" s="172" t="str">
        <f t="shared" si="5"/>
        <v/>
      </c>
      <c r="AP59" s="187"/>
      <c r="AQ59" s="187">
        <f t="shared" si="6"/>
        <v>5.5737704918032913E-2</v>
      </c>
      <c r="AR59" s="187" t="str">
        <f t="shared" si="7"/>
        <v/>
      </c>
    </row>
    <row r="60" spans="1:45" ht="13.2">
      <c r="A60" s="176">
        <v>42657</v>
      </c>
      <c r="B60" s="162"/>
      <c r="C60" s="163">
        <v>0.42108796296296297</v>
      </c>
      <c r="D60" s="164"/>
      <c r="E60" s="164"/>
      <c r="F60" s="164"/>
      <c r="G60" s="165"/>
      <c r="H60" s="165"/>
      <c r="I60" s="162"/>
      <c r="J60" s="165"/>
      <c r="K60" s="167"/>
      <c r="L60" s="167"/>
      <c r="M60" s="167"/>
      <c r="N60" s="167"/>
      <c r="O60" s="167"/>
      <c r="P60" s="165"/>
      <c r="Q60" s="165"/>
      <c r="R60" s="168">
        <f t="shared" si="1"/>
        <v>17.600000000000001</v>
      </c>
      <c r="S60" s="205">
        <v>7.7</v>
      </c>
      <c r="T60" s="205">
        <v>9.9</v>
      </c>
      <c r="U60" s="205"/>
      <c r="V60" s="205"/>
      <c r="W60" s="205"/>
      <c r="X60" s="213"/>
      <c r="Y60" s="170">
        <f t="shared" si="2"/>
        <v>0</v>
      </c>
      <c r="Z60" s="170"/>
      <c r="AA60" s="171">
        <f t="shared" si="3"/>
        <v>18.490000000000002</v>
      </c>
      <c r="AB60" s="202">
        <v>8.09</v>
      </c>
      <c r="AC60" s="202">
        <v>10.4</v>
      </c>
      <c r="AD60" s="202"/>
      <c r="AE60" s="202"/>
      <c r="AF60" s="202"/>
      <c r="AG60" s="202"/>
      <c r="AH60" s="170">
        <f t="shared" si="4"/>
        <v>0</v>
      </c>
      <c r="AI60" s="170"/>
      <c r="AJ60" s="172">
        <f t="shared" si="8"/>
        <v>5.0568181818181845E-2</v>
      </c>
      <c r="AK60" s="172">
        <f t="shared" si="9"/>
        <v>5.0649350649350604E-2</v>
      </c>
      <c r="AL60" s="172">
        <f t="shared" si="10"/>
        <v>5.0505050505050504E-2</v>
      </c>
      <c r="AM60" s="172" t="str">
        <f t="shared" si="5"/>
        <v/>
      </c>
      <c r="AN60" s="172" t="str">
        <f t="shared" si="5"/>
        <v/>
      </c>
      <c r="AO60" s="172" t="str">
        <f t="shared" si="5"/>
        <v/>
      </c>
      <c r="AP60" s="187"/>
      <c r="AQ60" s="187" t="str">
        <f t="shared" si="6"/>
        <v/>
      </c>
      <c r="AR60" s="187" t="str">
        <f t="shared" si="7"/>
        <v/>
      </c>
    </row>
    <row r="61" spans="1:45" ht="13.2">
      <c r="A61" s="176">
        <v>42657</v>
      </c>
      <c r="B61" s="162"/>
      <c r="C61" s="163">
        <v>0.42407407407407405</v>
      </c>
      <c r="D61" s="164"/>
      <c r="E61" s="164"/>
      <c r="F61" s="164"/>
      <c r="G61" s="165"/>
      <c r="H61" s="165"/>
      <c r="I61" s="162"/>
      <c r="J61" s="165"/>
      <c r="K61" s="167"/>
      <c r="L61" s="167"/>
      <c r="M61" s="167"/>
      <c r="N61" s="167"/>
      <c r="O61" s="167"/>
      <c r="P61" s="165"/>
      <c r="Q61" s="165"/>
      <c r="R61" s="168">
        <f t="shared" si="1"/>
        <v>31.000000000000004</v>
      </c>
      <c r="S61" s="205">
        <v>6.7</v>
      </c>
      <c r="T61" s="205">
        <v>8.9</v>
      </c>
      <c r="U61" s="205">
        <v>5.6</v>
      </c>
      <c r="V61" s="205">
        <v>5.0999999999999996</v>
      </c>
      <c r="W61" s="205">
        <v>4.7</v>
      </c>
      <c r="X61" s="213"/>
      <c r="Y61" s="170">
        <f t="shared" si="2"/>
        <v>15.399999999999999</v>
      </c>
      <c r="Z61" s="170"/>
      <c r="AA61" s="171">
        <f t="shared" si="3"/>
        <v>32.659999999999997</v>
      </c>
      <c r="AB61" s="202">
        <v>7.2</v>
      </c>
      <c r="AC61" s="202">
        <v>9.17</v>
      </c>
      <c r="AD61" s="202">
        <v>5.43</v>
      </c>
      <c r="AE61" s="202">
        <v>5.43</v>
      </c>
      <c r="AF61" s="202">
        <v>5.43</v>
      </c>
      <c r="AG61" s="202"/>
      <c r="AH61" s="170">
        <f t="shared" si="4"/>
        <v>16.29</v>
      </c>
      <c r="AI61" s="170"/>
      <c r="AJ61" s="172">
        <f t="shared" si="8"/>
        <v>5.354838709677396E-2</v>
      </c>
      <c r="AK61" s="172">
        <f t="shared" si="9"/>
        <v>7.4626865671641784E-2</v>
      </c>
      <c r="AL61" s="172">
        <f t="shared" si="10"/>
        <v>3.0337078651685345E-2</v>
      </c>
      <c r="AM61" s="172">
        <f t="shared" si="5"/>
        <v>-3.0357142857142846E-2</v>
      </c>
      <c r="AN61" s="172">
        <f t="shared" si="5"/>
        <v>6.4705882352941196E-2</v>
      </c>
      <c r="AO61" s="172">
        <f t="shared" si="5"/>
        <v>0.1553191489361701</v>
      </c>
      <c r="AP61" s="187"/>
      <c r="AQ61" s="187">
        <f t="shared" si="6"/>
        <v>5.7792207792207832E-2</v>
      </c>
      <c r="AR61" s="187" t="str">
        <f t="shared" si="7"/>
        <v/>
      </c>
    </row>
    <row r="62" spans="1:45" ht="13.2">
      <c r="A62" s="176">
        <v>42657</v>
      </c>
      <c r="B62" s="162"/>
      <c r="C62" s="163">
        <v>0.42756944444444445</v>
      </c>
      <c r="D62" s="164"/>
      <c r="E62" s="164"/>
      <c r="F62" s="164"/>
      <c r="G62" s="165"/>
      <c r="H62" s="165"/>
      <c r="I62" s="162"/>
      <c r="J62" s="165"/>
      <c r="K62" s="167"/>
      <c r="L62" s="167"/>
      <c r="M62" s="167"/>
      <c r="N62" s="167"/>
      <c r="O62" s="167"/>
      <c r="P62" s="165"/>
      <c r="Q62" s="165"/>
      <c r="R62" s="168">
        <f t="shared" si="1"/>
        <v>31.8</v>
      </c>
      <c r="S62" s="205">
        <v>7.2</v>
      </c>
      <c r="T62" s="205">
        <v>12.1</v>
      </c>
      <c r="U62" s="205">
        <v>4.2</v>
      </c>
      <c r="V62" s="205">
        <v>4.0999999999999996</v>
      </c>
      <c r="W62" s="205">
        <v>4.2</v>
      </c>
      <c r="X62" s="213"/>
      <c r="Y62" s="170">
        <f t="shared" si="2"/>
        <v>12.5</v>
      </c>
      <c r="Z62" s="170"/>
      <c r="AA62" s="171">
        <f t="shared" si="3"/>
        <v>32.94</v>
      </c>
      <c r="AB62" s="202">
        <v>7.47</v>
      </c>
      <c r="AC62" s="202">
        <v>12.45</v>
      </c>
      <c r="AD62" s="202">
        <v>4.34</v>
      </c>
      <c r="AE62" s="202">
        <v>4.34</v>
      </c>
      <c r="AF62" s="202">
        <v>4.34</v>
      </c>
      <c r="AG62" s="202"/>
      <c r="AH62" s="170">
        <f t="shared" si="4"/>
        <v>13.02</v>
      </c>
      <c r="AI62" s="170"/>
      <c r="AJ62" s="172">
        <f t="shared" si="8"/>
        <v>3.5849056603773494E-2</v>
      </c>
      <c r="AK62" s="172">
        <f t="shared" si="9"/>
        <v>3.7499999999999943E-2</v>
      </c>
      <c r="AL62" s="172">
        <f t="shared" si="10"/>
        <v>2.8925619834710717E-2</v>
      </c>
      <c r="AM62" s="172">
        <f t="shared" si="5"/>
        <v>3.3333333333333257E-2</v>
      </c>
      <c r="AN62" s="172">
        <f t="shared" si="5"/>
        <v>5.8536585365853717E-2</v>
      </c>
      <c r="AO62" s="172">
        <f t="shared" si="5"/>
        <v>3.3333333333333257E-2</v>
      </c>
      <c r="AP62" s="187"/>
      <c r="AQ62" s="187">
        <f t="shared" si="6"/>
        <v>4.1599999999999963E-2</v>
      </c>
      <c r="AR62" s="187" t="str">
        <f t="shared" si="7"/>
        <v/>
      </c>
    </row>
    <row r="63" spans="1:45" ht="13.2">
      <c r="A63" s="176">
        <v>42657</v>
      </c>
      <c r="B63" s="162"/>
      <c r="C63" s="163">
        <v>0.43032407407407408</v>
      </c>
      <c r="D63" s="164"/>
      <c r="E63" s="164"/>
      <c r="F63" s="164"/>
      <c r="G63" s="165"/>
      <c r="H63" s="165"/>
      <c r="I63" s="162"/>
      <c r="J63" s="165"/>
      <c r="K63" s="167"/>
      <c r="L63" s="167"/>
      <c r="M63" s="167"/>
      <c r="N63" s="167"/>
      <c r="O63" s="167"/>
      <c r="P63" s="165"/>
      <c r="Q63" s="165"/>
      <c r="R63" s="168">
        <f t="shared" si="1"/>
        <v>40.1</v>
      </c>
      <c r="S63" s="205">
        <v>7.2</v>
      </c>
      <c r="T63" s="205">
        <v>13.5</v>
      </c>
      <c r="U63" s="205">
        <v>6.4</v>
      </c>
      <c r="V63" s="205">
        <v>6.4</v>
      </c>
      <c r="W63" s="205">
        <v>6.6</v>
      </c>
      <c r="X63" s="213"/>
      <c r="Y63" s="170">
        <f t="shared" si="2"/>
        <v>19.399999999999999</v>
      </c>
      <c r="Z63" s="170"/>
      <c r="AA63" s="171">
        <f t="shared" si="3"/>
        <v>41.94</v>
      </c>
      <c r="AB63" s="202">
        <v>7.87</v>
      </c>
      <c r="AC63" s="202">
        <v>14</v>
      </c>
      <c r="AD63" s="202">
        <v>6.69</v>
      </c>
      <c r="AE63" s="202">
        <v>6.69</v>
      </c>
      <c r="AF63" s="202">
        <v>6.69</v>
      </c>
      <c r="AG63" s="202"/>
      <c r="AH63" s="170">
        <f t="shared" si="4"/>
        <v>20.07</v>
      </c>
      <c r="AI63" s="170"/>
      <c r="AJ63" s="172">
        <f t="shared" si="8"/>
        <v>4.5885286783042302E-2</v>
      </c>
      <c r="AK63" s="172">
        <f t="shared" si="9"/>
        <v>9.3055555555555544E-2</v>
      </c>
      <c r="AL63" s="172">
        <f t="shared" si="10"/>
        <v>3.7037037037037035E-2</v>
      </c>
      <c r="AM63" s="172">
        <f t="shared" si="5"/>
        <v>4.5312500000000006E-2</v>
      </c>
      <c r="AN63" s="172">
        <f t="shared" si="5"/>
        <v>4.5312500000000006E-2</v>
      </c>
      <c r="AO63" s="172">
        <f t="shared" si="5"/>
        <v>1.363636363636375E-2</v>
      </c>
      <c r="AP63" s="187"/>
      <c r="AQ63" s="187">
        <f t="shared" si="6"/>
        <v>3.4536082474226897E-2</v>
      </c>
      <c r="AR63" s="187" t="str">
        <f t="shared" si="7"/>
        <v/>
      </c>
    </row>
    <row r="64" spans="1:45" ht="13.2">
      <c r="A64" s="176">
        <v>42657</v>
      </c>
      <c r="B64" s="162"/>
      <c r="C64" s="163">
        <v>0.43517361111111108</v>
      </c>
      <c r="D64" s="164"/>
      <c r="E64" s="164"/>
      <c r="F64" s="164"/>
      <c r="G64" s="165"/>
      <c r="H64" s="165"/>
      <c r="I64" s="162"/>
      <c r="J64" s="165"/>
      <c r="K64" s="167"/>
      <c r="L64" s="167"/>
      <c r="M64" s="167"/>
      <c r="N64" s="167"/>
      <c r="O64" s="167"/>
      <c r="P64" s="165"/>
      <c r="Q64" s="165"/>
      <c r="R64" s="168">
        <f t="shared" si="1"/>
        <v>25.5</v>
      </c>
      <c r="S64" s="205">
        <v>6.3</v>
      </c>
      <c r="T64" s="205">
        <v>9.1</v>
      </c>
      <c r="U64" s="205">
        <v>5</v>
      </c>
      <c r="V64" s="205">
        <v>5.0999999999999996</v>
      </c>
      <c r="W64" s="205"/>
      <c r="X64" s="213"/>
      <c r="Y64" s="170">
        <f t="shared" si="2"/>
        <v>10.1</v>
      </c>
      <c r="Z64" s="170"/>
      <c r="AA64" s="171">
        <f t="shared" si="3"/>
        <v>25.400000000000002</v>
      </c>
      <c r="AB64" s="202">
        <v>6.39</v>
      </c>
      <c r="AC64" s="202">
        <v>9.4499999999999993</v>
      </c>
      <c r="AD64" s="202">
        <v>4.78</v>
      </c>
      <c r="AE64" s="202">
        <v>4.78</v>
      </c>
      <c r="AF64" s="202"/>
      <c r="AG64" s="202"/>
      <c r="AH64" s="170">
        <f t="shared" si="4"/>
        <v>9.56</v>
      </c>
      <c r="AI64" s="170"/>
      <c r="AJ64" s="172">
        <f t="shared" si="8"/>
        <v>-3.9215686274508971E-3</v>
      </c>
      <c r="AK64" s="172">
        <f t="shared" si="9"/>
        <v>1.4285714285714263E-2</v>
      </c>
      <c r="AL64" s="172">
        <f t="shared" si="10"/>
        <v>3.8461538461538422E-2</v>
      </c>
      <c r="AM64" s="172">
        <f t="shared" si="5"/>
        <v>-4.3999999999999949E-2</v>
      </c>
      <c r="AN64" s="172">
        <f t="shared" si="5"/>
        <v>-6.2745098039215574E-2</v>
      </c>
      <c r="AO64" s="172" t="str">
        <f t="shared" si="5"/>
        <v/>
      </c>
      <c r="AP64" s="187"/>
      <c r="AQ64" s="187">
        <f t="shared" si="6"/>
        <v>-5.3465346534653381E-2</v>
      </c>
      <c r="AR64" s="187" t="str">
        <f t="shared" si="7"/>
        <v/>
      </c>
      <c r="AS64" s="2" t="s">
        <v>123</v>
      </c>
    </row>
    <row r="65" spans="1:45" ht="13.2">
      <c r="A65" s="176">
        <v>42657</v>
      </c>
      <c r="B65" s="162"/>
      <c r="C65" s="163">
        <v>0.43636574074074069</v>
      </c>
      <c r="D65" s="164"/>
      <c r="E65" s="164"/>
      <c r="F65" s="164"/>
      <c r="G65" s="165"/>
      <c r="H65" s="165"/>
      <c r="I65" s="162"/>
      <c r="J65" s="165"/>
      <c r="K65" s="167"/>
      <c r="L65" s="167"/>
      <c r="M65" s="167"/>
      <c r="N65" s="167"/>
      <c r="O65" s="167"/>
      <c r="P65" s="165"/>
      <c r="Q65" s="165"/>
      <c r="R65" s="168">
        <f t="shared" si="1"/>
        <v>38.599999999999994</v>
      </c>
      <c r="S65" s="205">
        <v>5.4</v>
      </c>
      <c r="T65" s="205">
        <v>12.4</v>
      </c>
      <c r="U65" s="205">
        <v>10.1</v>
      </c>
      <c r="V65" s="205">
        <v>10.7</v>
      </c>
      <c r="W65" s="205"/>
      <c r="X65" s="213"/>
      <c r="Y65" s="170">
        <f t="shared" si="2"/>
        <v>20.799999999999997</v>
      </c>
      <c r="Z65" s="170"/>
      <c r="AA65" s="171">
        <f t="shared" si="3"/>
        <v>37.33</v>
      </c>
      <c r="AB65" s="202">
        <v>5.0999999999999996</v>
      </c>
      <c r="AC65" s="202">
        <v>12.33</v>
      </c>
      <c r="AD65" s="202">
        <v>9.9499999999999993</v>
      </c>
      <c r="AE65" s="202">
        <v>9.9499999999999993</v>
      </c>
      <c r="AF65" s="202"/>
      <c r="AG65" s="202"/>
      <c r="AH65" s="170">
        <f t="shared" si="4"/>
        <v>19.899999999999999</v>
      </c>
      <c r="AI65" s="170"/>
      <c r="AJ65" s="172">
        <f t="shared" si="8"/>
        <v>-3.2901554404144981E-2</v>
      </c>
      <c r="AK65" s="172">
        <f t="shared" si="9"/>
        <v>-5.5555555555555684E-2</v>
      </c>
      <c r="AL65" s="172">
        <f t="shared" si="10"/>
        <v>-5.6451612903226037E-3</v>
      </c>
      <c r="AM65" s="172">
        <f t="shared" si="5"/>
        <v>-1.4851485148514887E-2</v>
      </c>
      <c r="AN65" s="172">
        <f t="shared" si="5"/>
        <v>-7.0093457943925241E-2</v>
      </c>
      <c r="AO65" s="172" t="str">
        <f t="shared" si="5"/>
        <v/>
      </c>
      <c r="AP65" s="187"/>
      <c r="AQ65" s="187">
        <f t="shared" si="6"/>
        <v>-4.3269230769230706E-2</v>
      </c>
      <c r="AR65" s="187" t="str">
        <f t="shared" si="7"/>
        <v/>
      </c>
      <c r="AS65" s="2" t="s">
        <v>124</v>
      </c>
    </row>
    <row r="66" spans="1:45" ht="13.2">
      <c r="A66" s="176">
        <v>42657</v>
      </c>
      <c r="B66" s="162"/>
      <c r="C66" s="163">
        <v>0.4420486111111111</v>
      </c>
      <c r="D66" s="164"/>
      <c r="E66" s="164"/>
      <c r="F66" s="164"/>
      <c r="G66" s="165"/>
      <c r="H66" s="165"/>
      <c r="I66" s="162"/>
      <c r="J66" s="165"/>
      <c r="K66" s="167"/>
      <c r="L66" s="167"/>
      <c r="M66" s="167"/>
      <c r="N66" s="167"/>
      <c r="O66" s="167"/>
      <c r="P66" s="165"/>
      <c r="Q66" s="165"/>
      <c r="R66" s="168">
        <f t="shared" si="1"/>
        <v>10.9</v>
      </c>
      <c r="S66" s="205">
        <v>5.5</v>
      </c>
      <c r="T66" s="205">
        <v>5.4</v>
      </c>
      <c r="U66" s="205"/>
      <c r="V66" s="205"/>
      <c r="W66" s="205"/>
      <c r="X66" s="213"/>
      <c r="Y66" s="170">
        <f t="shared" si="2"/>
        <v>0</v>
      </c>
      <c r="Z66" s="170"/>
      <c r="AA66" s="171">
        <f t="shared" si="3"/>
        <v>11.08</v>
      </c>
      <c r="AB66" s="202">
        <v>5.64</v>
      </c>
      <c r="AC66" s="202">
        <v>5.44</v>
      </c>
      <c r="AD66" s="202"/>
      <c r="AE66" s="202"/>
      <c r="AF66" s="202"/>
      <c r="AG66" s="202"/>
      <c r="AH66" s="170">
        <f t="shared" si="4"/>
        <v>0</v>
      </c>
      <c r="AI66" s="170"/>
      <c r="AJ66" s="172">
        <f t="shared" si="8"/>
        <v>1.6513761467889881E-2</v>
      </c>
      <c r="AK66" s="172">
        <f t="shared" si="9"/>
        <v>2.5454545454545396E-2</v>
      </c>
      <c r="AL66" s="172">
        <f t="shared" si="10"/>
        <v>7.4074074074074138E-3</v>
      </c>
      <c r="AM66" s="172" t="str">
        <f t="shared" si="5"/>
        <v/>
      </c>
      <c r="AN66" s="172" t="str">
        <f t="shared" si="5"/>
        <v/>
      </c>
      <c r="AO66" s="172" t="str">
        <f t="shared" si="5"/>
        <v/>
      </c>
      <c r="AP66" s="187"/>
      <c r="AQ66" s="187" t="str">
        <f t="shared" si="6"/>
        <v/>
      </c>
      <c r="AR66" s="187" t="str">
        <f t="shared" si="7"/>
        <v/>
      </c>
    </row>
    <row r="67" spans="1:45" ht="13.2">
      <c r="A67" s="176">
        <v>42657</v>
      </c>
      <c r="B67" s="162"/>
      <c r="C67" s="163">
        <v>0.44268518518518518</v>
      </c>
      <c r="D67" s="164"/>
      <c r="E67" s="164"/>
      <c r="F67" s="164"/>
      <c r="G67" s="165"/>
      <c r="H67" s="165"/>
      <c r="I67" s="162"/>
      <c r="J67" s="165"/>
      <c r="K67" s="167"/>
      <c r="L67" s="167"/>
      <c r="M67" s="167"/>
      <c r="N67" s="167"/>
      <c r="O67" s="167"/>
      <c r="P67" s="165"/>
      <c r="Q67" s="165"/>
      <c r="R67" s="168">
        <f t="shared" si="1"/>
        <v>10.7</v>
      </c>
      <c r="S67" s="205">
        <v>4.2</v>
      </c>
      <c r="T67" s="205">
        <v>6.5</v>
      </c>
      <c r="U67" s="205"/>
      <c r="V67" s="205"/>
      <c r="W67" s="205"/>
      <c r="X67" s="213"/>
      <c r="Y67" s="170">
        <f t="shared" si="2"/>
        <v>0</v>
      </c>
      <c r="Z67" s="170"/>
      <c r="AA67" s="171">
        <f t="shared" si="3"/>
        <v>10.96</v>
      </c>
      <c r="AB67" s="202">
        <v>4.21</v>
      </c>
      <c r="AC67" s="202">
        <v>6.75</v>
      </c>
      <c r="AD67" s="202"/>
      <c r="AE67" s="202"/>
      <c r="AF67" s="202"/>
      <c r="AG67" s="202"/>
      <c r="AH67" s="170">
        <f t="shared" si="4"/>
        <v>0</v>
      </c>
      <c r="AI67" s="170"/>
      <c r="AJ67" s="172">
        <f t="shared" si="8"/>
        <v>2.4299065420560897E-2</v>
      </c>
      <c r="AK67" s="172">
        <f t="shared" si="9"/>
        <v>2.38095238095233E-3</v>
      </c>
      <c r="AL67" s="172">
        <f t="shared" si="10"/>
        <v>3.8461538461538464E-2</v>
      </c>
      <c r="AM67" s="172" t="str">
        <f t="shared" ref="AM67:AM68" si="11">IF(U67&gt;0,(AD67-U67)/U67,"")</f>
        <v/>
      </c>
      <c r="AN67" s="172" t="str">
        <f t="shared" si="5"/>
        <v/>
      </c>
      <c r="AO67" s="172" t="str">
        <f t="shared" si="5"/>
        <v/>
      </c>
      <c r="AP67" s="187"/>
      <c r="AQ67" s="187" t="str">
        <f t="shared" si="6"/>
        <v/>
      </c>
      <c r="AR67" s="187" t="str">
        <f t="shared" si="7"/>
        <v/>
      </c>
    </row>
    <row r="68" spans="1:45" ht="13.2">
      <c r="A68" s="176">
        <v>42657</v>
      </c>
      <c r="B68" s="162"/>
      <c r="C68" s="163">
        <v>0.44809027777777777</v>
      </c>
      <c r="D68" s="164"/>
      <c r="E68" s="164"/>
      <c r="F68" s="164"/>
      <c r="G68" s="165"/>
      <c r="H68" s="165"/>
      <c r="I68" s="162"/>
      <c r="J68" s="165"/>
      <c r="K68" s="167"/>
      <c r="L68" s="167"/>
      <c r="M68" s="167"/>
      <c r="N68" s="167"/>
      <c r="O68" s="167"/>
      <c r="P68" s="165"/>
      <c r="Q68" s="165"/>
      <c r="R68" s="168">
        <f t="shared" si="1"/>
        <v>20.8</v>
      </c>
      <c r="S68" s="205">
        <v>6.3</v>
      </c>
      <c r="T68" s="205">
        <v>4.9000000000000004</v>
      </c>
      <c r="U68" s="205">
        <v>3.1</v>
      </c>
      <c r="V68" s="205">
        <v>3.2</v>
      </c>
      <c r="W68" s="205">
        <v>3.3</v>
      </c>
      <c r="X68" s="213"/>
      <c r="Y68" s="170">
        <f t="shared" si="2"/>
        <v>9.6000000000000014</v>
      </c>
      <c r="Z68" s="170"/>
      <c r="AA68" s="171">
        <f t="shared" si="3"/>
        <v>21.230000000000004</v>
      </c>
      <c r="AB68" s="202">
        <v>6.62</v>
      </c>
      <c r="AC68" s="202">
        <v>4.9800000000000004</v>
      </c>
      <c r="AD68" s="202">
        <v>3.21</v>
      </c>
      <c r="AE68" s="202">
        <v>3.21</v>
      </c>
      <c r="AF68" s="202">
        <v>3.21</v>
      </c>
      <c r="AG68" s="202"/>
      <c r="AH68" s="170">
        <f t="shared" si="4"/>
        <v>9.629999999999999</v>
      </c>
      <c r="AI68" s="170"/>
      <c r="AJ68" s="172">
        <f t="shared" si="8"/>
        <v>2.0673076923077079E-2</v>
      </c>
      <c r="AK68" s="172">
        <f t="shared" si="9"/>
        <v>5.0793650793650842E-2</v>
      </c>
      <c r="AL68" s="172">
        <f t="shared" si="10"/>
        <v>1.632653061224491E-2</v>
      </c>
      <c r="AM68" s="172">
        <f t="shared" si="11"/>
        <v>3.5483870967741894E-2</v>
      </c>
      <c r="AN68" s="172">
        <f t="shared" si="5"/>
        <v>3.1249999999999334E-3</v>
      </c>
      <c r="AO68" s="172">
        <f t="shared" si="5"/>
        <v>-2.727272727272723E-2</v>
      </c>
      <c r="AP68" s="187"/>
      <c r="AQ68" s="187">
        <f t="shared" si="6"/>
        <v>3.1249999999997478E-3</v>
      </c>
      <c r="AR68" s="187" t="str">
        <f t="shared" si="7"/>
        <v/>
      </c>
    </row>
    <row r="69" spans="1:45" ht="13.2">
      <c r="A69" s="169"/>
      <c r="B69" s="162"/>
      <c r="C69" s="163"/>
      <c r="D69" s="164"/>
      <c r="E69" s="164"/>
      <c r="F69" s="164"/>
      <c r="G69" s="165"/>
      <c r="H69" s="165"/>
      <c r="I69" s="162"/>
      <c r="J69" s="165"/>
      <c r="K69" s="167"/>
      <c r="L69" s="167"/>
      <c r="M69" s="167"/>
      <c r="N69" s="167"/>
      <c r="O69" s="167"/>
      <c r="P69" s="165"/>
      <c r="Q69" s="165"/>
      <c r="R69" s="168"/>
      <c r="S69" s="169"/>
      <c r="T69" s="169"/>
      <c r="U69" s="169"/>
      <c r="V69" s="169"/>
      <c r="W69" s="169"/>
      <c r="X69" s="169"/>
      <c r="Y69" s="170"/>
      <c r="Z69" s="170"/>
      <c r="AA69" s="175"/>
      <c r="AB69" s="211"/>
      <c r="AC69" s="211"/>
      <c r="AD69" s="211"/>
      <c r="AE69" s="211"/>
      <c r="AF69" s="211"/>
      <c r="AG69" s="211"/>
      <c r="AH69" s="170"/>
      <c r="AI69" s="170"/>
      <c r="AJ69" s="172"/>
      <c r="AK69" s="173"/>
      <c r="AL69" s="173"/>
      <c r="AM69" s="173"/>
      <c r="AN69" s="173"/>
      <c r="AO69" s="173"/>
      <c r="AP69" s="173"/>
      <c r="AQ69" s="174"/>
      <c r="AR69" s="174" t="str">
        <f t="shared" si="7"/>
        <v/>
      </c>
    </row>
    <row r="70" spans="1:45" ht="13.2">
      <c r="A70" s="169"/>
      <c r="B70" s="162"/>
      <c r="C70" s="163"/>
      <c r="D70" s="164"/>
      <c r="E70" s="164"/>
      <c r="F70" s="164"/>
      <c r="G70" s="165"/>
      <c r="H70" s="165"/>
      <c r="I70" s="162"/>
      <c r="J70" s="165"/>
      <c r="K70" s="167"/>
      <c r="L70" s="167"/>
      <c r="M70" s="167"/>
      <c r="N70" s="167"/>
      <c r="O70" s="167"/>
      <c r="P70" s="165"/>
      <c r="Q70" s="165"/>
      <c r="R70" s="168"/>
      <c r="S70" s="169"/>
      <c r="T70" s="169"/>
      <c r="U70" s="169"/>
      <c r="V70" s="169"/>
      <c r="W70" s="169"/>
      <c r="X70" s="169"/>
      <c r="Y70" s="170"/>
      <c r="Z70" s="170"/>
      <c r="AA70" s="175"/>
      <c r="AB70" s="211"/>
      <c r="AC70" s="211"/>
      <c r="AD70" s="211"/>
      <c r="AE70" s="211"/>
      <c r="AF70" s="211"/>
      <c r="AG70" s="211"/>
      <c r="AH70" s="170"/>
      <c r="AI70" s="170"/>
      <c r="AJ70" s="172"/>
      <c r="AK70" s="173"/>
      <c r="AL70" s="173"/>
      <c r="AM70" s="173"/>
      <c r="AN70" s="173"/>
      <c r="AO70" s="173"/>
      <c r="AP70" s="173"/>
      <c r="AQ70" s="174"/>
      <c r="AR70" s="174" t="str">
        <f t="shared" si="7"/>
        <v/>
      </c>
    </row>
    <row r="71" spans="1:45" ht="13.2">
      <c r="A71" s="141"/>
      <c r="B71" s="142"/>
      <c r="C71" s="143"/>
      <c r="I71" s="142"/>
      <c r="K71"/>
      <c r="L71"/>
      <c r="M71"/>
      <c r="N71"/>
      <c r="O71"/>
      <c r="R71" s="156"/>
      <c r="S71" s="141"/>
      <c r="T71" s="141"/>
      <c r="U71" s="141"/>
      <c r="V71" s="141"/>
      <c r="W71" s="141"/>
      <c r="X71" s="141"/>
      <c r="Y71" s="157"/>
      <c r="Z71" s="157"/>
      <c r="AA71" s="158"/>
      <c r="AB71" s="212"/>
      <c r="AC71" s="212"/>
      <c r="AD71" s="212"/>
      <c r="AE71" s="212"/>
      <c r="AF71" s="212"/>
      <c r="AG71" s="212"/>
      <c r="AH71" s="157"/>
      <c r="AI71" s="157"/>
      <c r="AJ71" s="159"/>
      <c r="AK71" s="160"/>
      <c r="AL71" s="160"/>
      <c r="AM71" s="160"/>
      <c r="AN71" s="160"/>
      <c r="AO71" s="160"/>
      <c r="AP71" s="160"/>
      <c r="AQ71" s="161"/>
      <c r="AR71" s="161" t="str">
        <f t="shared" si="7"/>
        <v/>
      </c>
    </row>
    <row r="72" spans="1:45" ht="13.2">
      <c r="A72" s="141"/>
      <c r="B72" s="142"/>
      <c r="C72" s="143"/>
      <c r="I72" s="142"/>
      <c r="K72"/>
      <c r="L72"/>
      <c r="M72"/>
      <c r="N72"/>
      <c r="O72"/>
      <c r="R72" s="82"/>
      <c r="S72" s="141"/>
      <c r="T72" s="141"/>
      <c r="U72" s="141"/>
      <c r="V72" s="141"/>
      <c r="W72" s="141"/>
      <c r="X72" s="141"/>
      <c r="Y72" s="41"/>
      <c r="Z72" s="41"/>
      <c r="AA72" s="40"/>
      <c r="AB72" s="212"/>
      <c r="AC72" s="212"/>
      <c r="AD72" s="212"/>
      <c r="AE72" s="212"/>
      <c r="AF72" s="212"/>
      <c r="AG72" s="212"/>
      <c r="AH72" s="41"/>
      <c r="AI72" s="41"/>
      <c r="AJ72" s="42"/>
      <c r="AK72" s="43"/>
      <c r="AL72" s="43"/>
      <c r="AM72" s="43"/>
      <c r="AN72" s="43"/>
      <c r="AO72" s="43"/>
      <c r="AP72" s="43"/>
      <c r="AQ72" s="44"/>
      <c r="AR72" s="44" t="str">
        <f t="shared" ref="AR72:AR134" si="12">IF(Z72&lt;&gt;"",(AI72-Z72)/Z72,"")</f>
        <v/>
      </c>
    </row>
    <row r="73" spans="1:45" ht="13.2">
      <c r="A73" s="141"/>
      <c r="B73" s="142"/>
      <c r="C73" s="143"/>
      <c r="I73" s="142"/>
      <c r="K73"/>
      <c r="L73"/>
      <c r="M73"/>
      <c r="N73"/>
      <c r="O73"/>
      <c r="R73" s="82"/>
      <c r="S73" s="141"/>
      <c r="T73" s="141"/>
      <c r="U73" s="141"/>
      <c r="V73" s="141"/>
      <c r="W73" s="141"/>
      <c r="X73" s="141"/>
      <c r="Y73" s="41"/>
      <c r="Z73" s="41"/>
      <c r="AA73" s="40"/>
      <c r="AB73" s="212"/>
      <c r="AC73" s="212"/>
      <c r="AD73" s="212"/>
      <c r="AE73" s="212"/>
      <c r="AF73" s="212"/>
      <c r="AG73" s="212"/>
      <c r="AH73" s="41"/>
      <c r="AI73" s="41"/>
      <c r="AJ73" s="42"/>
      <c r="AK73" s="43"/>
      <c r="AL73" s="43"/>
      <c r="AM73" s="43"/>
      <c r="AN73" s="43"/>
      <c r="AO73" s="43"/>
      <c r="AP73" s="43"/>
      <c r="AQ73" s="44"/>
      <c r="AR73" s="44" t="str">
        <f t="shared" si="12"/>
        <v/>
      </c>
    </row>
    <row r="74" spans="1:45" ht="13.2">
      <c r="A74" s="141"/>
      <c r="B74" s="142"/>
      <c r="C74" s="143"/>
      <c r="I74" s="142"/>
      <c r="K74"/>
      <c r="L74"/>
      <c r="M74"/>
      <c r="N74"/>
      <c r="O74"/>
      <c r="R74" s="82"/>
      <c r="S74" s="141"/>
      <c r="T74" s="141"/>
      <c r="U74" s="141"/>
      <c r="V74" s="141"/>
      <c r="W74" s="141"/>
      <c r="X74" s="141"/>
      <c r="Y74" s="41"/>
      <c r="Z74" s="41"/>
      <c r="AA74" s="40"/>
      <c r="AB74" s="212"/>
      <c r="AC74" s="212"/>
      <c r="AD74" s="212"/>
      <c r="AE74" s="212"/>
      <c r="AF74" s="212"/>
      <c r="AG74" s="212"/>
      <c r="AH74" s="41"/>
      <c r="AI74" s="41"/>
      <c r="AJ74" s="42"/>
      <c r="AK74" s="43"/>
      <c r="AL74" s="43"/>
      <c r="AM74" s="43"/>
      <c r="AN74" s="43"/>
      <c r="AO74" s="43"/>
      <c r="AP74" s="43"/>
      <c r="AQ74" s="44"/>
      <c r="AR74" s="44" t="str">
        <f t="shared" si="12"/>
        <v/>
      </c>
    </row>
    <row r="75" spans="1:45" ht="13.2">
      <c r="A75" s="141"/>
      <c r="B75" s="142"/>
      <c r="C75" s="143"/>
      <c r="I75" s="142"/>
      <c r="K75"/>
      <c r="L75"/>
      <c r="M75"/>
      <c r="N75"/>
      <c r="O75"/>
      <c r="R75" s="82"/>
      <c r="S75" s="141"/>
      <c r="T75" s="141"/>
      <c r="U75" s="141"/>
      <c r="V75" s="141"/>
      <c r="W75" s="141"/>
      <c r="X75" s="141"/>
      <c r="Y75" s="41"/>
      <c r="Z75" s="41"/>
      <c r="AA75" s="40"/>
      <c r="AB75" s="212"/>
      <c r="AC75" s="212"/>
      <c r="AD75" s="212"/>
      <c r="AE75" s="212"/>
      <c r="AF75" s="212"/>
      <c r="AG75" s="212"/>
      <c r="AH75" s="41"/>
      <c r="AI75" s="41"/>
      <c r="AJ75" s="42"/>
      <c r="AK75" s="43"/>
      <c r="AL75" s="43"/>
      <c r="AM75" s="43"/>
      <c r="AN75" s="43"/>
      <c r="AO75" s="43"/>
      <c r="AP75" s="43"/>
      <c r="AQ75" s="44"/>
      <c r="AR75" s="44" t="str">
        <f t="shared" si="12"/>
        <v/>
      </c>
    </row>
    <row r="76" spans="1:45" ht="13.2">
      <c r="A76" s="141"/>
      <c r="B76" s="142"/>
      <c r="C76" s="143"/>
      <c r="I76" s="142"/>
      <c r="K76"/>
      <c r="L76"/>
      <c r="M76"/>
      <c r="N76"/>
      <c r="O76"/>
      <c r="R76" s="82"/>
      <c r="S76" s="141"/>
      <c r="T76" s="141"/>
      <c r="U76" s="141"/>
      <c r="V76" s="141"/>
      <c r="W76" s="141"/>
      <c r="X76" s="141"/>
      <c r="Y76" s="41"/>
      <c r="Z76" s="41"/>
      <c r="AA76" s="40"/>
      <c r="AB76" s="212"/>
      <c r="AC76" s="212"/>
      <c r="AD76" s="212"/>
      <c r="AE76" s="212"/>
      <c r="AF76" s="212"/>
      <c r="AG76" s="212"/>
      <c r="AH76" s="41"/>
      <c r="AI76" s="41"/>
      <c r="AJ76" s="42"/>
      <c r="AK76" s="43"/>
      <c r="AL76" s="43"/>
      <c r="AM76" s="43"/>
      <c r="AN76" s="43"/>
      <c r="AO76" s="43"/>
      <c r="AP76" s="43"/>
      <c r="AQ76" s="44"/>
      <c r="AR76" s="44" t="str">
        <f t="shared" si="12"/>
        <v/>
      </c>
    </row>
    <row r="77" spans="1:45" ht="13.2">
      <c r="A77" s="141"/>
      <c r="B77" s="142"/>
      <c r="C77" s="143"/>
      <c r="I77" s="142"/>
      <c r="K77"/>
      <c r="L77"/>
      <c r="M77"/>
      <c r="N77"/>
      <c r="O77"/>
      <c r="R77" s="82"/>
      <c r="S77" s="141"/>
      <c r="T77" s="141"/>
      <c r="U77" s="141"/>
      <c r="V77" s="141"/>
      <c r="W77" s="141"/>
      <c r="X77" s="141"/>
      <c r="Y77" s="41"/>
      <c r="Z77" s="41"/>
      <c r="AA77" s="40"/>
      <c r="AB77" s="212"/>
      <c r="AC77" s="212"/>
      <c r="AD77" s="212"/>
      <c r="AE77" s="212"/>
      <c r="AF77" s="212"/>
      <c r="AG77" s="212"/>
      <c r="AH77" s="41"/>
      <c r="AI77" s="41"/>
      <c r="AJ77" s="42"/>
      <c r="AK77" s="43"/>
      <c r="AL77" s="43"/>
      <c r="AM77" s="43"/>
      <c r="AN77" s="43"/>
      <c r="AO77" s="43"/>
      <c r="AP77" s="43"/>
      <c r="AQ77" s="44"/>
      <c r="AR77" s="44" t="str">
        <f t="shared" si="12"/>
        <v/>
      </c>
    </row>
    <row r="78" spans="1:45" ht="13.2">
      <c r="A78" s="141"/>
      <c r="B78" s="142"/>
      <c r="C78" s="143"/>
      <c r="I78" s="142"/>
      <c r="K78"/>
      <c r="L78"/>
      <c r="M78"/>
      <c r="N78"/>
      <c r="O78"/>
      <c r="R78" s="82"/>
      <c r="S78" s="141"/>
      <c r="T78" s="141"/>
      <c r="U78" s="141"/>
      <c r="V78" s="141"/>
      <c r="W78" s="141"/>
      <c r="X78" s="141"/>
      <c r="Y78" s="41"/>
      <c r="Z78" s="41"/>
      <c r="AA78" s="40"/>
      <c r="AB78" s="212"/>
      <c r="AC78" s="212"/>
      <c r="AD78" s="212"/>
      <c r="AE78" s="212"/>
      <c r="AF78" s="212"/>
      <c r="AG78" s="212"/>
      <c r="AH78" s="41"/>
      <c r="AI78" s="41"/>
      <c r="AJ78" s="42"/>
      <c r="AK78" s="43"/>
      <c r="AL78" s="43"/>
      <c r="AM78" s="43"/>
      <c r="AN78" s="43"/>
      <c r="AO78" s="43"/>
      <c r="AP78" s="43"/>
      <c r="AQ78" s="44"/>
      <c r="AR78" s="44" t="str">
        <f t="shared" si="12"/>
        <v/>
      </c>
    </row>
    <row r="79" spans="1:45" ht="13.2">
      <c r="A79" s="141"/>
      <c r="B79" s="142"/>
      <c r="C79" s="143"/>
      <c r="I79" s="142"/>
      <c r="K79"/>
      <c r="L79"/>
      <c r="M79"/>
      <c r="N79"/>
      <c r="O79"/>
      <c r="R79" s="82"/>
      <c r="S79" s="141"/>
      <c r="T79" s="141"/>
      <c r="U79" s="141"/>
      <c r="V79" s="141"/>
      <c r="W79" s="141"/>
      <c r="X79" s="141"/>
      <c r="Y79" s="41"/>
      <c r="Z79" s="41"/>
      <c r="AA79" s="40"/>
      <c r="AB79" s="212"/>
      <c r="AC79" s="212"/>
      <c r="AD79" s="212"/>
      <c r="AE79" s="212"/>
      <c r="AF79" s="212"/>
      <c r="AG79" s="212"/>
      <c r="AH79" s="41"/>
      <c r="AI79" s="41"/>
      <c r="AJ79" s="42"/>
      <c r="AK79" s="43"/>
      <c r="AL79" s="43"/>
      <c r="AM79" s="43"/>
      <c r="AN79" s="43"/>
      <c r="AO79" s="43"/>
      <c r="AP79" s="43"/>
      <c r="AQ79" s="44"/>
      <c r="AR79" s="44" t="str">
        <f t="shared" si="12"/>
        <v/>
      </c>
    </row>
    <row r="80" spans="1:45" ht="13.2">
      <c r="A80" s="141"/>
      <c r="B80" s="142"/>
      <c r="C80" s="143"/>
      <c r="I80" s="142"/>
      <c r="K80"/>
      <c r="L80"/>
      <c r="M80"/>
      <c r="N80"/>
      <c r="O80"/>
      <c r="R80" s="82"/>
      <c r="S80" s="141"/>
      <c r="T80" s="141"/>
      <c r="U80" s="141"/>
      <c r="V80" s="141"/>
      <c r="W80" s="141"/>
      <c r="X80" s="141"/>
      <c r="Y80" s="41"/>
      <c r="Z80" s="41"/>
      <c r="AA80" s="40"/>
      <c r="AB80" s="212"/>
      <c r="AC80" s="212"/>
      <c r="AD80" s="212"/>
      <c r="AE80" s="212"/>
      <c r="AF80" s="212"/>
      <c r="AG80" s="212"/>
      <c r="AH80" s="41"/>
      <c r="AI80" s="41"/>
      <c r="AJ80" s="42"/>
      <c r="AK80" s="43"/>
      <c r="AL80" s="43"/>
      <c r="AM80" s="43"/>
      <c r="AN80" s="43"/>
      <c r="AO80" s="43"/>
      <c r="AP80" s="43"/>
      <c r="AQ80" s="44"/>
      <c r="AR80" s="44" t="str">
        <f t="shared" si="12"/>
        <v/>
      </c>
    </row>
    <row r="81" spans="1:44" ht="13.2">
      <c r="A81" s="141"/>
      <c r="B81" s="142"/>
      <c r="C81" s="143"/>
      <c r="I81" s="142"/>
      <c r="K81"/>
      <c r="L81"/>
      <c r="M81"/>
      <c r="N81"/>
      <c r="O81"/>
      <c r="R81" s="82"/>
      <c r="S81" s="141"/>
      <c r="T81" s="141"/>
      <c r="U81" s="141"/>
      <c r="V81" s="141"/>
      <c r="W81" s="141"/>
      <c r="X81" s="141"/>
      <c r="Y81" s="41"/>
      <c r="Z81" s="41"/>
      <c r="AA81" s="40"/>
      <c r="AB81" s="212"/>
      <c r="AC81" s="212"/>
      <c r="AD81" s="212"/>
      <c r="AE81" s="212"/>
      <c r="AF81" s="212"/>
      <c r="AG81" s="212"/>
      <c r="AH81" s="41"/>
      <c r="AI81" s="41"/>
      <c r="AJ81" s="42"/>
      <c r="AK81" s="43"/>
      <c r="AL81" s="43"/>
      <c r="AM81" s="43"/>
      <c r="AN81" s="43"/>
      <c r="AO81" s="43"/>
      <c r="AP81" s="43"/>
      <c r="AQ81" s="44"/>
      <c r="AR81" s="44" t="str">
        <f t="shared" si="12"/>
        <v/>
      </c>
    </row>
    <row r="82" spans="1:44" ht="13.2">
      <c r="A82" s="141"/>
      <c r="B82" s="142"/>
      <c r="C82" s="143"/>
      <c r="I82" s="142"/>
      <c r="K82"/>
      <c r="L82"/>
      <c r="M82"/>
      <c r="N82"/>
      <c r="O82"/>
      <c r="R82" s="82"/>
      <c r="S82" s="141"/>
      <c r="T82" s="141"/>
      <c r="U82" s="141"/>
      <c r="V82" s="141"/>
      <c r="W82" s="141"/>
      <c r="X82" s="141"/>
      <c r="Y82" s="41"/>
      <c r="Z82" s="41"/>
      <c r="AA82" s="40"/>
      <c r="AB82" s="212"/>
      <c r="AC82" s="212"/>
      <c r="AD82" s="212"/>
      <c r="AE82" s="212"/>
      <c r="AF82" s="212"/>
      <c r="AG82" s="212"/>
      <c r="AH82" s="41"/>
      <c r="AI82" s="41"/>
      <c r="AJ82" s="42"/>
      <c r="AK82" s="43"/>
      <c r="AL82" s="43"/>
      <c r="AM82" s="43"/>
      <c r="AN82" s="43"/>
      <c r="AO82" s="43"/>
      <c r="AP82" s="43"/>
      <c r="AQ82" s="44"/>
      <c r="AR82" s="44" t="str">
        <f t="shared" si="12"/>
        <v/>
      </c>
    </row>
    <row r="83" spans="1:44" ht="13.2">
      <c r="A83" s="141"/>
      <c r="B83" s="142"/>
      <c r="C83" s="143"/>
      <c r="I83" s="142"/>
      <c r="K83"/>
      <c r="L83"/>
      <c r="M83"/>
      <c r="N83"/>
      <c r="O83"/>
      <c r="R83" s="82"/>
      <c r="S83" s="141"/>
      <c r="T83" s="141"/>
      <c r="U83" s="141"/>
      <c r="V83" s="141"/>
      <c r="W83" s="141"/>
      <c r="X83" s="141"/>
      <c r="Y83" s="41"/>
      <c r="Z83" s="41"/>
      <c r="AA83" s="40"/>
      <c r="AB83" s="212"/>
      <c r="AC83" s="212"/>
      <c r="AD83" s="212"/>
      <c r="AE83" s="212"/>
      <c r="AF83" s="212"/>
      <c r="AG83" s="212"/>
      <c r="AH83" s="41"/>
      <c r="AI83" s="41"/>
      <c r="AJ83" s="42"/>
      <c r="AK83" s="43"/>
      <c r="AL83" s="43"/>
      <c r="AM83" s="43"/>
      <c r="AN83" s="43"/>
      <c r="AO83" s="43"/>
      <c r="AP83" s="43"/>
      <c r="AQ83" s="44"/>
      <c r="AR83" s="44" t="str">
        <f t="shared" si="12"/>
        <v/>
      </c>
    </row>
    <row r="84" spans="1:44" ht="13.2">
      <c r="A84" s="141"/>
      <c r="B84" s="142"/>
      <c r="C84" s="143"/>
      <c r="I84" s="142"/>
      <c r="K84"/>
      <c r="L84"/>
      <c r="M84"/>
      <c r="N84"/>
      <c r="O84"/>
      <c r="R84" s="82"/>
      <c r="S84" s="141"/>
      <c r="T84" s="141"/>
      <c r="U84" s="141"/>
      <c r="V84" s="141"/>
      <c r="W84" s="141"/>
      <c r="X84" s="141"/>
      <c r="Y84" s="41"/>
      <c r="Z84" s="41"/>
      <c r="AA84" s="40"/>
      <c r="AB84" s="212"/>
      <c r="AC84" s="212"/>
      <c r="AD84" s="212"/>
      <c r="AE84" s="212"/>
      <c r="AF84" s="212"/>
      <c r="AG84" s="212"/>
      <c r="AH84" s="41"/>
      <c r="AI84" s="41"/>
      <c r="AJ84" s="42"/>
      <c r="AK84" s="43"/>
      <c r="AL84" s="43"/>
      <c r="AM84" s="43"/>
      <c r="AN84" s="43"/>
      <c r="AO84" s="43"/>
      <c r="AP84" s="43"/>
      <c r="AQ84" s="44"/>
      <c r="AR84" s="44" t="str">
        <f t="shared" si="12"/>
        <v/>
      </c>
    </row>
    <row r="85" spans="1:44" ht="13.2">
      <c r="A85" s="141"/>
      <c r="B85" s="142"/>
      <c r="C85" s="143"/>
      <c r="I85" s="142"/>
      <c r="K85"/>
      <c r="L85"/>
      <c r="M85"/>
      <c r="N85"/>
      <c r="O85"/>
      <c r="R85" s="82"/>
      <c r="S85" s="141"/>
      <c r="T85" s="141"/>
      <c r="U85" s="141"/>
      <c r="V85" s="141"/>
      <c r="W85" s="141"/>
      <c r="X85" s="141"/>
      <c r="Y85" s="41"/>
      <c r="Z85" s="41"/>
      <c r="AA85" s="40"/>
      <c r="AB85" s="212"/>
      <c r="AC85" s="212"/>
      <c r="AD85" s="212"/>
      <c r="AE85" s="212"/>
      <c r="AF85" s="212"/>
      <c r="AG85" s="212"/>
      <c r="AH85" s="41"/>
      <c r="AI85" s="41"/>
      <c r="AJ85" s="42"/>
      <c r="AK85" s="43"/>
      <c r="AL85" s="43"/>
      <c r="AM85" s="43"/>
      <c r="AN85" s="43"/>
      <c r="AO85" s="43"/>
      <c r="AP85" s="43"/>
      <c r="AQ85" s="44"/>
      <c r="AR85" s="44" t="str">
        <f t="shared" si="12"/>
        <v/>
      </c>
    </row>
    <row r="86" spans="1:44" ht="13.2">
      <c r="A86" s="141"/>
      <c r="B86" s="142"/>
      <c r="C86" s="143"/>
      <c r="I86" s="142"/>
      <c r="K86"/>
      <c r="L86"/>
      <c r="M86"/>
      <c r="N86"/>
      <c r="O86"/>
      <c r="R86" s="82"/>
      <c r="S86" s="141"/>
      <c r="T86" s="141"/>
      <c r="U86" s="141"/>
      <c r="V86" s="141"/>
      <c r="W86" s="141"/>
      <c r="X86" s="141"/>
      <c r="Y86" s="41"/>
      <c r="Z86" s="41"/>
      <c r="AA86" s="40"/>
      <c r="AB86" s="212"/>
      <c r="AC86" s="212"/>
      <c r="AD86" s="212"/>
      <c r="AE86" s="212"/>
      <c r="AF86" s="212"/>
      <c r="AG86" s="212"/>
      <c r="AH86" s="41"/>
      <c r="AI86" s="41"/>
      <c r="AJ86" s="42"/>
      <c r="AK86" s="43"/>
      <c r="AL86" s="43"/>
      <c r="AM86" s="43"/>
      <c r="AN86" s="43"/>
      <c r="AO86" s="43"/>
      <c r="AP86" s="43"/>
      <c r="AQ86" s="44"/>
      <c r="AR86" s="44" t="str">
        <f t="shared" si="12"/>
        <v/>
      </c>
    </row>
    <row r="87" spans="1:44" ht="13.2">
      <c r="A87" s="141"/>
      <c r="B87" s="142"/>
      <c r="C87" s="143"/>
      <c r="I87" s="142"/>
      <c r="K87"/>
      <c r="L87"/>
      <c r="M87"/>
      <c r="N87"/>
      <c r="O87"/>
      <c r="R87" s="82"/>
      <c r="S87" s="141"/>
      <c r="T87" s="141"/>
      <c r="U87" s="141"/>
      <c r="V87" s="141"/>
      <c r="W87" s="141"/>
      <c r="X87" s="141"/>
      <c r="Y87" s="41"/>
      <c r="Z87" s="41"/>
      <c r="AA87" s="40"/>
      <c r="AB87" s="212"/>
      <c r="AC87" s="212"/>
      <c r="AD87" s="212"/>
      <c r="AE87" s="212"/>
      <c r="AF87" s="212"/>
      <c r="AG87" s="212"/>
      <c r="AH87" s="41"/>
      <c r="AI87" s="41"/>
      <c r="AJ87" s="42"/>
      <c r="AK87" s="43"/>
      <c r="AL87" s="43"/>
      <c r="AM87" s="43"/>
      <c r="AN87" s="43"/>
      <c r="AO87" s="43"/>
      <c r="AP87" s="43"/>
      <c r="AQ87" s="44"/>
      <c r="AR87" s="44" t="str">
        <f t="shared" si="12"/>
        <v/>
      </c>
    </row>
    <row r="88" spans="1:44" ht="13.2">
      <c r="A88" s="141"/>
      <c r="B88" s="142"/>
      <c r="C88" s="143"/>
      <c r="I88" s="142"/>
      <c r="K88"/>
      <c r="L88"/>
      <c r="M88"/>
      <c r="N88"/>
      <c r="O88"/>
      <c r="R88" s="82"/>
      <c r="S88" s="141"/>
      <c r="T88" s="141"/>
      <c r="U88" s="141"/>
      <c r="V88" s="141"/>
      <c r="W88" s="141"/>
      <c r="X88" s="141"/>
      <c r="Y88" s="41"/>
      <c r="Z88" s="41"/>
      <c r="AA88" s="40"/>
      <c r="AB88"/>
      <c r="AC88"/>
      <c r="AD88"/>
      <c r="AE88"/>
      <c r="AF88"/>
      <c r="AG88"/>
      <c r="AH88" s="41"/>
      <c r="AI88" s="41"/>
      <c r="AJ88" s="42"/>
      <c r="AK88" s="43"/>
      <c r="AL88" s="43"/>
      <c r="AM88" s="43"/>
      <c r="AN88" s="43"/>
      <c r="AO88" s="43"/>
      <c r="AP88" s="43"/>
      <c r="AQ88" s="44"/>
      <c r="AR88" s="44" t="str">
        <f t="shared" si="12"/>
        <v/>
      </c>
    </row>
    <row r="89" spans="1:44" ht="13.2">
      <c r="A89" s="141"/>
      <c r="B89" s="142"/>
      <c r="C89" s="143"/>
      <c r="I89" s="142"/>
      <c r="K89"/>
      <c r="L89"/>
      <c r="M89"/>
      <c r="N89"/>
      <c r="O89"/>
      <c r="R89" s="82"/>
      <c r="S89" s="141"/>
      <c r="T89" s="141"/>
      <c r="U89" s="141"/>
      <c r="V89" s="141"/>
      <c r="W89" s="141"/>
      <c r="X89" s="141"/>
      <c r="Y89" s="41"/>
      <c r="Z89" s="41"/>
      <c r="AA89" s="40"/>
      <c r="AB89"/>
      <c r="AC89"/>
      <c r="AD89"/>
      <c r="AE89"/>
      <c r="AF89"/>
      <c r="AG89"/>
      <c r="AH89" s="41"/>
      <c r="AI89" s="41"/>
      <c r="AJ89" s="42"/>
      <c r="AK89" s="43"/>
      <c r="AL89" s="43"/>
      <c r="AM89" s="43"/>
      <c r="AN89" s="43"/>
      <c r="AO89" s="43"/>
      <c r="AP89" s="43"/>
      <c r="AQ89" s="44"/>
      <c r="AR89" s="44" t="str">
        <f t="shared" si="12"/>
        <v/>
      </c>
    </row>
    <row r="90" spans="1:44" ht="13.2">
      <c r="A90" s="141"/>
      <c r="B90" s="142"/>
      <c r="C90" s="143"/>
      <c r="I90" s="142"/>
      <c r="K90"/>
      <c r="L90"/>
      <c r="M90"/>
      <c r="N90"/>
      <c r="O90"/>
      <c r="R90" s="82"/>
      <c r="S90" s="141"/>
      <c r="T90" s="141"/>
      <c r="U90" s="141"/>
      <c r="V90" s="141"/>
      <c r="W90" s="141"/>
      <c r="X90" s="141"/>
      <c r="Y90" s="41"/>
      <c r="Z90" s="41"/>
      <c r="AA90" s="40"/>
      <c r="AB90"/>
      <c r="AC90"/>
      <c r="AD90"/>
      <c r="AE90"/>
      <c r="AF90"/>
      <c r="AG90"/>
      <c r="AH90" s="41"/>
      <c r="AI90" s="41"/>
      <c r="AJ90" s="42"/>
      <c r="AK90" s="43"/>
      <c r="AL90" s="43"/>
      <c r="AM90" s="43"/>
      <c r="AN90" s="43"/>
      <c r="AO90" s="43"/>
      <c r="AP90" s="43"/>
      <c r="AQ90" s="44"/>
      <c r="AR90" s="44" t="str">
        <f t="shared" si="12"/>
        <v/>
      </c>
    </row>
    <row r="91" spans="1:44" ht="13.2">
      <c r="A91" s="141"/>
      <c r="B91" s="142"/>
      <c r="C91" s="143"/>
      <c r="I91" s="142"/>
      <c r="K91"/>
      <c r="L91"/>
      <c r="M91"/>
      <c r="N91"/>
      <c r="O91"/>
      <c r="R91" s="82"/>
      <c r="S91" s="141"/>
      <c r="T91" s="141"/>
      <c r="U91" s="141"/>
      <c r="V91" s="141"/>
      <c r="W91" s="141"/>
      <c r="X91" s="141"/>
      <c r="Y91" s="41"/>
      <c r="Z91" s="41"/>
      <c r="AA91" s="40"/>
      <c r="AB91"/>
      <c r="AC91"/>
      <c r="AD91"/>
      <c r="AE91"/>
      <c r="AF91"/>
      <c r="AG91"/>
      <c r="AH91" s="41"/>
      <c r="AI91" s="41"/>
      <c r="AJ91" s="42"/>
      <c r="AK91" s="43"/>
      <c r="AL91" s="43"/>
      <c r="AM91" s="43"/>
      <c r="AN91" s="43"/>
      <c r="AO91" s="43"/>
      <c r="AP91" s="43"/>
      <c r="AQ91" s="44"/>
      <c r="AR91" s="44" t="str">
        <f t="shared" si="12"/>
        <v/>
      </c>
    </row>
    <row r="92" spans="1:44" ht="13.2">
      <c r="A92" s="141"/>
      <c r="B92" s="142"/>
      <c r="C92" s="143"/>
      <c r="I92" s="142"/>
      <c r="K92"/>
      <c r="L92"/>
      <c r="M92"/>
      <c r="N92"/>
      <c r="O92"/>
      <c r="R92" s="82"/>
      <c r="S92" s="141"/>
      <c r="T92" s="141"/>
      <c r="U92" s="141"/>
      <c r="V92" s="141"/>
      <c r="W92" s="141"/>
      <c r="X92" s="141"/>
      <c r="Y92" s="41"/>
      <c r="Z92" s="41"/>
      <c r="AA92" s="40"/>
      <c r="AB92"/>
      <c r="AC92"/>
      <c r="AD92"/>
      <c r="AE92"/>
      <c r="AF92"/>
      <c r="AG92"/>
      <c r="AH92" s="41"/>
      <c r="AI92" s="41"/>
      <c r="AJ92" s="42"/>
      <c r="AK92" s="43"/>
      <c r="AL92" s="43"/>
      <c r="AM92" s="43"/>
      <c r="AN92" s="43"/>
      <c r="AO92" s="43"/>
      <c r="AP92" s="43"/>
      <c r="AQ92" s="44"/>
      <c r="AR92" s="44" t="str">
        <f t="shared" si="12"/>
        <v/>
      </c>
    </row>
    <row r="93" spans="1:44" ht="13.2">
      <c r="A93" s="141"/>
      <c r="B93" s="142"/>
      <c r="C93" s="143"/>
      <c r="I93" s="142"/>
      <c r="K93"/>
      <c r="L93"/>
      <c r="M93"/>
      <c r="N93"/>
      <c r="O93"/>
      <c r="R93" s="82"/>
      <c r="S93" s="141"/>
      <c r="T93" s="141"/>
      <c r="U93" s="141"/>
      <c r="V93" s="141"/>
      <c r="W93" s="141"/>
      <c r="X93" s="141"/>
      <c r="Y93" s="41"/>
      <c r="Z93" s="41"/>
      <c r="AA93" s="40"/>
      <c r="AB93"/>
      <c r="AC93"/>
      <c r="AD93"/>
      <c r="AE93"/>
      <c r="AF93"/>
      <c r="AG93"/>
      <c r="AH93" s="41"/>
      <c r="AI93" s="41"/>
      <c r="AJ93" s="42"/>
      <c r="AK93" s="43"/>
      <c r="AL93" s="43"/>
      <c r="AM93" s="43"/>
      <c r="AN93" s="43"/>
      <c r="AO93" s="43"/>
      <c r="AP93" s="43"/>
      <c r="AQ93" s="44"/>
      <c r="AR93" s="44" t="str">
        <f t="shared" si="12"/>
        <v/>
      </c>
    </row>
    <row r="94" spans="1:44" ht="13.2">
      <c r="A94" s="141"/>
      <c r="B94" s="142"/>
      <c r="C94" s="143"/>
      <c r="I94" s="142"/>
      <c r="K94"/>
      <c r="L94"/>
      <c r="M94"/>
      <c r="N94"/>
      <c r="O94"/>
      <c r="R94" s="82"/>
      <c r="S94" s="141"/>
      <c r="T94" s="141"/>
      <c r="U94" s="141"/>
      <c r="V94" s="141"/>
      <c r="W94" s="141"/>
      <c r="X94" s="141"/>
      <c r="Y94" s="41"/>
      <c r="Z94" s="41"/>
      <c r="AA94" s="40"/>
      <c r="AB94"/>
      <c r="AC94"/>
      <c r="AD94"/>
      <c r="AE94"/>
      <c r="AF94"/>
      <c r="AG94"/>
      <c r="AH94" s="41"/>
      <c r="AI94" s="41"/>
      <c r="AJ94" s="42"/>
      <c r="AK94" s="43"/>
      <c r="AL94" s="43"/>
      <c r="AM94" s="43"/>
      <c r="AN94" s="43"/>
      <c r="AO94" s="43"/>
      <c r="AP94" s="43"/>
      <c r="AQ94" s="44"/>
      <c r="AR94" s="44" t="str">
        <f t="shared" si="12"/>
        <v/>
      </c>
    </row>
    <row r="95" spans="1:44" ht="13.2">
      <c r="A95" s="141"/>
      <c r="B95" s="142"/>
      <c r="C95" s="143"/>
      <c r="I95" s="142"/>
      <c r="K95"/>
      <c r="L95"/>
      <c r="M95"/>
      <c r="N95"/>
      <c r="O95"/>
      <c r="R95" s="82"/>
      <c r="S95" s="141"/>
      <c r="T95" s="141"/>
      <c r="U95" s="141"/>
      <c r="V95" s="141"/>
      <c r="W95" s="141"/>
      <c r="X95" s="141"/>
      <c r="Y95" s="41"/>
      <c r="Z95" s="41"/>
      <c r="AA95" s="40"/>
      <c r="AB95"/>
      <c r="AC95"/>
      <c r="AD95"/>
      <c r="AE95"/>
      <c r="AF95"/>
      <c r="AG95"/>
      <c r="AH95" s="41"/>
      <c r="AI95" s="41"/>
      <c r="AJ95" s="42"/>
      <c r="AK95" s="43"/>
      <c r="AL95" s="43"/>
      <c r="AM95" s="43"/>
      <c r="AN95" s="43"/>
      <c r="AO95" s="43"/>
      <c r="AP95" s="43"/>
      <c r="AQ95" s="44"/>
      <c r="AR95" s="44" t="str">
        <f t="shared" si="12"/>
        <v/>
      </c>
    </row>
    <row r="96" spans="1:44" ht="13.2">
      <c r="A96" s="141"/>
      <c r="B96" s="142"/>
      <c r="C96" s="143"/>
      <c r="I96" s="142"/>
      <c r="K96"/>
      <c r="L96"/>
      <c r="M96"/>
      <c r="N96"/>
      <c r="O96"/>
      <c r="R96" s="82"/>
      <c r="S96" s="141"/>
      <c r="T96" s="141"/>
      <c r="U96" s="141"/>
      <c r="V96" s="141"/>
      <c r="W96" s="141"/>
      <c r="X96" s="141"/>
      <c r="Y96" s="41"/>
      <c r="Z96" s="41"/>
      <c r="AA96" s="40"/>
      <c r="AB96"/>
      <c r="AC96"/>
      <c r="AD96"/>
      <c r="AE96"/>
      <c r="AF96"/>
      <c r="AG96"/>
      <c r="AH96" s="41"/>
      <c r="AI96" s="41"/>
      <c r="AJ96" s="42"/>
      <c r="AK96" s="43"/>
      <c r="AL96" s="43"/>
      <c r="AM96" s="43"/>
      <c r="AN96" s="43"/>
      <c r="AO96" s="43"/>
      <c r="AP96" s="43"/>
      <c r="AQ96" s="44"/>
      <c r="AR96" s="44" t="str">
        <f t="shared" si="12"/>
        <v/>
      </c>
    </row>
    <row r="97" spans="1:44" ht="13.2">
      <c r="A97" s="141"/>
      <c r="B97" s="142"/>
      <c r="C97" s="143"/>
      <c r="I97" s="142"/>
      <c r="K97"/>
      <c r="L97"/>
      <c r="M97"/>
      <c r="N97"/>
      <c r="O97"/>
      <c r="R97" s="82"/>
      <c r="S97" s="141"/>
      <c r="T97" s="141"/>
      <c r="U97" s="141"/>
      <c r="V97" s="141"/>
      <c r="W97" s="141"/>
      <c r="X97" s="141"/>
      <c r="Y97" s="41"/>
      <c r="Z97" s="41"/>
      <c r="AA97" s="40"/>
      <c r="AB97"/>
      <c r="AC97"/>
      <c r="AD97"/>
      <c r="AE97"/>
      <c r="AF97"/>
      <c r="AG97"/>
      <c r="AH97" s="41"/>
      <c r="AI97" s="41"/>
      <c r="AJ97" s="42"/>
      <c r="AK97" s="43"/>
      <c r="AL97" s="43"/>
      <c r="AM97" s="43"/>
      <c r="AN97" s="43"/>
      <c r="AO97" s="43"/>
      <c r="AP97" s="43"/>
      <c r="AQ97" s="44"/>
      <c r="AR97" s="44" t="str">
        <f t="shared" si="12"/>
        <v/>
      </c>
    </row>
    <row r="98" spans="1:44" ht="13.2">
      <c r="A98" s="141"/>
      <c r="B98" s="142"/>
      <c r="C98" s="143"/>
      <c r="I98" s="142"/>
      <c r="K98"/>
      <c r="L98"/>
      <c r="M98"/>
      <c r="N98"/>
      <c r="O98"/>
      <c r="R98" s="82"/>
      <c r="S98" s="141"/>
      <c r="T98" s="141"/>
      <c r="U98" s="141"/>
      <c r="V98" s="141"/>
      <c r="W98" s="141"/>
      <c r="X98" s="141"/>
      <c r="Y98" s="41"/>
      <c r="Z98" s="41"/>
      <c r="AA98" s="40"/>
      <c r="AB98"/>
      <c r="AC98"/>
      <c r="AD98"/>
      <c r="AE98"/>
      <c r="AF98"/>
      <c r="AG98"/>
      <c r="AH98" s="41"/>
      <c r="AI98" s="41"/>
      <c r="AJ98" s="42"/>
      <c r="AK98" s="43"/>
      <c r="AL98" s="43"/>
      <c r="AM98" s="43"/>
      <c r="AN98" s="43"/>
      <c r="AO98" s="43"/>
      <c r="AP98" s="43"/>
      <c r="AQ98" s="44"/>
      <c r="AR98" s="44" t="str">
        <f t="shared" si="12"/>
        <v/>
      </c>
    </row>
    <row r="99" spans="1:44" ht="13.2">
      <c r="A99" s="141"/>
      <c r="B99" s="142"/>
      <c r="C99" s="143"/>
      <c r="I99" s="142"/>
      <c r="K99"/>
      <c r="L99"/>
      <c r="M99"/>
      <c r="N99"/>
      <c r="O99"/>
      <c r="R99" s="82"/>
      <c r="S99" s="141"/>
      <c r="T99" s="141"/>
      <c r="U99" s="141"/>
      <c r="V99" s="141"/>
      <c r="W99" s="141"/>
      <c r="X99" s="141"/>
      <c r="Y99" s="41"/>
      <c r="Z99" s="41"/>
      <c r="AA99" s="40"/>
      <c r="AB99"/>
      <c r="AC99"/>
      <c r="AD99" s="2"/>
      <c r="AE99"/>
      <c r="AF99"/>
      <c r="AG99"/>
      <c r="AH99" s="41"/>
      <c r="AI99" s="41"/>
      <c r="AJ99" s="42"/>
      <c r="AK99" s="43"/>
      <c r="AL99" s="43"/>
      <c r="AM99" s="43"/>
      <c r="AN99" s="43"/>
      <c r="AO99" s="43"/>
      <c r="AP99" s="43"/>
      <c r="AQ99" s="44"/>
      <c r="AR99" s="44" t="str">
        <f t="shared" si="12"/>
        <v/>
      </c>
    </row>
    <row r="100" spans="1:44" ht="13.2">
      <c r="A100" s="141"/>
      <c r="B100" s="142"/>
      <c r="C100" s="143"/>
      <c r="I100" s="142"/>
      <c r="K100"/>
      <c r="L100"/>
      <c r="M100"/>
      <c r="N100"/>
      <c r="O100"/>
      <c r="R100" s="82"/>
      <c r="S100" s="141"/>
      <c r="T100" s="141"/>
      <c r="U100" s="141"/>
      <c r="V100" s="141"/>
      <c r="W100" s="141"/>
      <c r="X100" s="141"/>
      <c r="Y100" s="41"/>
      <c r="Z100" s="41"/>
      <c r="AA100" s="40"/>
      <c r="AB100"/>
      <c r="AC100"/>
      <c r="AD100"/>
      <c r="AE100"/>
      <c r="AF100"/>
      <c r="AG100"/>
      <c r="AH100" s="41"/>
      <c r="AI100" s="41"/>
      <c r="AJ100" s="42"/>
      <c r="AK100" s="43"/>
      <c r="AL100" s="43"/>
      <c r="AM100" s="43"/>
      <c r="AN100" s="43"/>
      <c r="AO100" s="43"/>
      <c r="AP100" s="43"/>
      <c r="AQ100" s="44"/>
      <c r="AR100" s="44" t="str">
        <f t="shared" si="12"/>
        <v/>
      </c>
    </row>
    <row r="101" spans="1:44" ht="13.2">
      <c r="A101" s="141"/>
      <c r="B101" s="142"/>
      <c r="C101" s="143"/>
      <c r="I101" s="142"/>
      <c r="K101"/>
      <c r="L101"/>
      <c r="M101"/>
      <c r="N101"/>
      <c r="O101"/>
      <c r="R101" s="82"/>
      <c r="S101" s="141"/>
      <c r="T101" s="141"/>
      <c r="U101" s="141"/>
      <c r="V101" s="141"/>
      <c r="W101" s="141"/>
      <c r="X101" s="141"/>
      <c r="Y101" s="41"/>
      <c r="Z101" s="41"/>
      <c r="AA101" s="40"/>
      <c r="AB101"/>
      <c r="AC101"/>
      <c r="AD101"/>
      <c r="AE101"/>
      <c r="AF101"/>
      <c r="AG101"/>
      <c r="AH101" s="41"/>
      <c r="AI101" s="41"/>
      <c r="AJ101" s="42"/>
      <c r="AK101" s="43"/>
      <c r="AL101" s="43"/>
      <c r="AM101" s="43"/>
      <c r="AN101" s="43"/>
      <c r="AO101" s="43"/>
      <c r="AP101" s="43"/>
      <c r="AQ101" s="44"/>
      <c r="AR101" s="44" t="str">
        <f t="shared" si="12"/>
        <v/>
      </c>
    </row>
    <row r="102" spans="1:44" ht="13.2">
      <c r="A102" s="141"/>
      <c r="B102" s="142"/>
      <c r="C102" s="143"/>
      <c r="I102" s="142"/>
      <c r="K102"/>
      <c r="L102"/>
      <c r="M102"/>
      <c r="N102"/>
      <c r="O102"/>
      <c r="R102" s="82"/>
      <c r="S102" s="141"/>
      <c r="T102" s="141"/>
      <c r="U102" s="141"/>
      <c r="V102" s="141"/>
      <c r="W102" s="141"/>
      <c r="X102" s="141"/>
      <c r="Y102" s="41"/>
      <c r="Z102" s="41"/>
      <c r="AA102" s="40"/>
      <c r="AB102"/>
      <c r="AC102"/>
      <c r="AD102"/>
      <c r="AE102"/>
      <c r="AF102"/>
      <c r="AG102"/>
      <c r="AH102" s="41"/>
      <c r="AI102" s="41"/>
      <c r="AJ102" s="42"/>
      <c r="AK102" s="43"/>
      <c r="AL102" s="43"/>
      <c r="AM102" s="43"/>
      <c r="AN102" s="43"/>
      <c r="AO102" s="43"/>
      <c r="AP102" s="43"/>
      <c r="AQ102" s="44"/>
      <c r="AR102" s="44" t="str">
        <f t="shared" si="12"/>
        <v/>
      </c>
    </row>
    <row r="103" spans="1:44" ht="13.2">
      <c r="A103" s="141"/>
      <c r="B103" s="142"/>
      <c r="C103" s="143"/>
      <c r="I103" s="142"/>
      <c r="K103"/>
      <c r="L103"/>
      <c r="M103"/>
      <c r="N103"/>
      <c r="O103"/>
      <c r="R103" s="82"/>
      <c r="S103" s="141"/>
      <c r="T103" s="141"/>
      <c r="U103" s="141"/>
      <c r="V103" s="141"/>
      <c r="W103" s="141"/>
      <c r="X103" s="141"/>
      <c r="Y103" s="41"/>
      <c r="Z103" s="41"/>
      <c r="AA103" s="40"/>
      <c r="AB103"/>
      <c r="AC103"/>
      <c r="AD103"/>
      <c r="AE103"/>
      <c r="AF103"/>
      <c r="AG103"/>
      <c r="AH103" s="41"/>
      <c r="AI103" s="41"/>
      <c r="AJ103" s="42"/>
      <c r="AK103" s="43"/>
      <c r="AL103" s="43"/>
      <c r="AM103" s="43"/>
      <c r="AN103" s="43"/>
      <c r="AO103" s="43"/>
      <c r="AP103" s="43"/>
      <c r="AQ103" s="44"/>
      <c r="AR103" s="44" t="str">
        <f t="shared" si="12"/>
        <v/>
      </c>
    </row>
    <row r="104" spans="1:44" ht="13.2">
      <c r="A104" s="141"/>
      <c r="B104" s="142"/>
      <c r="C104" s="143"/>
      <c r="I104" s="142"/>
      <c r="K104"/>
      <c r="L104"/>
      <c r="M104"/>
      <c r="N104"/>
      <c r="O104"/>
      <c r="R104" s="82"/>
      <c r="S104" s="141"/>
      <c r="T104" s="141"/>
      <c r="U104" s="141"/>
      <c r="V104" s="141"/>
      <c r="W104" s="141"/>
      <c r="X104" s="141"/>
      <c r="Y104" s="41"/>
      <c r="Z104" s="41"/>
      <c r="AA104" s="40"/>
      <c r="AB104"/>
      <c r="AC104"/>
      <c r="AD104"/>
      <c r="AE104"/>
      <c r="AF104"/>
      <c r="AG104"/>
      <c r="AH104" s="41"/>
      <c r="AI104" s="41"/>
      <c r="AJ104" s="42"/>
      <c r="AK104" s="43"/>
      <c r="AL104" s="43"/>
      <c r="AM104" s="43"/>
      <c r="AN104" s="43"/>
      <c r="AO104" s="43"/>
      <c r="AP104" s="43"/>
      <c r="AQ104" s="44"/>
      <c r="AR104" s="44" t="str">
        <f t="shared" si="12"/>
        <v/>
      </c>
    </row>
    <row r="105" spans="1:44" ht="13.2">
      <c r="A105" s="141"/>
      <c r="B105" s="142"/>
      <c r="C105" s="143"/>
      <c r="I105" s="142"/>
      <c r="K105"/>
      <c r="L105"/>
      <c r="M105"/>
      <c r="N105"/>
      <c r="O105"/>
      <c r="R105" s="82"/>
      <c r="S105" s="141"/>
      <c r="T105" s="141"/>
      <c r="U105" s="141"/>
      <c r="V105" s="141"/>
      <c r="W105" s="141"/>
      <c r="X105" s="141"/>
      <c r="Y105" s="41"/>
      <c r="Z105" s="41"/>
      <c r="AA105" s="40"/>
      <c r="AB105"/>
      <c r="AC105"/>
      <c r="AD105"/>
      <c r="AE105"/>
      <c r="AF105"/>
      <c r="AG105"/>
      <c r="AH105" s="41"/>
      <c r="AI105" s="41"/>
      <c r="AJ105" s="42"/>
      <c r="AK105" s="43"/>
      <c r="AL105" s="43"/>
      <c r="AM105" s="43"/>
      <c r="AN105" s="43"/>
      <c r="AO105" s="43"/>
      <c r="AP105" s="43"/>
      <c r="AQ105" s="44"/>
      <c r="AR105" s="44" t="str">
        <f t="shared" si="12"/>
        <v/>
      </c>
    </row>
    <row r="106" spans="1:44" ht="13.2">
      <c r="A106" s="141"/>
      <c r="B106" s="142"/>
      <c r="C106" s="143"/>
      <c r="I106" s="142"/>
      <c r="K106"/>
      <c r="L106"/>
      <c r="M106"/>
      <c r="N106"/>
      <c r="O106"/>
      <c r="R106" s="82"/>
      <c r="S106" s="141"/>
      <c r="T106" s="141"/>
      <c r="U106" s="141"/>
      <c r="V106" s="141"/>
      <c r="W106" s="141"/>
      <c r="X106" s="141"/>
      <c r="Y106" s="41"/>
      <c r="Z106" s="41"/>
      <c r="AA106" s="40"/>
      <c r="AB106"/>
      <c r="AC106"/>
      <c r="AD106"/>
      <c r="AE106"/>
      <c r="AF106"/>
      <c r="AG106"/>
      <c r="AH106" s="41"/>
      <c r="AI106" s="41"/>
      <c r="AJ106" s="42"/>
      <c r="AK106" s="43"/>
      <c r="AL106" s="43"/>
      <c r="AM106" s="43"/>
      <c r="AN106" s="43"/>
      <c r="AO106" s="43"/>
      <c r="AP106" s="43"/>
      <c r="AQ106" s="44"/>
      <c r="AR106" s="44" t="str">
        <f t="shared" si="12"/>
        <v/>
      </c>
    </row>
    <row r="107" spans="1:44" ht="13.2">
      <c r="A107" s="141"/>
      <c r="B107" s="142"/>
      <c r="C107" s="143"/>
      <c r="I107" s="142"/>
      <c r="K107"/>
      <c r="L107"/>
      <c r="M107"/>
      <c r="N107"/>
      <c r="O107"/>
      <c r="R107" s="82"/>
      <c r="S107" s="141"/>
      <c r="T107" s="141"/>
      <c r="U107" s="141"/>
      <c r="V107" s="141"/>
      <c r="W107" s="141"/>
      <c r="X107" s="141"/>
      <c r="Y107" s="41"/>
      <c r="Z107" s="41"/>
      <c r="AA107" s="40"/>
      <c r="AB107"/>
      <c r="AC107"/>
      <c r="AD107"/>
      <c r="AE107"/>
      <c r="AF107"/>
      <c r="AG107"/>
      <c r="AH107" s="41"/>
      <c r="AI107" s="41"/>
      <c r="AJ107" s="42"/>
      <c r="AK107" s="43"/>
      <c r="AL107" s="43"/>
      <c r="AM107" s="43"/>
      <c r="AN107" s="43"/>
      <c r="AO107" s="43"/>
      <c r="AP107" s="43"/>
      <c r="AQ107" s="44"/>
      <c r="AR107" s="44" t="str">
        <f t="shared" si="12"/>
        <v/>
      </c>
    </row>
    <row r="108" spans="1:44" ht="13.2">
      <c r="A108" s="141"/>
      <c r="B108" s="142"/>
      <c r="C108" s="143"/>
      <c r="I108" s="142"/>
      <c r="K108"/>
      <c r="L108"/>
      <c r="M108"/>
      <c r="N108"/>
      <c r="O108"/>
      <c r="R108" s="82"/>
      <c r="S108" s="141"/>
      <c r="T108" s="141"/>
      <c r="U108" s="141"/>
      <c r="V108" s="141"/>
      <c r="W108" s="141"/>
      <c r="X108" s="141"/>
      <c r="Y108" s="41"/>
      <c r="Z108" s="41"/>
      <c r="AA108" s="40"/>
      <c r="AB108"/>
      <c r="AC108"/>
      <c r="AD108"/>
      <c r="AE108"/>
      <c r="AF108"/>
      <c r="AG108"/>
      <c r="AH108" s="41"/>
      <c r="AI108" s="41"/>
      <c r="AJ108" s="42"/>
      <c r="AK108" s="43"/>
      <c r="AL108" s="43"/>
      <c r="AM108" s="43"/>
      <c r="AN108" s="43"/>
      <c r="AO108" s="43"/>
      <c r="AP108" s="43"/>
      <c r="AQ108" s="44"/>
      <c r="AR108" s="44" t="str">
        <f t="shared" si="12"/>
        <v/>
      </c>
    </row>
    <row r="109" spans="1:44" ht="13.2">
      <c r="A109" s="141"/>
      <c r="B109" s="142"/>
      <c r="C109" s="143"/>
      <c r="I109" s="142"/>
      <c r="K109"/>
      <c r="L109"/>
      <c r="M109"/>
      <c r="N109"/>
      <c r="O109"/>
      <c r="R109" s="82"/>
      <c r="S109" s="141"/>
      <c r="T109" s="141"/>
      <c r="U109" s="141"/>
      <c r="V109" s="141"/>
      <c r="W109" s="141"/>
      <c r="X109" s="141"/>
      <c r="Y109" s="41"/>
      <c r="Z109" s="41"/>
      <c r="AA109" s="40"/>
      <c r="AB109"/>
      <c r="AC109"/>
      <c r="AD109"/>
      <c r="AE109"/>
      <c r="AF109"/>
      <c r="AG109"/>
      <c r="AH109" s="41"/>
      <c r="AI109" s="41"/>
      <c r="AJ109" s="42"/>
      <c r="AK109" s="43"/>
      <c r="AL109" s="43"/>
      <c r="AM109" s="43"/>
      <c r="AN109" s="43"/>
      <c r="AO109" s="43"/>
      <c r="AP109" s="43"/>
      <c r="AQ109" s="44"/>
      <c r="AR109" s="44" t="str">
        <f t="shared" si="12"/>
        <v/>
      </c>
    </row>
    <row r="110" spans="1:44" ht="13.2">
      <c r="A110" s="141"/>
      <c r="B110" s="142"/>
      <c r="C110" s="143"/>
      <c r="I110" s="142"/>
      <c r="K110"/>
      <c r="L110"/>
      <c r="M110"/>
      <c r="N110"/>
      <c r="O110"/>
      <c r="R110" s="82"/>
      <c r="S110" s="141"/>
      <c r="T110" s="141"/>
      <c r="U110" s="141"/>
      <c r="V110" s="141"/>
      <c r="W110" s="141"/>
      <c r="X110" s="141"/>
      <c r="Y110" s="41"/>
      <c r="Z110" s="41"/>
      <c r="AA110" s="40"/>
      <c r="AB110"/>
      <c r="AC110"/>
      <c r="AD110"/>
      <c r="AE110"/>
      <c r="AF110"/>
      <c r="AG110"/>
      <c r="AH110" s="41"/>
      <c r="AI110" s="41"/>
      <c r="AJ110" s="42"/>
      <c r="AK110" s="43"/>
      <c r="AL110" s="43"/>
      <c r="AM110" s="43"/>
      <c r="AN110" s="43"/>
      <c r="AO110" s="43"/>
      <c r="AP110" s="43"/>
      <c r="AQ110" s="44"/>
      <c r="AR110" s="44" t="str">
        <f t="shared" si="12"/>
        <v/>
      </c>
    </row>
    <row r="111" spans="1:44" ht="13.2">
      <c r="A111" s="141"/>
      <c r="B111" s="142"/>
      <c r="C111" s="143"/>
      <c r="I111" s="142"/>
      <c r="K111"/>
      <c r="L111"/>
      <c r="M111"/>
      <c r="N111"/>
      <c r="O111"/>
      <c r="R111" s="82"/>
      <c r="S111" s="141"/>
      <c r="T111" s="141"/>
      <c r="U111" s="141"/>
      <c r="V111" s="141"/>
      <c r="W111" s="141"/>
      <c r="X111" s="141"/>
      <c r="Y111" s="41"/>
      <c r="Z111" s="41"/>
      <c r="AA111" s="40"/>
      <c r="AB111"/>
      <c r="AC111"/>
      <c r="AD111"/>
      <c r="AE111"/>
      <c r="AF111"/>
      <c r="AG111"/>
      <c r="AH111" s="41"/>
      <c r="AI111" s="41"/>
      <c r="AJ111" s="42"/>
      <c r="AK111" s="43"/>
      <c r="AL111" s="43"/>
      <c r="AM111" s="43"/>
      <c r="AN111" s="43"/>
      <c r="AO111" s="43"/>
      <c r="AP111" s="43"/>
      <c r="AQ111" s="44"/>
      <c r="AR111" s="44" t="str">
        <f t="shared" si="12"/>
        <v/>
      </c>
    </row>
    <row r="112" spans="1:44" ht="13.2">
      <c r="A112" s="141"/>
      <c r="B112" s="142"/>
      <c r="C112" s="143"/>
      <c r="I112" s="142"/>
      <c r="K112"/>
      <c r="L112"/>
      <c r="M112"/>
      <c r="N112"/>
      <c r="O112"/>
      <c r="R112" s="82"/>
      <c r="S112" s="141"/>
      <c r="T112" s="141"/>
      <c r="U112" s="141"/>
      <c r="V112" s="141"/>
      <c r="W112" s="141"/>
      <c r="X112" s="141"/>
      <c r="Y112" s="41"/>
      <c r="Z112" s="41"/>
      <c r="AA112" s="40"/>
      <c r="AB112"/>
      <c r="AC112"/>
      <c r="AD112"/>
      <c r="AE112"/>
      <c r="AF112"/>
      <c r="AG112"/>
      <c r="AH112" s="41"/>
      <c r="AI112" s="41"/>
      <c r="AJ112" s="42"/>
      <c r="AK112" s="43"/>
      <c r="AL112" s="43"/>
      <c r="AM112" s="43"/>
      <c r="AN112" s="43"/>
      <c r="AO112" s="43"/>
      <c r="AP112" s="43"/>
      <c r="AQ112" s="44"/>
      <c r="AR112" s="44" t="str">
        <f t="shared" si="12"/>
        <v/>
      </c>
    </row>
    <row r="113" spans="1:44" ht="13.2">
      <c r="A113" s="141"/>
      <c r="B113" s="142"/>
      <c r="C113" s="143"/>
      <c r="I113" s="142"/>
      <c r="K113"/>
      <c r="L113"/>
      <c r="M113"/>
      <c r="N113"/>
      <c r="O113"/>
      <c r="R113" s="82"/>
      <c r="S113" s="141"/>
      <c r="T113" s="141"/>
      <c r="U113" s="141"/>
      <c r="V113" s="141"/>
      <c r="W113" s="141"/>
      <c r="X113" s="141"/>
      <c r="Y113" s="41"/>
      <c r="Z113" s="41"/>
      <c r="AA113" s="40"/>
      <c r="AB113"/>
      <c r="AC113"/>
      <c r="AD113"/>
      <c r="AE113"/>
      <c r="AF113"/>
      <c r="AG113"/>
      <c r="AH113" s="41"/>
      <c r="AI113" s="41"/>
      <c r="AJ113" s="42"/>
      <c r="AK113" s="43"/>
      <c r="AL113" s="43"/>
      <c r="AM113" s="43"/>
      <c r="AN113" s="43"/>
      <c r="AO113" s="43"/>
      <c r="AP113" s="43"/>
      <c r="AQ113" s="44"/>
      <c r="AR113" s="44" t="str">
        <f t="shared" si="12"/>
        <v/>
      </c>
    </row>
    <row r="114" spans="1:44" ht="13.2">
      <c r="A114" s="141"/>
      <c r="B114" s="142"/>
      <c r="C114" s="143"/>
      <c r="I114" s="142"/>
      <c r="K114"/>
      <c r="L114"/>
      <c r="M114"/>
      <c r="N114"/>
      <c r="O114"/>
      <c r="R114" s="82"/>
      <c r="S114" s="141"/>
      <c r="T114" s="141"/>
      <c r="U114" s="141"/>
      <c r="V114" s="141"/>
      <c r="W114" s="141"/>
      <c r="X114" s="141"/>
      <c r="Y114" s="41"/>
      <c r="Z114" s="41"/>
      <c r="AA114" s="40"/>
      <c r="AB114"/>
      <c r="AC114"/>
      <c r="AD114"/>
      <c r="AE114"/>
      <c r="AF114"/>
      <c r="AG114"/>
      <c r="AH114" s="41"/>
      <c r="AI114" s="41"/>
      <c r="AJ114" s="42"/>
      <c r="AK114" s="43"/>
      <c r="AL114" s="43"/>
      <c r="AM114" s="43"/>
      <c r="AN114" s="43"/>
      <c r="AO114" s="43"/>
      <c r="AP114" s="43"/>
      <c r="AQ114" s="44"/>
      <c r="AR114" s="44" t="str">
        <f t="shared" si="12"/>
        <v/>
      </c>
    </row>
    <row r="115" spans="1:44" ht="13.2">
      <c r="A115" s="141"/>
      <c r="B115" s="142"/>
      <c r="C115" s="143"/>
      <c r="I115" s="142"/>
      <c r="K115"/>
      <c r="L115"/>
      <c r="M115"/>
      <c r="N115"/>
      <c r="O115"/>
      <c r="R115" s="82"/>
      <c r="S115" s="141"/>
      <c r="T115" s="141"/>
      <c r="U115" s="141"/>
      <c r="V115" s="141"/>
      <c r="W115" s="141"/>
      <c r="X115" s="141"/>
      <c r="Y115" s="41"/>
      <c r="Z115" s="41"/>
      <c r="AA115" s="40"/>
      <c r="AB115"/>
      <c r="AC115"/>
      <c r="AD115"/>
      <c r="AE115"/>
      <c r="AF115"/>
      <c r="AG115"/>
      <c r="AH115" s="41"/>
      <c r="AI115" s="41"/>
      <c r="AJ115" s="42"/>
      <c r="AK115" s="43"/>
      <c r="AL115" s="43"/>
      <c r="AM115" s="43"/>
      <c r="AN115" s="43"/>
      <c r="AO115" s="43"/>
      <c r="AP115" s="43"/>
      <c r="AQ115" s="44"/>
      <c r="AR115" s="44" t="str">
        <f t="shared" si="12"/>
        <v/>
      </c>
    </row>
    <row r="116" spans="1:44" ht="13.2">
      <c r="A116" s="141"/>
      <c r="B116" s="142"/>
      <c r="C116" s="143"/>
      <c r="I116" s="142"/>
      <c r="K116"/>
      <c r="L116"/>
      <c r="M116"/>
      <c r="N116"/>
      <c r="O116"/>
      <c r="R116" s="82"/>
      <c r="S116" s="141"/>
      <c r="T116" s="141"/>
      <c r="U116" s="141"/>
      <c r="V116" s="141"/>
      <c r="W116" s="141"/>
      <c r="X116" s="141"/>
      <c r="Y116" s="41"/>
      <c r="Z116" s="41"/>
      <c r="AA116" s="40"/>
      <c r="AB116"/>
      <c r="AC116"/>
      <c r="AD116"/>
      <c r="AE116"/>
      <c r="AF116"/>
      <c r="AG116"/>
      <c r="AH116" s="41"/>
      <c r="AI116" s="41"/>
      <c r="AJ116" s="42"/>
      <c r="AK116" s="43"/>
      <c r="AL116" s="43"/>
      <c r="AM116" s="43"/>
      <c r="AN116" s="43"/>
      <c r="AO116" s="43"/>
      <c r="AP116" s="43"/>
      <c r="AQ116" s="44"/>
      <c r="AR116" s="44" t="str">
        <f t="shared" si="12"/>
        <v/>
      </c>
    </row>
    <row r="117" spans="1:44" ht="13.2">
      <c r="A117" s="141"/>
      <c r="B117" s="142"/>
      <c r="C117" s="143"/>
      <c r="I117" s="142"/>
      <c r="K117"/>
      <c r="L117"/>
      <c r="M117"/>
      <c r="N117"/>
      <c r="O117"/>
      <c r="R117" s="82"/>
      <c r="S117" s="141"/>
      <c r="T117" s="141"/>
      <c r="U117" s="141"/>
      <c r="V117" s="141"/>
      <c r="W117" s="141"/>
      <c r="X117" s="141"/>
      <c r="Y117" s="41"/>
      <c r="Z117" s="41"/>
      <c r="AA117" s="40"/>
      <c r="AB117"/>
      <c r="AC117"/>
      <c r="AD117"/>
      <c r="AE117"/>
      <c r="AF117"/>
      <c r="AG117"/>
      <c r="AH117" s="41"/>
      <c r="AI117" s="41"/>
      <c r="AJ117" s="42"/>
      <c r="AK117" s="43"/>
      <c r="AL117" s="43"/>
      <c r="AM117" s="43"/>
      <c r="AN117" s="43"/>
      <c r="AO117" s="43"/>
      <c r="AP117" s="43"/>
      <c r="AQ117" s="44"/>
      <c r="AR117" s="44" t="str">
        <f t="shared" si="12"/>
        <v/>
      </c>
    </row>
    <row r="118" spans="1:44" ht="13.2">
      <c r="A118" s="141"/>
      <c r="B118" s="142"/>
      <c r="C118" s="143"/>
      <c r="I118" s="142"/>
      <c r="K118"/>
      <c r="L118"/>
      <c r="M118"/>
      <c r="N118"/>
      <c r="O118"/>
      <c r="R118" s="82"/>
      <c r="S118" s="141"/>
      <c r="T118" s="141"/>
      <c r="U118" s="141"/>
      <c r="V118" s="141"/>
      <c r="W118" s="141"/>
      <c r="X118" s="141"/>
      <c r="Y118" s="41"/>
      <c r="Z118" s="41"/>
      <c r="AA118" s="40"/>
      <c r="AB118"/>
      <c r="AC118"/>
      <c r="AD118"/>
      <c r="AE118"/>
      <c r="AF118"/>
      <c r="AG118"/>
      <c r="AH118" s="41"/>
      <c r="AI118" s="41"/>
      <c r="AJ118" s="42"/>
      <c r="AK118" s="43"/>
      <c r="AL118" s="43"/>
      <c r="AM118" s="43"/>
      <c r="AN118" s="43"/>
      <c r="AO118" s="43"/>
      <c r="AP118" s="43"/>
      <c r="AQ118" s="44"/>
      <c r="AR118" s="44" t="str">
        <f t="shared" si="12"/>
        <v/>
      </c>
    </row>
    <row r="119" spans="1:44" ht="13.2">
      <c r="A119" s="141"/>
      <c r="B119" s="142"/>
      <c r="C119" s="143"/>
      <c r="I119" s="142"/>
      <c r="K119"/>
      <c r="L119"/>
      <c r="M119"/>
      <c r="N119"/>
      <c r="O119"/>
      <c r="R119" s="82"/>
      <c r="S119" s="141"/>
      <c r="T119" s="141"/>
      <c r="U119" s="141"/>
      <c r="V119" s="141"/>
      <c r="W119" s="141"/>
      <c r="X119" s="141"/>
      <c r="Y119" s="41"/>
      <c r="Z119" s="41"/>
      <c r="AA119" s="40"/>
      <c r="AB119"/>
      <c r="AC119"/>
      <c r="AD119"/>
      <c r="AE119"/>
      <c r="AF119"/>
      <c r="AG119"/>
      <c r="AH119" s="41"/>
      <c r="AI119" s="41"/>
      <c r="AJ119" s="42"/>
      <c r="AK119" s="43"/>
      <c r="AL119" s="43"/>
      <c r="AM119" s="43"/>
      <c r="AN119" s="43"/>
      <c r="AO119" s="43"/>
      <c r="AP119" s="43"/>
      <c r="AQ119" s="44"/>
      <c r="AR119" s="44" t="str">
        <f t="shared" si="12"/>
        <v/>
      </c>
    </row>
    <row r="120" spans="1:44" ht="13.2">
      <c r="A120" s="141"/>
      <c r="B120" s="142"/>
      <c r="C120" s="143"/>
      <c r="I120" s="142"/>
      <c r="K120"/>
      <c r="L120"/>
      <c r="M120"/>
      <c r="N120"/>
      <c r="O120"/>
      <c r="R120" s="82"/>
      <c r="S120" s="141"/>
      <c r="T120" s="141"/>
      <c r="U120" s="141"/>
      <c r="V120" s="141"/>
      <c r="W120" s="141"/>
      <c r="X120" s="141"/>
      <c r="Y120" s="41"/>
      <c r="Z120" s="41"/>
      <c r="AA120" s="40"/>
      <c r="AB120"/>
      <c r="AC120"/>
      <c r="AD120"/>
      <c r="AE120"/>
      <c r="AF120"/>
      <c r="AG120"/>
      <c r="AH120" s="41"/>
      <c r="AI120" s="41"/>
      <c r="AJ120" s="42"/>
      <c r="AK120" s="43"/>
      <c r="AL120" s="43"/>
      <c r="AM120" s="43"/>
      <c r="AN120" s="43"/>
      <c r="AO120" s="43"/>
      <c r="AP120" s="43"/>
      <c r="AQ120" s="44"/>
      <c r="AR120" s="44" t="str">
        <f t="shared" si="12"/>
        <v/>
      </c>
    </row>
    <row r="121" spans="1:44" ht="13.2">
      <c r="A121" s="141"/>
      <c r="B121" s="142"/>
      <c r="C121" s="143"/>
      <c r="I121" s="142"/>
      <c r="K121"/>
      <c r="L121"/>
      <c r="M121"/>
      <c r="N121"/>
      <c r="O121"/>
      <c r="R121" s="82"/>
      <c r="S121" s="141"/>
      <c r="T121" s="141"/>
      <c r="U121" s="141"/>
      <c r="V121" s="141"/>
      <c r="W121" s="141"/>
      <c r="X121" s="141"/>
      <c r="Y121" s="41"/>
      <c r="Z121" s="41"/>
      <c r="AA121" s="40"/>
      <c r="AB121"/>
      <c r="AC121"/>
      <c r="AD121"/>
      <c r="AE121"/>
      <c r="AF121"/>
      <c r="AG121"/>
      <c r="AH121" s="41"/>
      <c r="AI121" s="41"/>
      <c r="AJ121" s="42"/>
      <c r="AK121" s="43"/>
      <c r="AL121" s="43"/>
      <c r="AM121" s="43"/>
      <c r="AN121" s="43"/>
      <c r="AO121" s="43"/>
      <c r="AP121" s="43"/>
      <c r="AQ121" s="44"/>
      <c r="AR121" s="44" t="str">
        <f t="shared" si="12"/>
        <v/>
      </c>
    </row>
    <row r="122" spans="1:44" ht="13.2">
      <c r="A122" s="141"/>
      <c r="B122" s="142"/>
      <c r="C122" s="143"/>
      <c r="I122" s="142"/>
      <c r="K122"/>
      <c r="L122"/>
      <c r="M122"/>
      <c r="N122"/>
      <c r="O122"/>
      <c r="R122" s="82"/>
      <c r="S122" s="141"/>
      <c r="T122" s="141"/>
      <c r="U122" s="141"/>
      <c r="V122" s="141"/>
      <c r="W122" s="141"/>
      <c r="X122" s="141"/>
      <c r="Y122" s="41"/>
      <c r="Z122" s="41"/>
      <c r="AA122" s="40"/>
      <c r="AB122"/>
      <c r="AC122"/>
      <c r="AD122"/>
      <c r="AE122"/>
      <c r="AF122"/>
      <c r="AG122"/>
      <c r="AH122" s="41"/>
      <c r="AI122" s="41"/>
      <c r="AJ122" s="42"/>
      <c r="AK122" s="43"/>
      <c r="AL122" s="43"/>
      <c r="AM122" s="43"/>
      <c r="AN122" s="43"/>
      <c r="AO122" s="43"/>
      <c r="AP122" s="43"/>
      <c r="AQ122" s="44"/>
      <c r="AR122" s="44" t="str">
        <f t="shared" si="12"/>
        <v/>
      </c>
    </row>
    <row r="123" spans="1:44" ht="13.2">
      <c r="A123" s="141"/>
      <c r="B123" s="142"/>
      <c r="C123" s="143"/>
      <c r="I123" s="142"/>
      <c r="K123"/>
      <c r="L123"/>
      <c r="M123"/>
      <c r="N123"/>
      <c r="O123"/>
      <c r="R123" s="82"/>
      <c r="S123" s="141"/>
      <c r="T123" s="141"/>
      <c r="U123" s="141"/>
      <c r="V123" s="141"/>
      <c r="W123" s="141"/>
      <c r="X123" s="141"/>
      <c r="Y123" s="41"/>
      <c r="Z123" s="41"/>
      <c r="AA123" s="40"/>
      <c r="AB123"/>
      <c r="AC123"/>
      <c r="AD123"/>
      <c r="AE123"/>
      <c r="AF123"/>
      <c r="AG123"/>
      <c r="AH123" s="41"/>
      <c r="AI123" s="41"/>
      <c r="AJ123" s="42"/>
      <c r="AK123" s="43"/>
      <c r="AL123" s="43"/>
      <c r="AM123" s="43"/>
      <c r="AN123" s="43"/>
      <c r="AO123" s="43"/>
      <c r="AP123" s="43"/>
      <c r="AQ123" s="44"/>
      <c r="AR123" s="44" t="str">
        <f t="shared" si="12"/>
        <v/>
      </c>
    </row>
    <row r="124" spans="1:44" ht="13.2">
      <c r="A124" s="141"/>
      <c r="B124" s="142"/>
      <c r="C124" s="143"/>
      <c r="I124" s="142"/>
      <c r="K124"/>
      <c r="L124"/>
      <c r="M124"/>
      <c r="N124"/>
      <c r="O124"/>
      <c r="R124" s="82"/>
      <c r="S124" s="141"/>
      <c r="T124" s="141"/>
      <c r="U124" s="141"/>
      <c r="V124" s="141"/>
      <c r="W124" s="141"/>
      <c r="X124" s="141"/>
      <c r="Y124" s="41"/>
      <c r="Z124" s="41"/>
      <c r="AA124" s="40"/>
      <c r="AB124"/>
      <c r="AC124"/>
      <c r="AD124"/>
      <c r="AE124"/>
      <c r="AF124"/>
      <c r="AG124"/>
      <c r="AH124" s="41"/>
      <c r="AI124" s="41"/>
      <c r="AJ124" s="42"/>
      <c r="AK124" s="43"/>
      <c r="AL124" s="43"/>
      <c r="AM124" s="43"/>
      <c r="AN124" s="43"/>
      <c r="AO124" s="43"/>
      <c r="AP124" s="43"/>
      <c r="AQ124" s="44"/>
      <c r="AR124" s="44" t="str">
        <f t="shared" si="12"/>
        <v/>
      </c>
    </row>
    <row r="125" spans="1:44" ht="13.2">
      <c r="A125" s="141"/>
      <c r="B125" s="142"/>
      <c r="C125" s="143"/>
      <c r="I125" s="142"/>
      <c r="K125"/>
      <c r="L125"/>
      <c r="M125"/>
      <c r="N125"/>
      <c r="O125"/>
      <c r="R125" s="82"/>
      <c r="S125" s="141"/>
      <c r="T125" s="141"/>
      <c r="U125" s="141"/>
      <c r="V125" s="141"/>
      <c r="W125" s="141"/>
      <c r="X125" s="141"/>
      <c r="Y125" s="41"/>
      <c r="Z125" s="41"/>
      <c r="AA125" s="40"/>
      <c r="AB125"/>
      <c r="AC125"/>
      <c r="AD125"/>
      <c r="AE125"/>
      <c r="AF125"/>
      <c r="AG125"/>
      <c r="AH125" s="41"/>
      <c r="AI125" s="41"/>
      <c r="AJ125" s="42"/>
      <c r="AK125" s="43"/>
      <c r="AL125" s="43"/>
      <c r="AM125" s="43"/>
      <c r="AN125" s="43"/>
      <c r="AO125" s="43"/>
      <c r="AP125" s="43"/>
      <c r="AQ125" s="44"/>
      <c r="AR125" s="44" t="str">
        <f t="shared" si="12"/>
        <v/>
      </c>
    </row>
    <row r="126" spans="1:44" ht="13.2">
      <c r="A126" s="141"/>
      <c r="B126" s="142"/>
      <c r="C126" s="143"/>
      <c r="I126" s="142"/>
      <c r="K126"/>
      <c r="L126"/>
      <c r="M126"/>
      <c r="N126"/>
      <c r="O126"/>
      <c r="R126" s="82"/>
      <c r="S126" s="141"/>
      <c r="T126" s="141"/>
      <c r="U126" s="141"/>
      <c r="V126" s="141"/>
      <c r="W126" s="141"/>
      <c r="X126" s="141"/>
      <c r="Y126" s="41"/>
      <c r="Z126" s="41"/>
      <c r="AA126" s="40"/>
      <c r="AB126"/>
      <c r="AC126"/>
      <c r="AD126"/>
      <c r="AE126"/>
      <c r="AF126"/>
      <c r="AG126"/>
      <c r="AH126" s="41"/>
      <c r="AI126" s="41"/>
      <c r="AJ126" s="42"/>
      <c r="AK126" s="43"/>
      <c r="AL126" s="43"/>
      <c r="AM126" s="43"/>
      <c r="AN126" s="43"/>
      <c r="AO126" s="43"/>
      <c r="AP126" s="43"/>
      <c r="AQ126" s="44"/>
      <c r="AR126" s="44" t="str">
        <f t="shared" si="12"/>
        <v/>
      </c>
    </row>
    <row r="127" spans="1:44" ht="13.2">
      <c r="A127" s="141"/>
      <c r="B127" s="142"/>
      <c r="C127" s="143"/>
      <c r="I127" s="142"/>
      <c r="K127"/>
      <c r="L127"/>
      <c r="M127"/>
      <c r="N127"/>
      <c r="O127"/>
      <c r="R127" s="82"/>
      <c r="S127" s="141"/>
      <c r="T127" s="141"/>
      <c r="U127" s="141"/>
      <c r="V127" s="141"/>
      <c r="W127" s="141"/>
      <c r="X127" s="141"/>
      <c r="Y127" s="41"/>
      <c r="Z127" s="41"/>
      <c r="AA127" s="40"/>
      <c r="AB127"/>
      <c r="AC127"/>
      <c r="AD127"/>
      <c r="AE127"/>
      <c r="AF127"/>
      <c r="AG127"/>
      <c r="AH127" s="41"/>
      <c r="AI127" s="41"/>
      <c r="AJ127" s="42"/>
      <c r="AK127" s="43"/>
      <c r="AL127" s="43"/>
      <c r="AM127" s="43"/>
      <c r="AN127" s="43"/>
      <c r="AO127" s="43"/>
      <c r="AP127" s="43"/>
      <c r="AQ127" s="44"/>
      <c r="AR127" s="44" t="str">
        <f t="shared" si="12"/>
        <v/>
      </c>
    </row>
    <row r="128" spans="1:44" ht="13.2">
      <c r="A128" s="141"/>
      <c r="B128" s="142"/>
      <c r="C128" s="143"/>
      <c r="I128" s="142"/>
      <c r="K128"/>
      <c r="L128"/>
      <c r="M128"/>
      <c r="N128"/>
      <c r="O128"/>
      <c r="R128" s="82"/>
      <c r="S128" s="141"/>
      <c r="T128" s="141"/>
      <c r="U128" s="141"/>
      <c r="V128" s="141"/>
      <c r="W128" s="141"/>
      <c r="X128" s="141"/>
      <c r="Y128" s="41"/>
      <c r="Z128" s="41"/>
      <c r="AA128" s="40"/>
      <c r="AB128"/>
      <c r="AC128"/>
      <c r="AD128"/>
      <c r="AE128"/>
      <c r="AF128"/>
      <c r="AG128"/>
      <c r="AH128" s="41"/>
      <c r="AI128" s="41"/>
      <c r="AJ128" s="42"/>
      <c r="AK128" s="43"/>
      <c r="AL128" s="43"/>
      <c r="AM128" s="43"/>
      <c r="AN128" s="43"/>
      <c r="AO128" s="43"/>
      <c r="AP128" s="43"/>
      <c r="AQ128" s="44"/>
      <c r="AR128" s="44" t="str">
        <f t="shared" si="12"/>
        <v/>
      </c>
    </row>
    <row r="129" spans="1:44" ht="13.2">
      <c r="A129" s="141"/>
      <c r="B129" s="142"/>
      <c r="C129" s="143"/>
      <c r="I129" s="142"/>
      <c r="K129"/>
      <c r="L129"/>
      <c r="M129"/>
      <c r="N129"/>
      <c r="O129"/>
      <c r="R129" s="82"/>
      <c r="S129" s="141"/>
      <c r="T129" s="141"/>
      <c r="U129" s="141"/>
      <c r="V129" s="141"/>
      <c r="W129" s="141"/>
      <c r="X129" s="141"/>
      <c r="Y129" s="41"/>
      <c r="Z129" s="41"/>
      <c r="AA129" s="40"/>
      <c r="AB129"/>
      <c r="AC129"/>
      <c r="AD129"/>
      <c r="AE129"/>
      <c r="AF129"/>
      <c r="AG129"/>
      <c r="AH129" s="41"/>
      <c r="AI129" s="41"/>
      <c r="AJ129" s="42"/>
      <c r="AK129" s="43"/>
      <c r="AL129" s="43"/>
      <c r="AM129" s="43"/>
      <c r="AN129" s="43"/>
      <c r="AO129" s="43"/>
      <c r="AP129" s="43"/>
      <c r="AQ129" s="44"/>
      <c r="AR129" s="44" t="str">
        <f t="shared" si="12"/>
        <v/>
      </c>
    </row>
    <row r="130" spans="1:44" ht="13.2">
      <c r="A130" s="141"/>
      <c r="B130" s="142"/>
      <c r="C130" s="143"/>
      <c r="I130" s="142"/>
      <c r="K130"/>
      <c r="L130"/>
      <c r="M130"/>
      <c r="N130"/>
      <c r="O130"/>
      <c r="R130" s="82"/>
      <c r="S130" s="141"/>
      <c r="T130" s="141"/>
      <c r="U130" s="141"/>
      <c r="V130" s="141"/>
      <c r="W130" s="141"/>
      <c r="X130" s="141"/>
      <c r="Y130" s="41"/>
      <c r="Z130" s="41"/>
      <c r="AA130" s="40"/>
      <c r="AB130"/>
      <c r="AC130"/>
      <c r="AD130"/>
      <c r="AE130"/>
      <c r="AF130"/>
      <c r="AG130"/>
      <c r="AH130" s="41"/>
      <c r="AI130" s="41"/>
      <c r="AJ130" s="42"/>
      <c r="AK130" s="43"/>
      <c r="AL130" s="43"/>
      <c r="AM130" s="43"/>
      <c r="AN130" s="43"/>
      <c r="AO130" s="43"/>
      <c r="AP130" s="43"/>
      <c r="AQ130" s="44"/>
      <c r="AR130" s="44" t="str">
        <f t="shared" si="12"/>
        <v/>
      </c>
    </row>
    <row r="131" spans="1:44" ht="13.2">
      <c r="A131" s="141"/>
      <c r="B131" s="142"/>
      <c r="C131" s="143"/>
      <c r="I131" s="142"/>
      <c r="K131"/>
      <c r="L131"/>
      <c r="M131"/>
      <c r="N131"/>
      <c r="O131"/>
      <c r="R131" s="82"/>
      <c r="S131" s="141"/>
      <c r="T131" s="141"/>
      <c r="U131" s="141"/>
      <c r="V131" s="141"/>
      <c r="W131" s="141"/>
      <c r="X131" s="141"/>
      <c r="Y131" s="41"/>
      <c r="Z131" s="41"/>
      <c r="AA131" s="40"/>
      <c r="AB131"/>
      <c r="AC131"/>
      <c r="AD131"/>
      <c r="AE131"/>
      <c r="AF131"/>
      <c r="AG131"/>
      <c r="AH131" s="41"/>
      <c r="AI131" s="41"/>
      <c r="AJ131" s="42"/>
      <c r="AK131" s="43"/>
      <c r="AL131" s="43"/>
      <c r="AM131" s="43"/>
      <c r="AN131" s="43"/>
      <c r="AO131" s="43"/>
      <c r="AP131" s="43"/>
      <c r="AQ131" s="44"/>
      <c r="AR131" s="44" t="str">
        <f t="shared" si="12"/>
        <v/>
      </c>
    </row>
    <row r="132" spans="1:44" ht="13.2">
      <c r="A132" s="141"/>
      <c r="B132" s="142"/>
      <c r="C132" s="143"/>
      <c r="I132" s="142"/>
      <c r="K132"/>
      <c r="L132"/>
      <c r="M132"/>
      <c r="N132"/>
      <c r="O132"/>
      <c r="R132" s="82"/>
      <c r="S132" s="141"/>
      <c r="T132" s="141"/>
      <c r="U132" s="141"/>
      <c r="V132" s="141"/>
      <c r="W132" s="141"/>
      <c r="X132" s="141"/>
      <c r="Y132" s="41"/>
      <c r="Z132" s="41"/>
      <c r="AA132" s="40"/>
      <c r="AB132"/>
      <c r="AC132"/>
      <c r="AD132"/>
      <c r="AE132"/>
      <c r="AF132"/>
      <c r="AG132"/>
      <c r="AH132" s="41"/>
      <c r="AI132" s="41"/>
      <c r="AJ132" s="42"/>
      <c r="AK132" s="43"/>
      <c r="AL132" s="43"/>
      <c r="AM132" s="43"/>
      <c r="AN132" s="43"/>
      <c r="AO132" s="43"/>
      <c r="AP132" s="43"/>
      <c r="AQ132" s="44"/>
      <c r="AR132" s="44" t="str">
        <f t="shared" si="12"/>
        <v/>
      </c>
    </row>
    <row r="133" spans="1:44" ht="13.2">
      <c r="A133" s="141"/>
      <c r="B133" s="142"/>
      <c r="C133" s="143"/>
      <c r="I133" s="142"/>
      <c r="K133"/>
      <c r="L133"/>
      <c r="M133"/>
      <c r="N133"/>
      <c r="O133"/>
      <c r="R133" s="82"/>
      <c r="S133" s="141"/>
      <c r="T133" s="141"/>
      <c r="U133" s="141"/>
      <c r="V133" s="141"/>
      <c r="W133" s="141"/>
      <c r="X133" s="141"/>
      <c r="Y133" s="41"/>
      <c r="Z133" s="41"/>
      <c r="AA133" s="40"/>
      <c r="AB133"/>
      <c r="AC133"/>
      <c r="AD133"/>
      <c r="AE133"/>
      <c r="AF133"/>
      <c r="AG133"/>
      <c r="AH133" s="41"/>
      <c r="AI133" s="41"/>
      <c r="AJ133" s="42"/>
      <c r="AK133" s="43"/>
      <c r="AL133" s="43"/>
      <c r="AM133" s="43"/>
      <c r="AN133" s="43"/>
      <c r="AO133" s="43"/>
      <c r="AP133" s="43"/>
      <c r="AQ133" s="44"/>
      <c r="AR133" s="44" t="str">
        <f t="shared" si="12"/>
        <v/>
      </c>
    </row>
    <row r="134" spans="1:44" ht="13.2">
      <c r="A134" s="141"/>
      <c r="B134" s="142"/>
      <c r="C134" s="143"/>
      <c r="I134" s="142"/>
      <c r="K134"/>
      <c r="L134"/>
      <c r="M134"/>
      <c r="N134"/>
      <c r="O134"/>
      <c r="R134" s="82"/>
      <c r="S134" s="141"/>
      <c r="T134" s="141"/>
      <c r="U134" s="141"/>
      <c r="V134" s="141"/>
      <c r="W134" s="141"/>
      <c r="X134" s="141"/>
      <c r="Y134" s="41"/>
      <c r="Z134" s="41"/>
      <c r="AA134" s="40"/>
      <c r="AB134"/>
      <c r="AC134"/>
      <c r="AD134"/>
      <c r="AE134"/>
      <c r="AF134"/>
      <c r="AG134"/>
      <c r="AH134" s="41"/>
      <c r="AI134" s="41"/>
      <c r="AJ134" s="42"/>
      <c r="AK134" s="43"/>
      <c r="AL134" s="43"/>
      <c r="AM134" s="43"/>
      <c r="AN134" s="43"/>
      <c r="AO134" s="43"/>
      <c r="AP134" s="43"/>
      <c r="AQ134" s="44"/>
      <c r="AR134" s="44" t="str">
        <f t="shared" si="12"/>
        <v/>
      </c>
    </row>
    <row r="135" spans="1:44" ht="13.2">
      <c r="A135" s="141"/>
      <c r="B135" s="142"/>
      <c r="C135" s="143"/>
      <c r="I135" s="142"/>
      <c r="K135"/>
      <c r="L135"/>
      <c r="M135"/>
      <c r="N135"/>
      <c r="O135"/>
      <c r="R135" s="82"/>
      <c r="S135" s="141"/>
      <c r="T135" s="141"/>
      <c r="U135" s="141"/>
      <c r="V135" s="141"/>
      <c r="W135" s="141"/>
      <c r="X135" s="141"/>
      <c r="Y135" s="41"/>
      <c r="Z135" s="41"/>
      <c r="AA135" s="40"/>
      <c r="AB135"/>
      <c r="AC135"/>
      <c r="AD135"/>
      <c r="AE135"/>
      <c r="AF135"/>
      <c r="AG135"/>
      <c r="AH135" s="41"/>
      <c r="AI135" s="41"/>
      <c r="AJ135" s="42"/>
      <c r="AK135" s="43"/>
      <c r="AL135" s="43"/>
      <c r="AM135" s="43"/>
      <c r="AN135" s="43"/>
      <c r="AO135" s="43"/>
      <c r="AP135" s="43"/>
      <c r="AQ135" s="44"/>
      <c r="AR135" s="44" t="str">
        <f>IF(Z135&lt;&gt;"",(AI135-Z135)/Z135,"")</f>
        <v/>
      </c>
    </row>
    <row r="136" spans="1:44" ht="13.2">
      <c r="A136" s="141"/>
      <c r="B136" s="142"/>
      <c r="C136" s="143"/>
      <c r="I136" s="142"/>
      <c r="K136"/>
      <c r="L136"/>
      <c r="M136"/>
      <c r="N136"/>
      <c r="O136"/>
      <c r="R136" s="82"/>
      <c r="S136" s="141"/>
      <c r="T136" s="141"/>
      <c r="U136" s="141"/>
      <c r="V136" s="141"/>
      <c r="W136" s="141"/>
      <c r="X136" s="141"/>
      <c r="Y136" s="41"/>
      <c r="Z136" s="41"/>
      <c r="AA136" s="40"/>
      <c r="AB136"/>
      <c r="AC136"/>
      <c r="AD136"/>
      <c r="AE136"/>
      <c r="AF136"/>
      <c r="AG136"/>
      <c r="AH136" s="41"/>
      <c r="AI136" s="41"/>
      <c r="AJ136" s="42"/>
      <c r="AK136" s="43"/>
      <c r="AL136" s="43"/>
      <c r="AM136" s="43"/>
      <c r="AN136" s="43"/>
      <c r="AO136" s="43"/>
      <c r="AP136" s="43"/>
      <c r="AQ136" s="44"/>
      <c r="AR136" s="44" t="str">
        <f>IF(Z136&lt;&gt;"",(AI136-Z136)/Z136,"")</f>
        <v/>
      </c>
    </row>
    <row r="137" spans="1:44" ht="13.2">
      <c r="A137" s="141"/>
      <c r="B137" s="142"/>
      <c r="C137" s="143"/>
      <c r="I137" s="142"/>
      <c r="K137"/>
      <c r="L137"/>
      <c r="M137"/>
      <c r="N137"/>
      <c r="O137"/>
      <c r="R137" s="82"/>
      <c r="S137" s="141"/>
      <c r="T137" s="141"/>
      <c r="U137" s="141"/>
      <c r="V137" s="141"/>
      <c r="W137" s="141"/>
      <c r="X137" s="141"/>
      <c r="Y137" s="41"/>
      <c r="Z137" s="41"/>
      <c r="AA137" s="40"/>
      <c r="AB137"/>
      <c r="AC137"/>
      <c r="AD137"/>
      <c r="AE137"/>
      <c r="AF137"/>
      <c r="AG137"/>
      <c r="AH137" s="41"/>
      <c r="AI137" s="41"/>
      <c r="AJ137" s="42"/>
      <c r="AK137" s="43"/>
      <c r="AL137" s="43"/>
      <c r="AM137" s="43"/>
      <c r="AN137" s="43"/>
      <c r="AO137" s="43"/>
      <c r="AP137" s="43"/>
      <c r="AQ137" s="44"/>
      <c r="AR137" s="44" t="str">
        <f>IF(Z137&lt;&gt;"",(AI137-Z137)/Z137,"")</f>
        <v/>
      </c>
    </row>
    <row r="138" spans="1:44" ht="13.2">
      <c r="A138" s="141"/>
      <c r="B138" s="142"/>
      <c r="C138" s="143"/>
      <c r="I138" s="142"/>
      <c r="K138"/>
      <c r="L138"/>
      <c r="M138"/>
      <c r="N138"/>
      <c r="O138"/>
      <c r="R138" s="82"/>
      <c r="S138" s="141"/>
      <c r="T138" s="141"/>
      <c r="U138" s="141"/>
      <c r="V138" s="141"/>
      <c r="W138" s="141"/>
      <c r="X138" s="141"/>
      <c r="Y138" s="41"/>
      <c r="Z138" s="41"/>
      <c r="AA138" s="40"/>
      <c r="AB138"/>
      <c r="AC138"/>
      <c r="AD138"/>
      <c r="AE138"/>
      <c r="AF138"/>
      <c r="AG138"/>
      <c r="AH138" s="41"/>
      <c r="AI138" s="41"/>
      <c r="AJ138" s="42"/>
      <c r="AK138" s="43"/>
      <c r="AL138" s="43"/>
      <c r="AM138" s="43"/>
      <c r="AN138" s="43"/>
      <c r="AO138" s="43"/>
      <c r="AP138" s="43"/>
      <c r="AQ138" s="44"/>
      <c r="AR138" s="44" t="str">
        <f>IF(Z138&lt;&gt;"",(AI138-Z138)/Z138,"")</f>
        <v/>
      </c>
    </row>
    <row r="139" spans="1:44" ht="13.2">
      <c r="A139" s="141"/>
      <c r="B139" s="142"/>
      <c r="C139" s="143"/>
      <c r="I139" s="142"/>
      <c r="K139"/>
      <c r="L139"/>
      <c r="M139"/>
      <c r="N139"/>
      <c r="O139"/>
      <c r="R139" s="82"/>
      <c r="S139" s="141"/>
      <c r="T139" s="141"/>
      <c r="U139" s="141"/>
      <c r="V139" s="141"/>
      <c r="W139" s="141"/>
      <c r="X139" s="141"/>
      <c r="Y139" s="41"/>
      <c r="Z139" s="41"/>
      <c r="AA139" s="40"/>
      <c r="AB139"/>
      <c r="AC139"/>
      <c r="AD139"/>
      <c r="AE139"/>
      <c r="AF139"/>
      <c r="AG139"/>
      <c r="AH139" s="41"/>
      <c r="AI139" s="41"/>
      <c r="AJ139" s="42"/>
      <c r="AK139" s="43"/>
      <c r="AL139" s="43"/>
      <c r="AM139" s="43"/>
      <c r="AN139" s="43"/>
      <c r="AO139" s="43"/>
      <c r="AP139" s="43"/>
      <c r="AQ139" s="44"/>
    </row>
    <row r="140" spans="1:44" ht="13.2">
      <c r="A140" s="141"/>
      <c r="B140" s="142"/>
      <c r="C140" s="143"/>
      <c r="I140" s="142"/>
      <c r="K140"/>
      <c r="L140"/>
      <c r="M140"/>
      <c r="N140"/>
      <c r="O140"/>
      <c r="R140" s="82"/>
      <c r="S140" s="141"/>
      <c r="T140" s="141"/>
      <c r="U140" s="141"/>
      <c r="V140" s="141"/>
      <c r="W140" s="141"/>
      <c r="X140" s="141"/>
      <c r="Y140" s="41"/>
      <c r="Z140" s="41"/>
      <c r="AA140" s="40"/>
      <c r="AB140"/>
      <c r="AC140"/>
      <c r="AD140"/>
      <c r="AE140"/>
      <c r="AF140"/>
      <c r="AG140"/>
      <c r="AH140" s="41"/>
      <c r="AI140" s="41"/>
      <c r="AJ140" s="42"/>
      <c r="AK140" s="43"/>
      <c r="AL140" s="43"/>
      <c r="AM140" s="43"/>
      <c r="AN140" s="43"/>
      <c r="AO140" s="43"/>
      <c r="AP140" s="43"/>
      <c r="AQ140" s="44"/>
    </row>
    <row r="141" spans="1:44" ht="13.2">
      <c r="A141" s="141"/>
      <c r="B141" s="142"/>
      <c r="C141" s="143"/>
      <c r="I141" s="142"/>
      <c r="K141"/>
      <c r="L141"/>
      <c r="M141"/>
      <c r="N141"/>
      <c r="O141"/>
      <c r="R141" s="82"/>
      <c r="S141" s="141"/>
      <c r="T141" s="141"/>
      <c r="U141" s="141"/>
      <c r="V141" s="141"/>
      <c r="W141" s="141"/>
      <c r="X141" s="141"/>
      <c r="Y141" s="41"/>
      <c r="Z141" s="41"/>
      <c r="AA141" s="40"/>
      <c r="AB141"/>
      <c r="AC141"/>
      <c r="AD141"/>
      <c r="AE141"/>
      <c r="AF141"/>
      <c r="AG141"/>
      <c r="AH141" s="41"/>
      <c r="AI141" s="41"/>
      <c r="AJ141" s="42"/>
      <c r="AK141" s="43"/>
      <c r="AL141" s="43"/>
      <c r="AM141" s="43"/>
      <c r="AN141" s="43"/>
      <c r="AO141" s="43"/>
      <c r="AP141" s="43"/>
      <c r="AQ141" s="44"/>
    </row>
    <row r="142" spans="1:44" ht="13.2">
      <c r="A142" s="141"/>
      <c r="B142" s="142"/>
      <c r="C142" s="143"/>
      <c r="I142" s="142"/>
      <c r="K142"/>
      <c r="L142"/>
      <c r="M142"/>
      <c r="N142"/>
      <c r="O142"/>
      <c r="R142" s="82"/>
      <c r="S142" s="141"/>
      <c r="T142" s="141"/>
      <c r="U142" s="141"/>
      <c r="V142" s="141"/>
      <c r="W142" s="141"/>
      <c r="X142" s="141"/>
      <c r="Y142" s="41"/>
      <c r="Z142" s="41"/>
      <c r="AA142" s="40"/>
      <c r="AB142"/>
      <c r="AC142"/>
      <c r="AD142"/>
      <c r="AE142"/>
      <c r="AF142"/>
      <c r="AG142"/>
      <c r="AH142" s="41"/>
      <c r="AI142" s="41"/>
      <c r="AJ142" s="42"/>
      <c r="AK142" s="43"/>
      <c r="AL142" s="43"/>
      <c r="AM142" s="43"/>
      <c r="AN142" s="43"/>
      <c r="AO142" s="43"/>
      <c r="AP142" s="43"/>
      <c r="AQ142" s="44"/>
    </row>
    <row r="143" spans="1:44" ht="13.2">
      <c r="A143" s="141"/>
      <c r="B143" s="142"/>
      <c r="C143" s="143"/>
      <c r="I143" s="142"/>
      <c r="K143"/>
      <c r="L143"/>
      <c r="M143"/>
      <c r="N143"/>
      <c r="O143"/>
      <c r="R143" s="82"/>
      <c r="S143" s="141"/>
      <c r="T143" s="141"/>
      <c r="U143" s="141"/>
      <c r="V143" s="141"/>
      <c r="W143" s="141"/>
      <c r="X143" s="141"/>
      <c r="Y143" s="41"/>
      <c r="Z143" s="41"/>
      <c r="AA143" s="40"/>
      <c r="AB143"/>
      <c r="AC143"/>
      <c r="AD143"/>
      <c r="AE143"/>
      <c r="AF143"/>
      <c r="AG143"/>
      <c r="AH143" s="41"/>
      <c r="AI143" s="41"/>
      <c r="AJ143" s="42"/>
      <c r="AK143" s="43"/>
      <c r="AL143" s="43"/>
      <c r="AM143" s="43"/>
      <c r="AN143" s="43"/>
      <c r="AO143" s="43"/>
      <c r="AP143" s="43"/>
      <c r="AQ143" s="44"/>
    </row>
    <row r="144" spans="1:44" ht="13.2">
      <c r="A144" s="141"/>
      <c r="B144" s="142"/>
      <c r="C144" s="143"/>
      <c r="I144" s="142"/>
      <c r="K144"/>
      <c r="L144"/>
      <c r="M144"/>
      <c r="N144"/>
      <c r="O144"/>
      <c r="R144" s="82"/>
      <c r="S144" s="141"/>
      <c r="T144" s="141"/>
      <c r="U144" s="141"/>
      <c r="V144" s="141"/>
      <c r="W144" s="141"/>
      <c r="X144" s="141"/>
      <c r="Y144" s="41"/>
      <c r="Z144" s="41"/>
      <c r="AA144" s="40"/>
      <c r="AB144"/>
      <c r="AC144"/>
      <c r="AD144"/>
      <c r="AE144"/>
      <c r="AF144"/>
      <c r="AG144"/>
      <c r="AH144" s="41"/>
      <c r="AI144" s="41"/>
      <c r="AJ144" s="42"/>
      <c r="AK144" s="43"/>
      <c r="AL144" s="43"/>
      <c r="AM144" s="43"/>
      <c r="AN144" s="43"/>
      <c r="AO144" s="43"/>
      <c r="AP144" s="43"/>
      <c r="AQ144" s="44"/>
    </row>
    <row r="145" spans="1:43" ht="13.2">
      <c r="A145" s="141"/>
      <c r="B145" s="142"/>
      <c r="C145" s="143"/>
      <c r="I145" s="142"/>
      <c r="K145"/>
      <c r="L145"/>
      <c r="M145"/>
      <c r="N145"/>
      <c r="O145"/>
      <c r="R145" s="82"/>
      <c r="S145" s="141"/>
      <c r="T145" s="141"/>
      <c r="U145" s="141"/>
      <c r="V145" s="141"/>
      <c r="W145" s="141"/>
      <c r="X145" s="141"/>
      <c r="Y145" s="41"/>
      <c r="Z145" s="41"/>
      <c r="AA145" s="40"/>
      <c r="AB145"/>
      <c r="AC145"/>
      <c r="AD145"/>
      <c r="AE145"/>
      <c r="AF145"/>
      <c r="AG145"/>
      <c r="AH145" s="41"/>
      <c r="AI145" s="41"/>
      <c r="AJ145" s="42"/>
      <c r="AK145" s="43"/>
      <c r="AL145" s="43"/>
      <c r="AM145" s="43"/>
      <c r="AN145" s="43"/>
      <c r="AO145" s="43"/>
      <c r="AP145" s="43"/>
      <c r="AQ145" s="44"/>
    </row>
    <row r="146" spans="1:43" ht="13.2">
      <c r="A146" s="141"/>
      <c r="B146" s="142"/>
      <c r="C146" s="143"/>
      <c r="I146" s="142"/>
      <c r="K146"/>
      <c r="L146"/>
      <c r="M146"/>
      <c r="N146"/>
      <c r="O146"/>
      <c r="R146" s="82"/>
      <c r="S146" s="141"/>
      <c r="T146" s="141"/>
      <c r="U146" s="141"/>
      <c r="V146" s="141"/>
      <c r="W146" s="141"/>
      <c r="X146" s="141"/>
      <c r="Y146" s="41"/>
      <c r="Z146" s="41"/>
      <c r="AA146" s="40"/>
      <c r="AB146"/>
      <c r="AC146"/>
      <c r="AD146"/>
      <c r="AE146"/>
      <c r="AF146"/>
      <c r="AG146"/>
      <c r="AH146" s="41"/>
      <c r="AI146" s="41"/>
      <c r="AJ146" s="42"/>
      <c r="AK146" s="43"/>
      <c r="AL146" s="43"/>
      <c r="AM146" s="43"/>
      <c r="AN146" s="43"/>
      <c r="AO146" s="43"/>
      <c r="AP146" s="43"/>
      <c r="AQ146" s="44"/>
    </row>
    <row r="147" spans="1:43" ht="13.2">
      <c r="A147" s="141"/>
      <c r="B147" s="142"/>
      <c r="C147" s="143"/>
      <c r="I147" s="142"/>
      <c r="K147"/>
      <c r="L147"/>
      <c r="M147"/>
      <c r="N147"/>
      <c r="O147"/>
      <c r="R147" s="82"/>
      <c r="S147" s="141"/>
      <c r="T147" s="141"/>
      <c r="U147" s="141"/>
      <c r="V147" s="141"/>
      <c r="W147" s="141"/>
      <c r="X147" s="141"/>
      <c r="Y147" s="41"/>
      <c r="Z147" s="41"/>
      <c r="AA147" s="40"/>
      <c r="AB147"/>
      <c r="AC147"/>
      <c r="AD147"/>
      <c r="AE147"/>
      <c r="AF147"/>
      <c r="AG147"/>
      <c r="AH147" s="41"/>
      <c r="AI147" s="41"/>
      <c r="AJ147" s="42"/>
      <c r="AK147" s="43"/>
      <c r="AL147" s="43"/>
      <c r="AM147" s="43"/>
      <c r="AN147" s="43"/>
      <c r="AO147" s="43"/>
      <c r="AP147" s="43"/>
      <c r="AQ147" s="44"/>
    </row>
    <row r="148" spans="1:43" ht="13.2">
      <c r="A148" s="141"/>
      <c r="B148" s="142"/>
      <c r="C148" s="143"/>
      <c r="I148" s="142"/>
      <c r="K148"/>
      <c r="L148"/>
      <c r="M148"/>
      <c r="N148"/>
      <c r="O148"/>
      <c r="R148" s="82"/>
      <c r="S148" s="141"/>
      <c r="T148" s="141"/>
      <c r="U148" s="141"/>
      <c r="V148" s="141"/>
      <c r="W148" s="141"/>
      <c r="X148" s="141"/>
      <c r="Y148" s="41"/>
      <c r="Z148" s="41"/>
      <c r="AA148" s="40"/>
      <c r="AB148"/>
      <c r="AC148"/>
      <c r="AD148"/>
      <c r="AE148"/>
      <c r="AF148"/>
      <c r="AG148"/>
      <c r="AH148" s="41"/>
      <c r="AI148" s="41"/>
      <c r="AJ148" s="42"/>
      <c r="AK148" s="43"/>
      <c r="AL148" s="43"/>
      <c r="AM148" s="43"/>
      <c r="AN148" s="43"/>
      <c r="AO148" s="43"/>
      <c r="AP148" s="43"/>
      <c r="AQ148" s="44"/>
    </row>
    <row r="149" spans="1:43" ht="13.2">
      <c r="A149" s="141"/>
      <c r="B149" s="142"/>
      <c r="C149" s="143"/>
      <c r="I149" s="142"/>
      <c r="K149"/>
      <c r="L149"/>
      <c r="M149"/>
      <c r="N149"/>
      <c r="O149"/>
      <c r="R149" s="82"/>
      <c r="S149" s="141"/>
      <c r="T149" s="141"/>
      <c r="U149" s="141"/>
      <c r="V149" s="141"/>
      <c r="W149" s="141"/>
      <c r="X149" s="141"/>
      <c r="Y149" s="41"/>
      <c r="Z149" s="41"/>
      <c r="AA149" s="40"/>
      <c r="AB149"/>
      <c r="AC149"/>
      <c r="AD149"/>
      <c r="AE149"/>
      <c r="AF149"/>
      <c r="AG149"/>
      <c r="AH149" s="41"/>
      <c r="AI149" s="41"/>
      <c r="AJ149" s="42"/>
      <c r="AK149" s="43"/>
      <c r="AL149" s="43"/>
      <c r="AM149" s="43"/>
      <c r="AN149" s="43"/>
      <c r="AO149" s="43"/>
      <c r="AP149" s="43"/>
      <c r="AQ149" s="44"/>
    </row>
    <row r="150" spans="1:43" ht="13.2">
      <c r="A150" s="141"/>
      <c r="B150" s="142"/>
      <c r="C150" s="143"/>
      <c r="I150" s="142"/>
      <c r="K150"/>
      <c r="L150"/>
      <c r="M150"/>
      <c r="N150"/>
      <c r="O150"/>
      <c r="R150" s="82"/>
      <c r="S150" s="141"/>
      <c r="T150" s="141"/>
      <c r="U150" s="141"/>
      <c r="V150" s="141"/>
      <c r="W150" s="141"/>
      <c r="X150" s="141"/>
      <c r="Y150" s="41"/>
      <c r="Z150" s="41"/>
      <c r="AA150" s="40"/>
      <c r="AB150"/>
      <c r="AC150"/>
      <c r="AD150"/>
      <c r="AE150"/>
      <c r="AF150"/>
      <c r="AG150"/>
      <c r="AH150" s="41"/>
      <c r="AI150" s="41"/>
      <c r="AJ150" s="42"/>
      <c r="AK150" s="43"/>
      <c r="AL150" s="43"/>
      <c r="AM150" s="43"/>
      <c r="AN150" s="43"/>
      <c r="AO150" s="43"/>
      <c r="AP150" s="43"/>
      <c r="AQ150" s="44"/>
    </row>
    <row r="151" spans="1:43" ht="13.2">
      <c r="A151" s="141"/>
      <c r="B151" s="142"/>
      <c r="C151" s="143"/>
      <c r="I151" s="142"/>
      <c r="K151"/>
      <c r="L151"/>
      <c r="M151"/>
      <c r="N151"/>
      <c r="O151"/>
      <c r="R151" s="82"/>
      <c r="S151" s="141"/>
      <c r="T151" s="141"/>
      <c r="U151" s="141"/>
      <c r="V151" s="141"/>
      <c r="W151" s="141"/>
      <c r="X151" s="141"/>
      <c r="Y151" s="41"/>
      <c r="Z151" s="41"/>
      <c r="AA151" s="40"/>
      <c r="AB151"/>
      <c r="AC151"/>
      <c r="AD151"/>
      <c r="AE151"/>
      <c r="AF151"/>
      <c r="AG151"/>
      <c r="AH151" s="41"/>
      <c r="AI151" s="41"/>
      <c r="AJ151" s="42"/>
      <c r="AK151" s="43"/>
      <c r="AL151" s="43"/>
      <c r="AM151" s="43"/>
      <c r="AN151" s="43"/>
      <c r="AO151" s="43"/>
      <c r="AP151" s="43"/>
      <c r="AQ151" s="44"/>
    </row>
    <row r="152" spans="1:43" ht="13.2">
      <c r="A152" s="141"/>
      <c r="B152" s="142"/>
      <c r="C152" s="143"/>
      <c r="I152" s="142"/>
      <c r="K152"/>
      <c r="L152"/>
      <c r="M152"/>
      <c r="N152"/>
      <c r="O152"/>
      <c r="R152" s="82"/>
      <c r="S152" s="141"/>
      <c r="T152" s="141"/>
      <c r="U152" s="141"/>
      <c r="V152" s="141"/>
      <c r="W152" s="141"/>
      <c r="X152" s="141"/>
      <c r="Y152" s="41"/>
      <c r="Z152" s="41"/>
      <c r="AA152" s="40"/>
      <c r="AB152"/>
      <c r="AC152"/>
      <c r="AD152"/>
      <c r="AE152"/>
      <c r="AF152"/>
      <c r="AG152"/>
      <c r="AH152" s="41"/>
      <c r="AI152" s="41"/>
      <c r="AJ152" s="42"/>
      <c r="AK152" s="43"/>
      <c r="AL152" s="43"/>
      <c r="AM152" s="43"/>
      <c r="AN152" s="43"/>
      <c r="AO152" s="43"/>
      <c r="AP152" s="43"/>
      <c r="AQ152" s="44"/>
    </row>
    <row r="153" spans="1:43" ht="13.2">
      <c r="A153" s="141"/>
      <c r="B153" s="142"/>
      <c r="C153" s="143"/>
      <c r="I153" s="142"/>
      <c r="K153"/>
      <c r="L153"/>
      <c r="M153"/>
      <c r="N153"/>
      <c r="O153"/>
      <c r="R153" s="82"/>
      <c r="S153" s="141"/>
      <c r="T153" s="141"/>
      <c r="U153" s="141"/>
      <c r="V153" s="141"/>
      <c r="W153" s="141"/>
      <c r="X153" s="141"/>
      <c r="Y153" s="41"/>
      <c r="Z153" s="41"/>
      <c r="AA153" s="40"/>
      <c r="AB153"/>
      <c r="AC153"/>
      <c r="AD153"/>
      <c r="AE153"/>
      <c r="AF153"/>
      <c r="AG153"/>
      <c r="AH153" s="41"/>
      <c r="AI153" s="41"/>
      <c r="AJ153" s="42"/>
      <c r="AK153" s="43"/>
      <c r="AL153" s="43"/>
      <c r="AM153" s="43"/>
      <c r="AN153" s="43"/>
      <c r="AO153" s="43"/>
      <c r="AP153" s="43"/>
      <c r="AQ153" s="44"/>
    </row>
    <row r="154" spans="1:43" ht="13.2">
      <c r="A154" s="141"/>
      <c r="B154" s="142"/>
      <c r="C154" s="143"/>
      <c r="I154" s="142"/>
      <c r="K154"/>
      <c r="L154"/>
      <c r="M154"/>
      <c r="N154"/>
      <c r="O154"/>
      <c r="R154" s="82"/>
      <c r="S154" s="141"/>
      <c r="T154" s="141"/>
      <c r="U154" s="141"/>
      <c r="V154" s="141"/>
      <c r="W154" s="141"/>
      <c r="X154" s="141"/>
      <c r="Y154" s="41"/>
      <c r="Z154" s="41"/>
      <c r="AA154" s="40"/>
      <c r="AB154"/>
      <c r="AC154"/>
      <c r="AD154"/>
      <c r="AE154"/>
      <c r="AF154"/>
      <c r="AG154"/>
      <c r="AH154" s="41"/>
      <c r="AI154" s="41"/>
      <c r="AJ154" s="42"/>
      <c r="AK154" s="43"/>
      <c r="AL154" s="43"/>
      <c r="AM154" s="43"/>
      <c r="AN154" s="43"/>
      <c r="AO154" s="43"/>
      <c r="AP154" s="43"/>
      <c r="AQ154" s="44"/>
    </row>
    <row r="155" spans="1:43" ht="13.2">
      <c r="A155" s="141"/>
      <c r="B155" s="142"/>
      <c r="C155" s="143"/>
      <c r="I155" s="142"/>
      <c r="K155"/>
      <c r="L155"/>
      <c r="M155"/>
      <c r="N155"/>
      <c r="O155"/>
      <c r="R155" s="82"/>
      <c r="S155" s="141"/>
      <c r="T155" s="141"/>
      <c r="U155" s="141"/>
      <c r="V155" s="141"/>
      <c r="W155" s="141"/>
      <c r="X155" s="141"/>
      <c r="Y155" s="41"/>
      <c r="Z155" s="41"/>
      <c r="AA155" s="40"/>
      <c r="AB155"/>
      <c r="AC155"/>
      <c r="AD155"/>
      <c r="AE155"/>
      <c r="AF155"/>
      <c r="AG155"/>
      <c r="AH155" s="41"/>
      <c r="AI155" s="41"/>
      <c r="AJ155" s="42"/>
      <c r="AK155" s="43"/>
      <c r="AL155" s="43"/>
      <c r="AM155" s="43"/>
      <c r="AN155" s="43"/>
      <c r="AO155" s="43"/>
      <c r="AP155" s="43"/>
      <c r="AQ155" s="44"/>
    </row>
    <row r="156" spans="1:43" ht="13.2">
      <c r="A156" s="141"/>
      <c r="B156" s="142"/>
      <c r="C156" s="143"/>
      <c r="I156" s="142"/>
      <c r="K156"/>
      <c r="L156"/>
      <c r="M156"/>
      <c r="N156"/>
      <c r="O156"/>
      <c r="R156" s="82"/>
      <c r="S156" s="141"/>
      <c r="T156" s="141"/>
      <c r="U156" s="141"/>
      <c r="V156" s="141"/>
      <c r="W156" s="141"/>
      <c r="X156" s="141"/>
      <c r="Y156" s="41"/>
      <c r="Z156" s="41"/>
      <c r="AA156" s="40"/>
      <c r="AB156"/>
      <c r="AC156"/>
      <c r="AD156"/>
      <c r="AE156"/>
      <c r="AF156"/>
      <c r="AG156"/>
      <c r="AH156" s="41"/>
      <c r="AI156" s="41"/>
      <c r="AJ156" s="42"/>
      <c r="AK156" s="43"/>
      <c r="AL156" s="43"/>
      <c r="AM156" s="43"/>
      <c r="AN156" s="43"/>
      <c r="AO156" s="43"/>
      <c r="AP156" s="43"/>
      <c r="AQ156" s="44"/>
    </row>
    <row r="157" spans="1:43" ht="13.2">
      <c r="A157" s="141"/>
      <c r="B157" s="142"/>
      <c r="C157" s="143"/>
      <c r="I157" s="142"/>
      <c r="K157"/>
      <c r="L157"/>
      <c r="M157"/>
      <c r="N157"/>
      <c r="O157"/>
      <c r="R157" s="82"/>
      <c r="S157" s="141"/>
      <c r="T157" s="141"/>
      <c r="U157" s="141"/>
      <c r="V157" s="141"/>
      <c r="W157" s="141"/>
      <c r="X157" s="141"/>
      <c r="Y157" s="41"/>
      <c r="Z157" s="41"/>
      <c r="AA157" s="40"/>
      <c r="AB157"/>
      <c r="AC157"/>
      <c r="AD157"/>
      <c r="AE157"/>
      <c r="AF157"/>
      <c r="AG157"/>
      <c r="AH157" s="41"/>
      <c r="AI157" s="41"/>
      <c r="AJ157" s="42"/>
      <c r="AK157" s="43"/>
      <c r="AL157" s="43"/>
      <c r="AM157" s="43"/>
      <c r="AN157" s="43"/>
      <c r="AO157" s="43"/>
      <c r="AP157" s="43"/>
      <c r="AQ157" s="44"/>
    </row>
    <row r="158" spans="1:43" ht="13.2">
      <c r="A158" s="141"/>
      <c r="B158" s="142"/>
      <c r="C158" s="143"/>
      <c r="I158" s="142"/>
      <c r="K158"/>
      <c r="L158"/>
      <c r="M158"/>
      <c r="N158"/>
      <c r="O158"/>
      <c r="R158" s="82"/>
      <c r="S158" s="141"/>
      <c r="T158" s="141"/>
      <c r="U158" s="141"/>
      <c r="V158" s="141"/>
      <c r="W158" s="141"/>
      <c r="X158" s="141"/>
      <c r="Y158" s="41"/>
      <c r="Z158" s="41"/>
      <c r="AA158" s="40"/>
      <c r="AB158"/>
      <c r="AC158"/>
      <c r="AD158"/>
      <c r="AE158"/>
      <c r="AF158"/>
      <c r="AG158"/>
      <c r="AH158" s="41"/>
      <c r="AI158" s="41"/>
      <c r="AJ158" s="42"/>
      <c r="AK158" s="43"/>
      <c r="AL158" s="43"/>
      <c r="AM158" s="43"/>
      <c r="AN158" s="43"/>
      <c r="AO158" s="43"/>
      <c r="AP158" s="43"/>
      <c r="AQ158" s="44"/>
    </row>
    <row r="159" spans="1:43" ht="13.2">
      <c r="A159" s="141"/>
      <c r="B159" s="142"/>
      <c r="C159" s="143"/>
      <c r="I159" s="142"/>
      <c r="K159"/>
      <c r="L159"/>
      <c r="M159"/>
      <c r="N159"/>
      <c r="O159"/>
      <c r="R159" s="82"/>
      <c r="S159" s="141"/>
      <c r="T159" s="141"/>
      <c r="U159" s="141"/>
      <c r="V159" s="141"/>
      <c r="W159" s="141"/>
      <c r="X159" s="141"/>
      <c r="Y159" s="41"/>
      <c r="Z159" s="41"/>
      <c r="AA159" s="40"/>
      <c r="AB159"/>
      <c r="AC159"/>
      <c r="AD159"/>
      <c r="AE159"/>
      <c r="AF159"/>
      <c r="AG159"/>
      <c r="AH159" s="41"/>
      <c r="AI159" s="41"/>
      <c r="AJ159" s="42"/>
      <c r="AK159" s="43"/>
      <c r="AL159" s="43"/>
      <c r="AM159" s="43"/>
      <c r="AN159" s="43"/>
      <c r="AO159" s="43"/>
      <c r="AP159" s="43"/>
      <c r="AQ159" s="44"/>
    </row>
    <row r="160" spans="1:43" ht="13.2">
      <c r="A160" s="141"/>
      <c r="B160" s="142"/>
      <c r="C160" s="143"/>
      <c r="I160" s="142"/>
      <c r="K160"/>
      <c r="L160"/>
      <c r="M160"/>
      <c r="N160"/>
      <c r="O160"/>
      <c r="R160" s="82"/>
      <c r="S160" s="141"/>
      <c r="T160" s="141"/>
      <c r="U160" s="141"/>
      <c r="V160" s="141"/>
      <c r="W160" s="141"/>
      <c r="X160" s="141"/>
      <c r="Y160" s="41"/>
      <c r="Z160" s="41"/>
      <c r="AA160" s="40"/>
      <c r="AB160"/>
      <c r="AC160"/>
      <c r="AD160"/>
      <c r="AE160"/>
      <c r="AF160"/>
      <c r="AG160"/>
      <c r="AH160" s="41"/>
      <c r="AI160" s="41"/>
      <c r="AJ160" s="42"/>
      <c r="AK160" s="43"/>
      <c r="AL160" s="43"/>
      <c r="AM160" s="43"/>
      <c r="AN160" s="43"/>
      <c r="AO160" s="43"/>
      <c r="AP160" s="43"/>
      <c r="AQ160" s="44"/>
    </row>
    <row r="161" spans="1:43" ht="13.2">
      <c r="A161" s="141"/>
      <c r="B161" s="142"/>
      <c r="C161" s="143"/>
      <c r="I161" s="142"/>
      <c r="K161"/>
      <c r="L161"/>
      <c r="M161"/>
      <c r="N161"/>
      <c r="O161"/>
      <c r="R161" s="82"/>
      <c r="S161" s="141"/>
      <c r="T161" s="141"/>
      <c r="U161" s="141"/>
      <c r="V161" s="141"/>
      <c r="W161" s="141"/>
      <c r="X161" s="141"/>
      <c r="Y161" s="41"/>
      <c r="Z161" s="41"/>
      <c r="AA161" s="40"/>
      <c r="AB161"/>
      <c r="AC161"/>
      <c r="AD161"/>
      <c r="AE161"/>
      <c r="AF161"/>
      <c r="AG161"/>
      <c r="AH161" s="41"/>
      <c r="AI161" s="41"/>
      <c r="AJ161" s="42"/>
      <c r="AK161" s="43"/>
      <c r="AL161" s="43"/>
      <c r="AM161" s="43"/>
      <c r="AN161" s="43"/>
      <c r="AO161" s="43"/>
      <c r="AP161" s="43"/>
      <c r="AQ161" s="44"/>
    </row>
    <row r="162" spans="1:43" ht="13.2">
      <c r="A162" s="141"/>
      <c r="B162" s="142"/>
      <c r="C162" s="143"/>
      <c r="I162" s="142"/>
      <c r="K162"/>
      <c r="L162"/>
      <c r="M162"/>
      <c r="N162"/>
      <c r="O162"/>
      <c r="R162" s="82"/>
      <c r="S162" s="141"/>
      <c r="T162" s="141"/>
      <c r="U162" s="141"/>
      <c r="V162" s="141"/>
      <c r="W162" s="141"/>
      <c r="X162" s="141"/>
      <c r="Y162" s="41"/>
      <c r="Z162" s="41"/>
      <c r="AA162" s="40"/>
      <c r="AB162"/>
      <c r="AC162"/>
      <c r="AD162"/>
      <c r="AE162"/>
      <c r="AF162"/>
      <c r="AG162"/>
      <c r="AH162" s="41"/>
      <c r="AI162" s="41"/>
      <c r="AJ162" s="42"/>
      <c r="AK162" s="43"/>
      <c r="AL162" s="43"/>
      <c r="AM162" s="43"/>
      <c r="AN162" s="43"/>
      <c r="AO162" s="43"/>
      <c r="AP162" s="43"/>
      <c r="AQ162" s="44"/>
    </row>
    <row r="163" spans="1:43" ht="13.2">
      <c r="A163" s="141"/>
      <c r="B163" s="142"/>
      <c r="C163" s="143"/>
      <c r="I163" s="142"/>
      <c r="K163"/>
      <c r="L163"/>
      <c r="M163"/>
      <c r="N163"/>
      <c r="O163"/>
      <c r="R163" s="82"/>
      <c r="S163" s="141"/>
      <c r="T163" s="141"/>
      <c r="U163" s="141"/>
      <c r="V163" s="141"/>
      <c r="W163" s="141"/>
      <c r="X163" s="141"/>
      <c r="Y163" s="41"/>
      <c r="Z163" s="41"/>
      <c r="AA163" s="40"/>
      <c r="AB163"/>
      <c r="AC163"/>
      <c r="AD163"/>
      <c r="AE163"/>
      <c r="AF163"/>
      <c r="AG163"/>
      <c r="AH163" s="41"/>
      <c r="AI163" s="41"/>
      <c r="AJ163" s="42"/>
      <c r="AK163" s="43"/>
      <c r="AL163" s="43"/>
      <c r="AM163" s="43"/>
      <c r="AN163" s="43"/>
      <c r="AO163" s="43"/>
      <c r="AP163" s="43"/>
      <c r="AQ163" s="44"/>
    </row>
    <row r="164" spans="1:43" ht="13.2">
      <c r="A164" s="141"/>
      <c r="B164" s="142"/>
      <c r="C164" s="143"/>
      <c r="I164" s="142"/>
      <c r="K164"/>
      <c r="L164"/>
      <c r="M164"/>
      <c r="N164"/>
      <c r="O164"/>
      <c r="R164" s="82"/>
      <c r="S164" s="141"/>
      <c r="T164" s="141"/>
      <c r="U164" s="141"/>
      <c r="V164" s="141"/>
      <c r="W164" s="141"/>
      <c r="X164" s="141"/>
      <c r="Y164" s="41"/>
      <c r="Z164" s="41"/>
      <c r="AA164" s="40"/>
      <c r="AB164"/>
      <c r="AC164"/>
      <c r="AD164"/>
      <c r="AE164"/>
      <c r="AF164"/>
      <c r="AG164"/>
      <c r="AH164" s="41"/>
      <c r="AI164" s="41"/>
      <c r="AJ164" s="42"/>
      <c r="AK164" s="43"/>
      <c r="AL164" s="43"/>
      <c r="AM164" s="43"/>
      <c r="AN164" s="43"/>
      <c r="AO164" s="43"/>
      <c r="AP164" s="43"/>
      <c r="AQ164" s="44"/>
    </row>
    <row r="165" spans="1:43" ht="13.2">
      <c r="A165" s="141"/>
      <c r="B165" s="142"/>
      <c r="C165" s="143"/>
      <c r="I165" s="142"/>
      <c r="K165"/>
      <c r="L165"/>
      <c r="M165"/>
      <c r="N165"/>
      <c r="O165"/>
      <c r="R165" s="82"/>
      <c r="S165" s="141"/>
      <c r="T165" s="141"/>
      <c r="U165" s="141"/>
      <c r="V165" s="141"/>
      <c r="W165" s="141"/>
      <c r="X165" s="141"/>
      <c r="Y165" s="41"/>
      <c r="Z165" s="41"/>
      <c r="AA165" s="40"/>
      <c r="AB165"/>
      <c r="AC165"/>
      <c r="AD165"/>
      <c r="AE165"/>
      <c r="AF165"/>
      <c r="AG165"/>
      <c r="AH165" s="41"/>
      <c r="AI165" s="41"/>
      <c r="AJ165" s="42"/>
      <c r="AK165" s="43"/>
      <c r="AL165" s="43"/>
      <c r="AM165" s="43"/>
      <c r="AN165" s="43"/>
      <c r="AO165" s="43"/>
      <c r="AP165" s="43"/>
      <c r="AQ165" s="44"/>
    </row>
    <row r="166" spans="1:43" ht="13.2">
      <c r="A166" s="141"/>
      <c r="B166" s="142"/>
      <c r="C166" s="143"/>
      <c r="I166" s="142"/>
      <c r="K166"/>
      <c r="L166"/>
      <c r="M166"/>
      <c r="N166"/>
      <c r="O166"/>
      <c r="R166" s="82"/>
      <c r="S166" s="141"/>
      <c r="T166" s="141"/>
      <c r="U166" s="141"/>
      <c r="V166" s="141"/>
      <c r="W166" s="141"/>
      <c r="X166" s="141"/>
      <c r="Y166" s="41"/>
      <c r="Z166" s="41"/>
      <c r="AA166" s="40"/>
      <c r="AB166"/>
      <c r="AC166"/>
      <c r="AD166"/>
      <c r="AE166"/>
      <c r="AF166"/>
      <c r="AG166"/>
      <c r="AH166" s="41"/>
      <c r="AI166" s="41"/>
      <c r="AJ166" s="42"/>
      <c r="AK166" s="43"/>
      <c r="AL166" s="43"/>
      <c r="AM166" s="43"/>
      <c r="AN166" s="43"/>
      <c r="AO166" s="43"/>
      <c r="AP166" s="43"/>
      <c r="AQ166" s="44"/>
    </row>
    <row r="167" spans="1:43" ht="13.2">
      <c r="A167" s="141"/>
      <c r="B167" s="142"/>
      <c r="C167" s="143"/>
      <c r="I167" s="142"/>
      <c r="K167"/>
      <c r="L167"/>
      <c r="M167"/>
      <c r="N167"/>
      <c r="O167"/>
      <c r="R167" s="82"/>
      <c r="S167" s="141"/>
      <c r="T167" s="141"/>
      <c r="U167" s="141"/>
      <c r="V167" s="141"/>
      <c r="W167" s="141"/>
      <c r="X167" s="141"/>
      <c r="Y167" s="41"/>
      <c r="Z167" s="41"/>
      <c r="AA167" s="40"/>
      <c r="AB167"/>
      <c r="AC167"/>
      <c r="AD167"/>
      <c r="AE167"/>
      <c r="AF167"/>
      <c r="AG167"/>
      <c r="AH167" s="41"/>
      <c r="AI167" s="41"/>
      <c r="AJ167" s="42"/>
      <c r="AK167" s="43"/>
      <c r="AL167" s="43"/>
      <c r="AM167" s="43"/>
      <c r="AN167" s="43"/>
      <c r="AO167" s="43"/>
      <c r="AP167" s="43"/>
      <c r="AQ167" s="44"/>
    </row>
    <row r="168" spans="1:43" ht="13.2">
      <c r="A168" s="141"/>
      <c r="B168" s="142"/>
      <c r="C168" s="143"/>
      <c r="I168" s="142"/>
      <c r="K168"/>
      <c r="L168"/>
      <c r="M168"/>
      <c r="N168"/>
      <c r="O168"/>
      <c r="R168" s="82"/>
      <c r="S168" s="141"/>
      <c r="T168" s="141"/>
      <c r="U168" s="141"/>
      <c r="V168" s="141"/>
      <c r="W168" s="141"/>
      <c r="X168" s="141"/>
      <c r="Y168" s="41"/>
      <c r="Z168" s="41"/>
      <c r="AA168" s="40"/>
      <c r="AB168"/>
      <c r="AC168"/>
      <c r="AD168"/>
      <c r="AE168"/>
      <c r="AF168"/>
      <c r="AG168"/>
      <c r="AH168" s="41"/>
      <c r="AI168" s="41"/>
      <c r="AJ168" s="42"/>
      <c r="AK168" s="43"/>
      <c r="AL168" s="43"/>
      <c r="AM168" s="43"/>
      <c r="AN168" s="43"/>
      <c r="AO168" s="43"/>
      <c r="AP168" s="43"/>
      <c r="AQ168" s="44"/>
    </row>
    <row r="169" spans="1:43" ht="13.2">
      <c r="A169" s="141"/>
      <c r="B169" s="142"/>
      <c r="C169" s="143"/>
      <c r="I169" s="142"/>
      <c r="K169"/>
      <c r="L169"/>
      <c r="M169"/>
      <c r="N169"/>
      <c r="O169"/>
      <c r="R169" s="82"/>
      <c r="S169" s="141"/>
      <c r="T169" s="141"/>
      <c r="U169" s="141"/>
      <c r="V169" s="141"/>
      <c r="W169" s="141"/>
      <c r="X169" s="141"/>
      <c r="Y169" s="41"/>
      <c r="Z169" s="41"/>
      <c r="AA169" s="40"/>
      <c r="AB169"/>
      <c r="AC169"/>
      <c r="AD169"/>
      <c r="AE169"/>
      <c r="AF169"/>
      <c r="AG169"/>
      <c r="AH169" s="41"/>
      <c r="AI169" s="41"/>
      <c r="AJ169" s="42"/>
      <c r="AK169" s="43"/>
      <c r="AL169" s="43"/>
      <c r="AM169" s="43"/>
      <c r="AN169" s="43"/>
      <c r="AO169" s="43"/>
      <c r="AP169" s="43"/>
      <c r="AQ169" s="44"/>
    </row>
    <row r="170" spans="1:43" ht="13.2">
      <c r="A170" s="141"/>
      <c r="B170" s="142"/>
      <c r="C170" s="143"/>
      <c r="I170" s="142"/>
      <c r="K170"/>
      <c r="L170"/>
      <c r="M170"/>
      <c r="N170"/>
      <c r="O170"/>
      <c r="R170" s="82"/>
      <c r="S170" s="141"/>
      <c r="T170" s="141"/>
      <c r="U170" s="141"/>
      <c r="V170" s="141"/>
      <c r="W170" s="141"/>
      <c r="X170" s="141"/>
      <c r="Y170" s="41"/>
      <c r="Z170" s="41"/>
      <c r="AA170" s="40"/>
      <c r="AB170"/>
      <c r="AC170"/>
      <c r="AD170"/>
      <c r="AE170"/>
      <c r="AF170"/>
      <c r="AG170"/>
      <c r="AH170" s="41"/>
      <c r="AI170" s="41"/>
      <c r="AJ170" s="42"/>
      <c r="AK170" s="43"/>
      <c r="AL170" s="43"/>
      <c r="AM170" s="43"/>
      <c r="AN170" s="43"/>
      <c r="AO170" s="43"/>
      <c r="AP170" s="43"/>
      <c r="AQ170" s="44"/>
    </row>
    <row r="171" spans="1:43" ht="13.2">
      <c r="A171" s="141"/>
      <c r="B171" s="142"/>
      <c r="C171" s="143"/>
      <c r="I171" s="142"/>
      <c r="K171"/>
      <c r="L171"/>
      <c r="M171"/>
      <c r="N171"/>
      <c r="O171"/>
      <c r="R171" s="82"/>
      <c r="S171" s="141"/>
      <c r="T171" s="141"/>
      <c r="U171" s="141"/>
      <c r="V171" s="141"/>
      <c r="W171" s="141"/>
      <c r="X171" s="141"/>
      <c r="Y171" s="41"/>
      <c r="Z171" s="41"/>
      <c r="AA171" s="40"/>
      <c r="AB171"/>
      <c r="AC171"/>
      <c r="AD171"/>
      <c r="AE171"/>
      <c r="AF171"/>
      <c r="AG171"/>
      <c r="AH171" s="41"/>
      <c r="AI171" s="41"/>
      <c r="AJ171" s="42"/>
      <c r="AK171" s="43"/>
      <c r="AL171" s="43"/>
      <c r="AM171" s="43"/>
      <c r="AN171" s="43"/>
      <c r="AO171" s="43"/>
      <c r="AP171" s="43"/>
      <c r="AQ171" s="44"/>
    </row>
    <row r="172" spans="1:43" ht="13.2">
      <c r="A172" s="141"/>
      <c r="B172" s="142"/>
      <c r="C172" s="143"/>
      <c r="I172" s="142"/>
      <c r="K172"/>
      <c r="L172"/>
      <c r="M172"/>
      <c r="N172"/>
      <c r="O172"/>
      <c r="R172" s="82"/>
      <c r="S172" s="141"/>
      <c r="T172" s="141"/>
      <c r="U172" s="141"/>
      <c r="V172" s="141"/>
      <c r="W172" s="141"/>
      <c r="X172" s="141"/>
      <c r="Y172" s="41"/>
      <c r="Z172" s="41"/>
      <c r="AA172" s="40"/>
      <c r="AB172"/>
      <c r="AC172"/>
      <c r="AD172"/>
      <c r="AE172"/>
      <c r="AF172"/>
      <c r="AG172"/>
      <c r="AH172" s="41"/>
      <c r="AI172" s="41"/>
      <c r="AJ172" s="42"/>
      <c r="AK172" s="43"/>
      <c r="AL172" s="43"/>
      <c r="AM172" s="43"/>
      <c r="AN172" s="43"/>
      <c r="AO172" s="43"/>
      <c r="AP172" s="43"/>
      <c r="AQ172" s="44"/>
    </row>
    <row r="173" spans="1:43" ht="13.2">
      <c r="A173" s="141"/>
      <c r="B173" s="142"/>
      <c r="C173" s="143"/>
      <c r="I173" s="142"/>
      <c r="K173"/>
      <c r="L173"/>
      <c r="M173"/>
      <c r="N173"/>
      <c r="O173"/>
      <c r="R173" s="82"/>
      <c r="S173" s="141"/>
      <c r="T173" s="141"/>
      <c r="U173" s="141"/>
      <c r="V173" s="141"/>
      <c r="W173" s="141"/>
      <c r="X173" s="141"/>
      <c r="Y173" s="41"/>
      <c r="Z173" s="41"/>
      <c r="AA173" s="40"/>
      <c r="AB173"/>
      <c r="AC173"/>
      <c r="AD173"/>
      <c r="AE173"/>
      <c r="AF173"/>
      <c r="AG173"/>
      <c r="AH173" s="41"/>
      <c r="AI173" s="41"/>
      <c r="AJ173" s="42"/>
      <c r="AK173" s="43"/>
      <c r="AL173" s="43"/>
      <c r="AM173" s="43"/>
      <c r="AN173" s="43"/>
      <c r="AO173" s="43"/>
      <c r="AP173" s="43"/>
      <c r="AQ173" s="44"/>
    </row>
    <row r="174" spans="1:43" ht="13.2">
      <c r="A174" s="141"/>
      <c r="B174" s="142"/>
      <c r="C174" s="143"/>
      <c r="I174" s="142"/>
      <c r="K174"/>
      <c r="L174"/>
      <c r="M174"/>
      <c r="N174"/>
      <c r="O174"/>
      <c r="R174" s="82"/>
      <c r="S174" s="141"/>
      <c r="T174" s="141"/>
      <c r="U174" s="141"/>
      <c r="V174" s="141"/>
      <c r="W174" s="141"/>
      <c r="X174" s="141"/>
      <c r="Y174" s="41"/>
      <c r="Z174" s="41"/>
      <c r="AA174" s="40"/>
      <c r="AB174"/>
      <c r="AC174"/>
      <c r="AD174"/>
      <c r="AE174"/>
      <c r="AF174"/>
      <c r="AG174"/>
      <c r="AH174" s="41"/>
      <c r="AI174" s="41"/>
      <c r="AJ174" s="42"/>
      <c r="AK174" s="43"/>
      <c r="AL174" s="43"/>
      <c r="AM174" s="43"/>
      <c r="AN174" s="43"/>
      <c r="AO174" s="43"/>
      <c r="AP174" s="43"/>
      <c r="AQ174" s="44"/>
    </row>
    <row r="175" spans="1:43" ht="13.2">
      <c r="A175" s="141"/>
      <c r="B175" s="142"/>
      <c r="C175" s="143"/>
      <c r="I175" s="142"/>
      <c r="K175"/>
      <c r="L175"/>
      <c r="M175"/>
      <c r="N175"/>
      <c r="O175"/>
      <c r="R175" s="82"/>
      <c r="S175" s="141"/>
      <c r="T175" s="141"/>
      <c r="U175" s="141"/>
      <c r="V175" s="141"/>
      <c r="W175" s="141"/>
      <c r="X175" s="141"/>
      <c r="Y175" s="41"/>
      <c r="Z175" s="41"/>
      <c r="AA175" s="40"/>
      <c r="AB175"/>
      <c r="AC175"/>
      <c r="AD175"/>
      <c r="AE175"/>
      <c r="AF175"/>
      <c r="AG175"/>
      <c r="AH175" s="41"/>
      <c r="AI175" s="41"/>
      <c r="AJ175" s="42"/>
      <c r="AK175" s="43"/>
      <c r="AL175" s="43"/>
      <c r="AM175" s="43"/>
      <c r="AN175" s="43"/>
      <c r="AO175" s="43"/>
      <c r="AP175" s="43"/>
      <c r="AQ175" s="44"/>
    </row>
    <row r="176" spans="1:43" ht="13.2">
      <c r="A176" s="141"/>
      <c r="B176" s="142"/>
      <c r="C176" s="143"/>
      <c r="I176" s="142"/>
      <c r="K176"/>
      <c r="L176"/>
      <c r="M176"/>
      <c r="N176"/>
      <c r="O176"/>
      <c r="R176" s="82"/>
      <c r="S176" s="141"/>
      <c r="T176" s="141"/>
      <c r="U176" s="141"/>
      <c r="V176" s="141"/>
      <c r="W176" s="141"/>
      <c r="X176" s="141"/>
      <c r="Y176" s="41"/>
      <c r="Z176" s="41"/>
      <c r="AA176" s="40"/>
      <c r="AB176"/>
      <c r="AC176"/>
      <c r="AD176"/>
      <c r="AE176"/>
      <c r="AF176"/>
      <c r="AG176"/>
      <c r="AH176" s="41"/>
      <c r="AI176" s="41"/>
      <c r="AJ176" s="42"/>
      <c r="AK176" s="43"/>
      <c r="AL176" s="43"/>
      <c r="AM176" s="43"/>
      <c r="AN176" s="43"/>
      <c r="AO176" s="43"/>
      <c r="AP176" s="43"/>
      <c r="AQ176" s="44"/>
    </row>
    <row r="177" spans="1:43" ht="13.2">
      <c r="A177" s="141"/>
      <c r="B177" s="142"/>
      <c r="C177" s="143"/>
      <c r="I177" s="142"/>
      <c r="K177"/>
      <c r="L177"/>
      <c r="M177"/>
      <c r="N177"/>
      <c r="O177"/>
      <c r="R177" s="82"/>
      <c r="S177" s="141"/>
      <c r="T177" s="141"/>
      <c r="U177" s="141"/>
      <c r="V177" s="141"/>
      <c r="W177" s="141"/>
      <c r="X177" s="141"/>
      <c r="Y177" s="41"/>
      <c r="Z177" s="41"/>
      <c r="AA177" s="40"/>
      <c r="AB177"/>
      <c r="AC177"/>
      <c r="AD177"/>
      <c r="AE177"/>
      <c r="AF177"/>
      <c r="AG177"/>
      <c r="AH177" s="41"/>
      <c r="AI177" s="41"/>
      <c r="AJ177" s="42"/>
      <c r="AK177" s="43"/>
      <c r="AL177" s="43"/>
      <c r="AM177" s="43"/>
      <c r="AN177" s="43"/>
      <c r="AO177" s="43"/>
      <c r="AP177" s="43"/>
      <c r="AQ177" s="44"/>
    </row>
    <row r="178" spans="1:43" ht="13.2">
      <c r="A178"/>
      <c r="B178" s="142"/>
      <c r="C178" s="143"/>
      <c r="I178" s="142"/>
      <c r="K178"/>
      <c r="L178"/>
      <c r="M178"/>
      <c r="N178"/>
      <c r="O178"/>
      <c r="R178" s="82"/>
      <c r="S178" s="141"/>
      <c r="T178" s="141"/>
      <c r="U178" s="141"/>
      <c r="V178" s="141"/>
      <c r="W178" s="141"/>
      <c r="X178" s="141"/>
      <c r="Y178" s="41"/>
      <c r="Z178" s="41"/>
      <c r="AA178" s="40"/>
      <c r="AB178"/>
      <c r="AC178"/>
      <c r="AD178"/>
      <c r="AE178"/>
      <c r="AF178"/>
      <c r="AG178"/>
      <c r="AH178" s="41"/>
      <c r="AI178" s="41"/>
      <c r="AJ178" s="42"/>
      <c r="AK178" s="43"/>
      <c r="AL178" s="43"/>
      <c r="AM178" s="43"/>
      <c r="AN178" s="43"/>
      <c r="AO178" s="43"/>
      <c r="AP178" s="43"/>
      <c r="AQ178" s="44"/>
    </row>
    <row r="179" spans="1:43" ht="13.2">
      <c r="A179"/>
      <c r="B179" s="142"/>
      <c r="C179" s="143"/>
      <c r="I179" s="142"/>
      <c r="K179"/>
      <c r="L179"/>
      <c r="M179"/>
      <c r="N179"/>
      <c r="O179"/>
      <c r="R179" s="82"/>
      <c r="S179" s="141"/>
      <c r="T179" s="141"/>
      <c r="U179" s="141"/>
      <c r="V179" s="141"/>
      <c r="W179" s="141"/>
      <c r="X179" s="141"/>
      <c r="Y179" s="41"/>
      <c r="Z179" s="41"/>
      <c r="AA179" s="40"/>
      <c r="AB179"/>
      <c r="AC179"/>
      <c r="AD179"/>
      <c r="AE179"/>
      <c r="AF179"/>
      <c r="AG179"/>
      <c r="AH179" s="41"/>
      <c r="AI179" s="41"/>
      <c r="AJ179" s="42"/>
      <c r="AK179" s="43"/>
      <c r="AL179" s="43"/>
      <c r="AM179" s="43"/>
      <c r="AN179" s="43"/>
      <c r="AO179" s="43"/>
      <c r="AP179" s="43"/>
      <c r="AQ179" s="44"/>
    </row>
  </sheetData>
  <mergeCells count="7">
    <mergeCell ref="AJ10:AR10"/>
    <mergeCell ref="AS10:AT10"/>
    <mergeCell ref="AS11:AT11"/>
    <mergeCell ref="I10:J10"/>
    <mergeCell ref="K10:Q10"/>
    <mergeCell ref="R10:Z10"/>
    <mergeCell ref="AA10:AI10"/>
  </mergeCells>
  <phoneticPr fontId="4" type="noConversion"/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2:AY54"/>
  <sheetViews>
    <sheetView topLeftCell="M22" workbookViewId="0">
      <selection activeCell="T6" sqref="T6"/>
    </sheetView>
  </sheetViews>
  <sheetFormatPr defaultColWidth="11.5546875" defaultRowHeight="10.199999999999999"/>
  <cols>
    <col min="1" max="1" width="8.6640625" style="1" customWidth="1"/>
    <col min="2" max="2" width="3.88671875" style="2" customWidth="1"/>
    <col min="3" max="3" width="5" style="2" customWidth="1"/>
    <col min="4" max="4" width="7.109375" style="2" customWidth="1"/>
    <col min="5" max="5" width="4.109375" style="2" customWidth="1"/>
    <col min="6" max="6" width="3.109375" style="2" customWidth="1"/>
    <col min="7" max="7" width="4" style="1" bestFit="1" customWidth="1"/>
    <col min="8" max="8" width="4.88671875" style="1" bestFit="1" customWidth="1"/>
    <col min="9" max="9" width="6.6640625" style="1" customWidth="1"/>
    <col min="10" max="10" width="4.109375" style="1" bestFit="1" customWidth="1"/>
    <col min="11" max="12" width="2.5546875" style="1" customWidth="1"/>
    <col min="13" max="14" width="3" style="1" customWidth="1"/>
    <col min="15" max="15" width="3.6640625" style="1" customWidth="1"/>
    <col min="16" max="16" width="3.44140625" style="1" customWidth="1"/>
    <col min="17" max="17" width="4.44140625" style="1" customWidth="1"/>
    <col min="18" max="18" width="5.33203125" style="1" customWidth="1"/>
    <col min="19" max="19" width="6.109375" style="1" bestFit="1" customWidth="1"/>
    <col min="20" max="20" width="5" style="1" customWidth="1"/>
    <col min="21" max="21" width="5.109375" style="1" customWidth="1"/>
    <col min="22" max="22" width="4.44140625" style="1" customWidth="1"/>
    <col min="23" max="23" width="4.6640625" style="1" customWidth="1"/>
    <col min="24" max="24" width="4.44140625" style="1" customWidth="1"/>
    <col min="25" max="25" width="5.6640625" style="1" customWidth="1"/>
    <col min="26" max="26" width="6" style="1" customWidth="1"/>
    <col min="27" max="27" width="5.6640625" style="1" customWidth="1"/>
    <col min="28" max="28" width="4.6640625" style="1" customWidth="1"/>
    <col min="29" max="29" width="5.44140625" style="1" customWidth="1"/>
    <col min="30" max="30" width="4.6640625" style="1" customWidth="1"/>
    <col min="31" max="31" width="5.109375" style="1" customWidth="1"/>
    <col min="32" max="33" width="4.6640625" style="1" customWidth="1"/>
    <col min="34" max="35" width="6.109375" style="1" customWidth="1"/>
    <col min="36" max="36" width="8.109375" style="1" customWidth="1"/>
    <col min="37" max="37" width="7.6640625" style="1" customWidth="1"/>
    <col min="38" max="39" width="8.109375" style="1" customWidth="1"/>
    <col min="40" max="40" width="7.33203125" style="1" customWidth="1"/>
    <col min="41" max="41" width="7.109375" style="1" bestFit="1" customWidth="1"/>
    <col min="42" max="42" width="6.6640625" style="2" customWidth="1"/>
    <col min="43" max="43" width="8.5546875" style="2" customWidth="1"/>
    <col min="44" max="44" width="8" style="2" customWidth="1"/>
    <col min="45" max="16384" width="11.5546875" style="2"/>
  </cols>
  <sheetData>
    <row r="2" spans="1:51" ht="13.8">
      <c r="R2" s="3"/>
    </row>
    <row r="3" spans="1:51">
      <c r="B3" s="4" t="s">
        <v>0</v>
      </c>
      <c r="C3" s="5"/>
      <c r="D3" s="6"/>
      <c r="E3" s="7" t="s">
        <v>104</v>
      </c>
      <c r="F3" s="7"/>
      <c r="R3" s="8"/>
      <c r="W3" s="9"/>
      <c r="AG3" s="31" t="s">
        <v>1</v>
      </c>
      <c r="AH3" s="31"/>
      <c r="AI3" s="31"/>
      <c r="AJ3" s="31"/>
      <c r="AK3" s="31"/>
      <c r="AL3" s="31"/>
      <c r="AM3" s="3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12.75" customHeight="1">
      <c r="B4" s="4" t="s">
        <v>2</v>
      </c>
      <c r="C4" s="5"/>
      <c r="D4" s="6"/>
      <c r="E4" s="7" t="s">
        <v>105</v>
      </c>
      <c r="F4" s="7"/>
      <c r="AG4" s="32" t="s">
        <v>3</v>
      </c>
      <c r="AH4" s="32"/>
      <c r="AI4" s="32"/>
      <c r="AJ4" s="30" t="s">
        <v>4</v>
      </c>
      <c r="AK4" s="30" t="s">
        <v>5</v>
      </c>
      <c r="AL4" s="30" t="s">
        <v>6</v>
      </c>
      <c r="AM4" s="30" t="s">
        <v>7</v>
      </c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12.75" customHeight="1">
      <c r="B5" s="4" t="s">
        <v>8</v>
      </c>
      <c r="C5" s="5"/>
      <c r="D5" s="6"/>
      <c r="E5" s="7" t="s">
        <v>103</v>
      </c>
      <c r="F5" s="7"/>
      <c r="AG5" s="31" t="s">
        <v>9</v>
      </c>
      <c r="AH5" s="31"/>
      <c r="AI5" s="31"/>
      <c r="AJ5" s="30">
        <f>COUNT(AJ12:AJ65536)</f>
        <v>0</v>
      </c>
      <c r="AK5" s="30">
        <f>COUNT(AK12:AL65536)</f>
        <v>0</v>
      </c>
      <c r="AL5" s="30">
        <f>COUNT(AM12:AO65536)</f>
        <v>0</v>
      </c>
      <c r="AM5" s="30">
        <f>COUNT(AQ12:AQ65536)</f>
        <v>0</v>
      </c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12.75" customHeight="1">
      <c r="B6" s="4" t="s">
        <v>10</v>
      </c>
      <c r="C6" s="5"/>
      <c r="D6" s="6"/>
      <c r="E6" s="7"/>
      <c r="F6" s="7"/>
      <c r="AG6" s="33" t="s">
        <v>11</v>
      </c>
      <c r="AH6" s="33"/>
      <c r="AI6" s="33"/>
      <c r="AJ6" s="34" t="e">
        <f>AVERAGE(AJ12:AJ65536)</f>
        <v>#DIV/0!</v>
      </c>
      <c r="AK6" s="35" t="e">
        <f>AVERAGE(AK12:AL65536)</f>
        <v>#DIV/0!</v>
      </c>
      <c r="AL6" s="35" t="e">
        <f>AVERAGE(AM12:AP65536)</f>
        <v>#DIV/0!</v>
      </c>
      <c r="AM6" s="35" t="e">
        <f>AVERAGE(AQ12:AQ65536)</f>
        <v>#DIV/0!</v>
      </c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ht="12.75" customHeight="1">
      <c r="B7" s="4"/>
      <c r="C7" s="5"/>
      <c r="D7" s="5"/>
      <c r="E7" s="10"/>
      <c r="F7" s="10"/>
      <c r="AG7" s="33" t="s">
        <v>12</v>
      </c>
      <c r="AH7" s="33"/>
      <c r="AI7" s="33"/>
      <c r="AJ7" s="34" t="e">
        <f>STDEV(AJ12:AJ65536)</f>
        <v>#DIV/0!</v>
      </c>
      <c r="AK7" s="35" t="e">
        <f>STDEV(AK12:AL65536)</f>
        <v>#DIV/0!</v>
      </c>
      <c r="AL7" s="35" t="e">
        <f>STDEV(AM12:AP65536)</f>
        <v>#DIV/0!</v>
      </c>
      <c r="AM7" s="35" t="e">
        <f>STDEV(AQ12:AQ65536)</f>
        <v>#DIV/0!</v>
      </c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ht="12.75" customHeight="1">
      <c r="B8" s="4"/>
      <c r="C8" s="5"/>
      <c r="D8" s="5"/>
      <c r="E8" s="10"/>
      <c r="F8" s="10"/>
      <c r="AG8" s="11"/>
      <c r="AH8" s="11"/>
      <c r="AI8" s="11"/>
      <c r="AJ8" s="12"/>
      <c r="AK8" s="13"/>
      <c r="AL8" s="13"/>
      <c r="AM8" s="12"/>
      <c r="AP8" s="1"/>
      <c r="AQ8" s="1"/>
      <c r="AR8" s="1"/>
      <c r="AS8" s="67"/>
      <c r="AT8" s="67"/>
      <c r="AU8" s="67"/>
      <c r="AV8" s="1"/>
      <c r="AW8" s="1"/>
      <c r="AX8" s="1"/>
      <c r="AY8" s="1"/>
    </row>
    <row r="9" spans="1:51" ht="12.75" customHeight="1">
      <c r="B9" s="1"/>
      <c r="C9" s="1"/>
      <c r="D9" s="1"/>
      <c r="E9" s="1"/>
      <c r="F9" s="1"/>
      <c r="AS9" s="37"/>
      <c r="AT9" s="37"/>
      <c r="AU9" s="37"/>
    </row>
    <row r="10" spans="1:51" ht="12.75" customHeight="1">
      <c r="A10" s="14" t="s">
        <v>13</v>
      </c>
      <c r="B10" s="15" t="s">
        <v>14</v>
      </c>
      <c r="C10" s="15" t="s">
        <v>15</v>
      </c>
      <c r="D10" s="16" t="s">
        <v>15</v>
      </c>
      <c r="E10" s="16" t="s">
        <v>16</v>
      </c>
      <c r="F10" s="16" t="s">
        <v>17</v>
      </c>
      <c r="G10" s="16" t="s">
        <v>18</v>
      </c>
      <c r="H10" s="16" t="s">
        <v>19</v>
      </c>
      <c r="I10" s="219" t="s">
        <v>20</v>
      </c>
      <c r="J10" s="220"/>
      <c r="K10" s="221" t="s">
        <v>21</v>
      </c>
      <c r="L10" s="222"/>
      <c r="M10" s="222"/>
      <c r="N10" s="222"/>
      <c r="O10" s="222"/>
      <c r="P10" s="222"/>
      <c r="Q10" s="223"/>
      <c r="R10" s="214" t="s">
        <v>43</v>
      </c>
      <c r="S10" s="215"/>
      <c r="T10" s="215"/>
      <c r="U10" s="215"/>
      <c r="V10" s="215"/>
      <c r="W10" s="215"/>
      <c r="X10" s="215"/>
      <c r="Y10" s="215"/>
      <c r="Z10" s="216"/>
      <c r="AA10" s="214" t="s">
        <v>42</v>
      </c>
      <c r="AB10" s="215"/>
      <c r="AC10" s="215"/>
      <c r="AD10" s="215"/>
      <c r="AE10" s="215"/>
      <c r="AF10" s="215"/>
      <c r="AG10" s="215"/>
      <c r="AH10" s="215"/>
      <c r="AI10" s="216"/>
      <c r="AJ10" s="214" t="s">
        <v>22</v>
      </c>
      <c r="AK10" s="215"/>
      <c r="AL10" s="215"/>
      <c r="AM10" s="215"/>
      <c r="AN10" s="215"/>
      <c r="AO10" s="215"/>
      <c r="AP10" s="215"/>
      <c r="AQ10" s="215"/>
      <c r="AR10" s="216"/>
      <c r="AS10" s="217"/>
      <c r="AT10" s="217"/>
      <c r="AU10" s="37"/>
    </row>
    <row r="11" spans="1:51" ht="12.75" customHeight="1">
      <c r="A11" s="49" t="s">
        <v>23</v>
      </c>
      <c r="B11" s="50" t="s">
        <v>24</v>
      </c>
      <c r="C11" s="50" t="s">
        <v>106</v>
      </c>
      <c r="D11" s="50" t="s">
        <v>107</v>
      </c>
      <c r="E11" s="50"/>
      <c r="F11" s="50"/>
      <c r="G11" s="50"/>
      <c r="H11" s="50"/>
      <c r="I11" s="50" t="s">
        <v>25</v>
      </c>
      <c r="J11" s="51" t="s">
        <v>26</v>
      </c>
      <c r="K11" s="52" t="s">
        <v>27</v>
      </c>
      <c r="L11" s="15" t="s">
        <v>28</v>
      </c>
      <c r="M11" s="15" t="s">
        <v>29</v>
      </c>
      <c r="N11" s="15" t="s">
        <v>30</v>
      </c>
      <c r="O11" s="15" t="s">
        <v>31</v>
      </c>
      <c r="P11" s="15" t="s">
        <v>32</v>
      </c>
      <c r="Q11" s="53" t="s">
        <v>33</v>
      </c>
      <c r="R11" s="52" t="s">
        <v>4</v>
      </c>
      <c r="S11" s="15" t="s">
        <v>34</v>
      </c>
      <c r="T11" s="15" t="s">
        <v>35</v>
      </c>
      <c r="U11" s="15" t="s">
        <v>36</v>
      </c>
      <c r="V11" s="15" t="s">
        <v>37</v>
      </c>
      <c r="W11" s="15" t="s">
        <v>38</v>
      </c>
      <c r="X11" s="15" t="s">
        <v>39</v>
      </c>
      <c r="Y11" s="16" t="s">
        <v>40</v>
      </c>
      <c r="Z11" s="53" t="s">
        <v>41</v>
      </c>
      <c r="AA11" s="52" t="s">
        <v>4</v>
      </c>
      <c r="AB11" s="15" t="s">
        <v>34</v>
      </c>
      <c r="AC11" s="15" t="s">
        <v>35</v>
      </c>
      <c r="AD11" s="15" t="s">
        <v>36</v>
      </c>
      <c r="AE11" s="15" t="s">
        <v>37</v>
      </c>
      <c r="AF11" s="15" t="s">
        <v>38</v>
      </c>
      <c r="AG11" s="15" t="s">
        <v>39</v>
      </c>
      <c r="AH11" s="16" t="s">
        <v>40</v>
      </c>
      <c r="AI11" s="53" t="s">
        <v>41</v>
      </c>
      <c r="AJ11" s="52" t="s">
        <v>4</v>
      </c>
      <c r="AK11" s="15" t="s">
        <v>34</v>
      </c>
      <c r="AL11" s="15" t="s">
        <v>35</v>
      </c>
      <c r="AM11" s="15" t="s">
        <v>36</v>
      </c>
      <c r="AN11" s="15" t="s">
        <v>37</v>
      </c>
      <c r="AO11" s="15" t="s">
        <v>38</v>
      </c>
      <c r="AP11" s="15" t="s">
        <v>39</v>
      </c>
      <c r="AQ11" s="16" t="s">
        <v>40</v>
      </c>
      <c r="AR11" s="53" t="s">
        <v>41</v>
      </c>
      <c r="AS11" s="218"/>
      <c r="AT11" s="218"/>
      <c r="AU11" s="37"/>
    </row>
    <row r="12" spans="1:51" s="17" customFormat="1" ht="13.2">
      <c r="A12" s="38"/>
      <c r="B12" s="23"/>
      <c r="C12" s="68"/>
      <c r="D12" s="59"/>
      <c r="E12" s="61"/>
      <c r="F12" s="63"/>
      <c r="G12" s="69"/>
      <c r="H12" s="77"/>
      <c r="I12" s="74"/>
      <c r="J12" s="18"/>
      <c r="K12" s="19"/>
      <c r="L12" s="20"/>
      <c r="M12" s="20"/>
      <c r="N12" s="20"/>
      <c r="O12" s="20"/>
      <c r="P12" s="78"/>
      <c r="Q12" s="29"/>
      <c r="R12" s="82"/>
      <c r="S12" s="28"/>
      <c r="T12" s="28"/>
      <c r="U12" s="28"/>
      <c r="V12" s="28"/>
      <c r="W12" s="28"/>
      <c r="X12" s="23"/>
      <c r="Y12" s="41"/>
      <c r="Z12" s="41"/>
      <c r="AA12" s="40"/>
      <c r="AB12" s="28"/>
      <c r="AC12" s="28"/>
      <c r="AD12" s="28"/>
      <c r="AE12" s="28"/>
      <c r="AF12" s="28"/>
      <c r="AG12" s="24"/>
      <c r="AH12" s="41"/>
      <c r="AI12" s="41"/>
      <c r="AJ12" s="42"/>
      <c r="AK12" s="43"/>
      <c r="AL12" s="43"/>
      <c r="AM12" s="43"/>
      <c r="AN12" s="43"/>
      <c r="AO12" s="43"/>
      <c r="AP12" s="43"/>
      <c r="AQ12" s="44"/>
      <c r="AR12" s="44" t="str">
        <f t="shared" ref="AR12:AR51" si="0">IF(Z12&lt;&gt;"",(AI12-Z12)/Z12,"")</f>
        <v/>
      </c>
      <c r="AS12" s="5"/>
      <c r="AT12" s="5"/>
      <c r="AU12" s="5"/>
    </row>
    <row r="13" spans="1:51" s="17" customFormat="1" ht="13.2">
      <c r="A13" s="38"/>
      <c r="B13" s="23"/>
      <c r="C13" s="68"/>
      <c r="D13" s="59"/>
      <c r="E13" s="61"/>
      <c r="F13" s="63"/>
      <c r="G13" s="69"/>
      <c r="H13" s="77"/>
      <c r="I13" s="75"/>
      <c r="J13" s="18"/>
      <c r="K13" s="19"/>
      <c r="L13" s="20"/>
      <c r="M13" s="20"/>
      <c r="N13" s="20"/>
      <c r="O13" s="20"/>
      <c r="P13" s="78"/>
      <c r="Q13" s="29"/>
      <c r="R13" s="82"/>
      <c r="S13" s="28"/>
      <c r="T13" s="28"/>
      <c r="U13" s="28"/>
      <c r="V13" s="28"/>
      <c r="W13" s="28"/>
      <c r="X13" s="23"/>
      <c r="Y13" s="41"/>
      <c r="Z13" s="41"/>
      <c r="AA13" s="40"/>
      <c r="AB13" s="28"/>
      <c r="AC13" s="28"/>
      <c r="AD13" s="28"/>
      <c r="AE13" s="28"/>
      <c r="AF13" s="28"/>
      <c r="AG13" s="24"/>
      <c r="AH13" s="41"/>
      <c r="AI13" s="41"/>
      <c r="AJ13" s="42"/>
      <c r="AK13" s="43"/>
      <c r="AL13" s="43"/>
      <c r="AM13" s="43"/>
      <c r="AN13" s="43"/>
      <c r="AO13" s="43"/>
      <c r="AP13" s="43"/>
      <c r="AQ13" s="44"/>
      <c r="AR13" s="44" t="str">
        <f t="shared" si="0"/>
        <v/>
      </c>
      <c r="AS13" s="5"/>
      <c r="AT13" s="5"/>
      <c r="AU13" s="5"/>
    </row>
    <row r="14" spans="1:51" s="17" customFormat="1" ht="13.2">
      <c r="A14" s="38"/>
      <c r="B14" s="23"/>
      <c r="C14" s="68"/>
      <c r="D14" s="59"/>
      <c r="E14" s="61"/>
      <c r="F14" s="63"/>
      <c r="G14" s="69"/>
      <c r="H14" s="77"/>
      <c r="I14" s="74"/>
      <c r="J14" s="18"/>
      <c r="K14" s="19"/>
      <c r="L14" s="20"/>
      <c r="M14" s="20"/>
      <c r="N14" s="20"/>
      <c r="O14" s="20"/>
      <c r="P14" s="78"/>
      <c r="Q14" s="29"/>
      <c r="R14" s="82"/>
      <c r="S14" s="28"/>
      <c r="T14" s="28"/>
      <c r="U14" s="28"/>
      <c r="V14" s="28"/>
      <c r="W14" s="28"/>
      <c r="X14" s="23"/>
      <c r="Y14" s="41"/>
      <c r="Z14" s="41"/>
      <c r="AA14" s="40"/>
      <c r="AB14" s="28"/>
      <c r="AC14" s="28"/>
      <c r="AD14" s="28"/>
      <c r="AE14" s="28"/>
      <c r="AF14" s="28"/>
      <c r="AG14" s="24"/>
      <c r="AH14" s="41"/>
      <c r="AI14" s="41"/>
      <c r="AJ14" s="42"/>
      <c r="AK14" s="43"/>
      <c r="AL14" s="43"/>
      <c r="AM14" s="43"/>
      <c r="AN14" s="43"/>
      <c r="AO14" s="43"/>
      <c r="AP14" s="43"/>
      <c r="AQ14" s="44"/>
      <c r="AR14" s="44" t="str">
        <f t="shared" si="0"/>
        <v/>
      </c>
    </row>
    <row r="15" spans="1:51" s="17" customFormat="1" ht="13.2">
      <c r="A15" s="38"/>
      <c r="B15" s="23"/>
      <c r="C15" s="68"/>
      <c r="D15" s="59"/>
      <c r="E15" s="61"/>
      <c r="F15" s="63"/>
      <c r="G15" s="69"/>
      <c r="H15" s="77"/>
      <c r="I15" s="74"/>
      <c r="J15" s="18"/>
      <c r="K15" s="19"/>
      <c r="L15" s="20"/>
      <c r="M15" s="20"/>
      <c r="N15" s="20"/>
      <c r="O15" s="20"/>
      <c r="P15" s="78"/>
      <c r="Q15" s="29"/>
      <c r="R15" s="82"/>
      <c r="S15" s="28"/>
      <c r="T15" s="28"/>
      <c r="U15" s="28"/>
      <c r="V15" s="28"/>
      <c r="W15" s="28"/>
      <c r="X15" s="23"/>
      <c r="Y15" s="41"/>
      <c r="Z15" s="41"/>
      <c r="AA15" s="40"/>
      <c r="AB15" s="28"/>
      <c r="AC15" s="28"/>
      <c r="AD15" s="28"/>
      <c r="AE15" s="28"/>
      <c r="AF15" s="28"/>
      <c r="AG15" s="24"/>
      <c r="AH15" s="41"/>
      <c r="AI15" s="41"/>
      <c r="AJ15" s="42"/>
      <c r="AK15" s="43"/>
      <c r="AL15" s="43"/>
      <c r="AM15" s="43"/>
      <c r="AN15" s="43"/>
      <c r="AO15" s="43"/>
      <c r="AP15" s="43"/>
      <c r="AQ15" s="44"/>
      <c r="AR15" s="44" t="str">
        <f t="shared" si="0"/>
        <v/>
      </c>
    </row>
    <row r="16" spans="1:51" s="17" customFormat="1" ht="13.2">
      <c r="A16" s="38"/>
      <c r="B16" s="23"/>
      <c r="C16" s="68"/>
      <c r="D16" s="59"/>
      <c r="E16" s="61"/>
      <c r="F16" s="63"/>
      <c r="G16" s="69"/>
      <c r="H16" s="77"/>
      <c r="I16" s="75"/>
      <c r="J16" s="18"/>
      <c r="K16" s="19"/>
      <c r="L16" s="20"/>
      <c r="M16" s="20"/>
      <c r="N16" s="20"/>
      <c r="O16" s="20"/>
      <c r="P16" s="78"/>
      <c r="Q16" s="29"/>
      <c r="R16" s="82"/>
      <c r="S16" s="28"/>
      <c r="T16" s="28"/>
      <c r="U16" s="28"/>
      <c r="V16" s="28"/>
      <c r="W16" s="28"/>
      <c r="X16" s="23"/>
      <c r="Y16" s="41"/>
      <c r="Z16" s="41"/>
      <c r="AA16" s="40"/>
      <c r="AB16" s="28"/>
      <c r="AC16" s="28"/>
      <c r="AD16" s="28"/>
      <c r="AE16" s="28"/>
      <c r="AF16" s="28"/>
      <c r="AG16" s="24"/>
      <c r="AH16" s="41"/>
      <c r="AI16" s="41"/>
      <c r="AJ16" s="42"/>
      <c r="AK16" s="43"/>
      <c r="AL16" s="43"/>
      <c r="AM16" s="43"/>
      <c r="AN16" s="43"/>
      <c r="AO16" s="43"/>
      <c r="AP16" s="43"/>
      <c r="AQ16" s="44"/>
      <c r="AR16" s="44" t="str">
        <f t="shared" si="0"/>
        <v/>
      </c>
    </row>
    <row r="17" spans="1:44" s="17" customFormat="1" ht="13.2">
      <c r="A17" s="38"/>
      <c r="B17" s="23"/>
      <c r="C17" s="68"/>
      <c r="D17" s="59"/>
      <c r="E17" s="61"/>
      <c r="F17" s="63"/>
      <c r="G17" s="69"/>
      <c r="H17" s="77"/>
      <c r="I17" s="75"/>
      <c r="J17" s="18"/>
      <c r="K17" s="19"/>
      <c r="L17" s="20"/>
      <c r="M17" s="20"/>
      <c r="N17" s="20"/>
      <c r="O17" s="20"/>
      <c r="P17" s="78"/>
      <c r="Q17" s="29"/>
      <c r="R17" s="82"/>
      <c r="S17" s="28"/>
      <c r="T17" s="28"/>
      <c r="U17" s="28"/>
      <c r="V17" s="28"/>
      <c r="W17" s="28"/>
      <c r="X17" s="23"/>
      <c r="Y17" s="41"/>
      <c r="Z17" s="41"/>
      <c r="AA17" s="40"/>
      <c r="AB17" s="28"/>
      <c r="AC17" s="28"/>
      <c r="AD17" s="28"/>
      <c r="AE17" s="28"/>
      <c r="AF17" s="28"/>
      <c r="AG17" s="24"/>
      <c r="AH17" s="41"/>
      <c r="AI17" s="41"/>
      <c r="AJ17" s="42"/>
      <c r="AK17" s="43"/>
      <c r="AL17" s="43"/>
      <c r="AM17" s="43"/>
      <c r="AN17" s="43"/>
      <c r="AO17" s="43"/>
      <c r="AP17" s="43"/>
      <c r="AQ17" s="44"/>
      <c r="AR17" s="44" t="str">
        <f t="shared" si="0"/>
        <v/>
      </c>
    </row>
    <row r="18" spans="1:44" s="17" customFormat="1" ht="13.2">
      <c r="A18" s="38"/>
      <c r="B18" s="23"/>
      <c r="C18" s="68"/>
      <c r="D18" s="59"/>
      <c r="E18" s="61"/>
      <c r="F18" s="63"/>
      <c r="G18" s="69"/>
      <c r="H18" s="77"/>
      <c r="I18" s="75"/>
      <c r="J18" s="18"/>
      <c r="K18" s="19"/>
      <c r="L18" s="20"/>
      <c r="M18" s="20"/>
      <c r="N18" s="20"/>
      <c r="O18" s="20"/>
      <c r="P18" s="78"/>
      <c r="Q18" s="29"/>
      <c r="R18" s="82"/>
      <c r="S18" s="28"/>
      <c r="T18" s="28"/>
      <c r="U18" s="28"/>
      <c r="V18" s="28"/>
      <c r="W18" s="28"/>
      <c r="X18" s="23"/>
      <c r="Y18" s="41"/>
      <c r="Z18" s="41"/>
      <c r="AA18" s="40"/>
      <c r="AB18" s="28"/>
      <c r="AC18" s="28"/>
      <c r="AD18" s="28"/>
      <c r="AE18" s="28"/>
      <c r="AF18" s="28"/>
      <c r="AG18" s="24"/>
      <c r="AH18" s="41"/>
      <c r="AI18" s="41"/>
      <c r="AJ18" s="42"/>
      <c r="AK18" s="43"/>
      <c r="AL18" s="43"/>
      <c r="AM18" s="43"/>
      <c r="AN18" s="43"/>
      <c r="AO18" s="43"/>
      <c r="AP18" s="43"/>
      <c r="AQ18" s="44"/>
      <c r="AR18" s="44" t="str">
        <f t="shared" si="0"/>
        <v/>
      </c>
    </row>
    <row r="19" spans="1:44" s="17" customFormat="1" ht="13.2">
      <c r="A19" s="38"/>
      <c r="B19" s="27"/>
      <c r="C19" s="68"/>
      <c r="D19" s="60"/>
      <c r="E19" s="62"/>
      <c r="F19" s="64"/>
      <c r="G19" s="70"/>
      <c r="H19" s="77"/>
      <c r="I19" s="75"/>
      <c r="J19" s="58"/>
      <c r="K19" s="19"/>
      <c r="L19" s="20"/>
      <c r="M19" s="20"/>
      <c r="N19" s="20"/>
      <c r="O19" s="20"/>
      <c r="P19" s="79"/>
      <c r="Q19" s="29"/>
      <c r="R19" s="82"/>
      <c r="S19" s="26"/>
      <c r="T19" s="26"/>
      <c r="U19" s="26"/>
      <c r="V19" s="26"/>
      <c r="W19" s="26"/>
      <c r="X19" s="27"/>
      <c r="Y19" s="41"/>
      <c r="Z19" s="41"/>
      <c r="AA19" s="40"/>
      <c r="AB19" s="28"/>
      <c r="AC19" s="28"/>
      <c r="AD19" s="28"/>
      <c r="AE19" s="28"/>
      <c r="AF19" s="28"/>
      <c r="AG19" s="24"/>
      <c r="AH19" s="41"/>
      <c r="AI19" s="41"/>
      <c r="AJ19" s="42"/>
      <c r="AK19" s="43"/>
      <c r="AL19" s="43"/>
      <c r="AM19" s="43"/>
      <c r="AN19" s="43"/>
      <c r="AO19" s="43"/>
      <c r="AP19" s="43"/>
      <c r="AQ19" s="44"/>
      <c r="AR19" s="44" t="str">
        <f t="shared" si="0"/>
        <v/>
      </c>
    </row>
    <row r="20" spans="1:44" s="17" customFormat="1" ht="13.2">
      <c r="A20" s="38"/>
      <c r="B20" s="23"/>
      <c r="C20" s="68"/>
      <c r="D20" s="21"/>
      <c r="E20" s="28"/>
      <c r="F20" s="22"/>
      <c r="G20" s="71"/>
      <c r="H20" s="77"/>
      <c r="I20" s="75"/>
      <c r="J20" s="39"/>
      <c r="K20" s="19"/>
      <c r="L20" s="20"/>
      <c r="M20" s="20"/>
      <c r="N20" s="20"/>
      <c r="O20" s="20"/>
      <c r="P20" s="80"/>
      <c r="Q20" s="29"/>
      <c r="R20" s="82"/>
      <c r="S20" s="28"/>
      <c r="T20" s="28"/>
      <c r="U20" s="28"/>
      <c r="V20" s="28"/>
      <c r="W20" s="28"/>
      <c r="X20" s="23"/>
      <c r="Y20" s="41"/>
      <c r="Z20" s="41"/>
      <c r="AA20" s="40"/>
      <c r="AB20" s="28"/>
      <c r="AC20" s="28"/>
      <c r="AD20" s="28"/>
      <c r="AE20" s="28"/>
      <c r="AF20" s="28"/>
      <c r="AG20" s="24"/>
      <c r="AH20" s="41"/>
      <c r="AI20" s="41"/>
      <c r="AJ20" s="42"/>
      <c r="AK20" s="43"/>
      <c r="AL20" s="43"/>
      <c r="AM20" s="43"/>
      <c r="AN20" s="43"/>
      <c r="AO20" s="43"/>
      <c r="AP20" s="43"/>
      <c r="AQ20" s="44"/>
      <c r="AR20" s="44" t="str">
        <f t="shared" si="0"/>
        <v/>
      </c>
    </row>
    <row r="21" spans="1:44" s="25" customFormat="1" ht="13.2">
      <c r="A21" s="38"/>
      <c r="B21" s="23"/>
      <c r="C21" s="68"/>
      <c r="D21" s="21"/>
      <c r="E21" s="28"/>
      <c r="F21" s="22"/>
      <c r="G21" s="71"/>
      <c r="H21" s="77"/>
      <c r="I21" s="75"/>
      <c r="J21" s="39"/>
      <c r="K21" s="19"/>
      <c r="L21" s="20"/>
      <c r="M21" s="20"/>
      <c r="N21" s="20"/>
      <c r="O21" s="20"/>
      <c r="P21" s="80"/>
      <c r="Q21" s="29"/>
      <c r="R21" s="82"/>
      <c r="S21" s="28"/>
      <c r="T21" s="28"/>
      <c r="U21" s="28"/>
      <c r="V21" s="28"/>
      <c r="W21" s="28"/>
      <c r="X21" s="23"/>
      <c r="Y21" s="41"/>
      <c r="Z21" s="41"/>
      <c r="AA21" s="40"/>
      <c r="AB21" s="28"/>
      <c r="AC21" s="28"/>
      <c r="AD21" s="28"/>
      <c r="AE21" s="28"/>
      <c r="AF21" s="28"/>
      <c r="AG21" s="24"/>
      <c r="AH21" s="41"/>
      <c r="AI21" s="41"/>
      <c r="AJ21" s="42"/>
      <c r="AK21" s="43"/>
      <c r="AL21" s="43"/>
      <c r="AM21" s="43"/>
      <c r="AN21" s="43"/>
      <c r="AO21" s="43"/>
      <c r="AP21" s="43"/>
      <c r="AQ21" s="44"/>
      <c r="AR21" s="44" t="str">
        <f t="shared" si="0"/>
        <v/>
      </c>
    </row>
    <row r="22" spans="1:44" s="25" customFormat="1" ht="13.2">
      <c r="A22" s="38"/>
      <c r="B22" s="23"/>
      <c r="C22" s="68"/>
      <c r="D22" s="21"/>
      <c r="E22" s="28"/>
      <c r="F22" s="22"/>
      <c r="G22" s="71"/>
      <c r="H22" s="77"/>
      <c r="I22" s="75"/>
      <c r="J22" s="39"/>
      <c r="K22" s="19"/>
      <c r="L22" s="20"/>
      <c r="M22" s="20"/>
      <c r="N22" s="20"/>
      <c r="O22" s="20"/>
      <c r="P22" s="80"/>
      <c r="Q22" s="29"/>
      <c r="R22" s="82"/>
      <c r="S22" s="28"/>
      <c r="T22" s="28"/>
      <c r="U22" s="28"/>
      <c r="V22" s="28"/>
      <c r="W22" s="28"/>
      <c r="X22" s="23"/>
      <c r="Y22" s="41"/>
      <c r="Z22" s="41"/>
      <c r="AA22" s="40"/>
      <c r="AB22" s="28"/>
      <c r="AC22" s="28"/>
      <c r="AD22" s="28"/>
      <c r="AE22" s="28"/>
      <c r="AF22" s="28"/>
      <c r="AG22" s="24"/>
      <c r="AH22" s="41"/>
      <c r="AI22" s="41"/>
      <c r="AJ22" s="42"/>
      <c r="AK22" s="43"/>
      <c r="AL22" s="43"/>
      <c r="AM22" s="43"/>
      <c r="AN22" s="43"/>
      <c r="AO22" s="43"/>
      <c r="AP22" s="43"/>
      <c r="AQ22" s="44"/>
      <c r="AR22" s="44" t="str">
        <f t="shared" si="0"/>
        <v/>
      </c>
    </row>
    <row r="23" spans="1:44" s="25" customFormat="1" ht="13.2">
      <c r="A23" s="38"/>
      <c r="B23" s="23"/>
      <c r="C23" s="68"/>
      <c r="D23" s="21"/>
      <c r="E23" s="28"/>
      <c r="F23" s="22"/>
      <c r="G23" s="71"/>
      <c r="H23" s="77"/>
      <c r="I23" s="75"/>
      <c r="J23" s="39"/>
      <c r="K23" s="19"/>
      <c r="L23" s="20"/>
      <c r="M23" s="20"/>
      <c r="N23" s="20"/>
      <c r="O23" s="20"/>
      <c r="P23" s="80"/>
      <c r="Q23" s="29"/>
      <c r="R23" s="82"/>
      <c r="S23" s="28"/>
      <c r="T23" s="28"/>
      <c r="U23" s="28"/>
      <c r="V23" s="28"/>
      <c r="W23" s="28"/>
      <c r="X23" s="23"/>
      <c r="Y23" s="41"/>
      <c r="Z23" s="41"/>
      <c r="AA23" s="40"/>
      <c r="AB23" s="28"/>
      <c r="AC23" s="28"/>
      <c r="AD23" s="28"/>
      <c r="AE23" s="28"/>
      <c r="AF23" s="28"/>
      <c r="AG23" s="24"/>
      <c r="AH23" s="41"/>
      <c r="AI23" s="41"/>
      <c r="AJ23" s="42"/>
      <c r="AK23" s="43"/>
      <c r="AL23" s="43"/>
      <c r="AM23" s="43"/>
      <c r="AN23" s="43"/>
      <c r="AO23" s="43"/>
      <c r="AP23" s="43"/>
      <c r="AQ23" s="44"/>
      <c r="AR23" s="44" t="str">
        <f t="shared" si="0"/>
        <v/>
      </c>
    </row>
    <row r="24" spans="1:44" s="25" customFormat="1" ht="13.2">
      <c r="A24" s="38"/>
      <c r="B24" s="23"/>
      <c r="C24" s="68"/>
      <c r="D24" s="21"/>
      <c r="E24" s="28"/>
      <c r="F24" s="22"/>
      <c r="G24" s="71"/>
      <c r="H24" s="77"/>
      <c r="I24" s="75"/>
      <c r="J24" s="39"/>
      <c r="K24" s="19"/>
      <c r="L24" s="20"/>
      <c r="M24" s="20"/>
      <c r="N24" s="20"/>
      <c r="O24" s="20"/>
      <c r="P24" s="80"/>
      <c r="Q24" s="29"/>
      <c r="R24" s="82"/>
      <c r="S24" s="28"/>
      <c r="T24" s="28"/>
      <c r="U24" s="28"/>
      <c r="V24" s="28"/>
      <c r="X24" s="23"/>
      <c r="Y24" s="41"/>
      <c r="Z24" s="41"/>
      <c r="AA24" s="40"/>
      <c r="AB24" s="28"/>
      <c r="AC24" s="28"/>
      <c r="AD24" s="28"/>
      <c r="AE24" s="28"/>
      <c r="AG24" s="24"/>
      <c r="AH24" s="41"/>
      <c r="AI24" s="41"/>
      <c r="AJ24" s="42"/>
      <c r="AK24" s="43"/>
      <c r="AL24" s="43"/>
      <c r="AM24" s="43"/>
      <c r="AN24" s="43"/>
      <c r="AO24" s="43"/>
      <c r="AP24" s="43"/>
      <c r="AQ24" s="44"/>
      <c r="AR24" s="44" t="str">
        <f t="shared" si="0"/>
        <v/>
      </c>
    </row>
    <row r="25" spans="1:44" s="25" customFormat="1" ht="13.2">
      <c r="A25" s="38"/>
      <c r="B25" s="23"/>
      <c r="C25" s="68"/>
      <c r="D25" s="21"/>
      <c r="E25" s="28"/>
      <c r="F25" s="22"/>
      <c r="G25" s="71"/>
      <c r="H25" s="77"/>
      <c r="I25" s="75"/>
      <c r="J25" s="39"/>
      <c r="K25" s="19"/>
      <c r="L25" s="20"/>
      <c r="M25" s="20"/>
      <c r="N25" s="20"/>
      <c r="O25" s="20"/>
      <c r="P25" s="80"/>
      <c r="Q25" s="29"/>
      <c r="R25" s="82"/>
      <c r="S25" s="28"/>
      <c r="T25" s="28"/>
      <c r="U25" s="28"/>
      <c r="V25" s="28"/>
      <c r="W25" s="28"/>
      <c r="X25" s="23"/>
      <c r="Y25" s="41"/>
      <c r="Z25" s="41"/>
      <c r="AA25" s="40"/>
      <c r="AB25" s="28"/>
      <c r="AC25" s="28"/>
      <c r="AD25" s="28"/>
      <c r="AE25" s="28"/>
      <c r="AF25" s="28"/>
      <c r="AG25" s="24"/>
      <c r="AH25" s="41"/>
      <c r="AI25" s="41"/>
      <c r="AJ25" s="42"/>
      <c r="AK25" s="43"/>
      <c r="AL25" s="43"/>
      <c r="AM25" s="43"/>
      <c r="AN25" s="43"/>
      <c r="AO25" s="43"/>
      <c r="AP25" s="43"/>
      <c r="AQ25" s="44"/>
      <c r="AR25" s="44" t="str">
        <f t="shared" si="0"/>
        <v/>
      </c>
    </row>
    <row r="26" spans="1:44" s="25" customFormat="1" ht="13.2">
      <c r="A26" s="38"/>
      <c r="B26" s="23"/>
      <c r="C26" s="68"/>
      <c r="D26" s="21"/>
      <c r="E26" s="28"/>
      <c r="F26" s="22"/>
      <c r="G26" s="71"/>
      <c r="H26" s="77"/>
      <c r="I26" s="75"/>
      <c r="J26" s="39"/>
      <c r="K26" s="19"/>
      <c r="L26" s="20"/>
      <c r="M26" s="20"/>
      <c r="N26" s="20"/>
      <c r="O26" s="20"/>
      <c r="P26" s="80"/>
      <c r="Q26" s="29"/>
      <c r="R26" s="82"/>
      <c r="S26" s="28"/>
      <c r="T26" s="28"/>
      <c r="U26" s="28"/>
      <c r="V26" s="28"/>
      <c r="W26" s="28"/>
      <c r="X26" s="23"/>
      <c r="Y26" s="41"/>
      <c r="Z26" s="41"/>
      <c r="AA26" s="40"/>
      <c r="AB26" s="28"/>
      <c r="AC26" s="28"/>
      <c r="AD26" s="28"/>
      <c r="AE26" s="28"/>
      <c r="AF26" s="28"/>
      <c r="AG26" s="24"/>
      <c r="AH26" s="41"/>
      <c r="AI26" s="41"/>
      <c r="AJ26" s="42"/>
      <c r="AK26" s="43"/>
      <c r="AL26" s="43"/>
      <c r="AM26" s="43"/>
      <c r="AN26" s="43"/>
      <c r="AO26" s="43"/>
      <c r="AP26" s="43"/>
      <c r="AQ26" s="44"/>
      <c r="AR26" s="44" t="str">
        <f t="shared" si="0"/>
        <v/>
      </c>
    </row>
    <row r="27" spans="1:44" s="25" customFormat="1" ht="13.2">
      <c r="A27" s="38"/>
      <c r="B27" s="23"/>
      <c r="C27" s="68"/>
      <c r="D27" s="21"/>
      <c r="E27" s="28"/>
      <c r="F27" s="22"/>
      <c r="G27" s="71"/>
      <c r="H27" s="77"/>
      <c r="I27" s="75"/>
      <c r="J27" s="39"/>
      <c r="K27" s="19"/>
      <c r="L27" s="20"/>
      <c r="M27" s="20"/>
      <c r="N27" s="20"/>
      <c r="O27" s="20"/>
      <c r="P27" s="80"/>
      <c r="Q27" s="29"/>
      <c r="R27" s="82"/>
      <c r="S27" s="28"/>
      <c r="T27" s="28"/>
      <c r="U27" s="28"/>
      <c r="V27" s="28"/>
      <c r="W27" s="28"/>
      <c r="X27" s="23"/>
      <c r="Y27" s="41"/>
      <c r="Z27" s="41"/>
      <c r="AA27" s="40"/>
      <c r="AB27" s="28"/>
      <c r="AC27" s="28"/>
      <c r="AD27" s="28"/>
      <c r="AE27" s="28"/>
      <c r="AF27" s="28"/>
      <c r="AG27" s="24"/>
      <c r="AH27" s="41"/>
      <c r="AI27" s="41"/>
      <c r="AJ27" s="42"/>
      <c r="AK27" s="43"/>
      <c r="AL27" s="43"/>
      <c r="AM27" s="43"/>
      <c r="AN27" s="43"/>
      <c r="AO27" s="43"/>
      <c r="AP27" s="43"/>
      <c r="AQ27" s="44"/>
      <c r="AR27" s="44" t="str">
        <f t="shared" si="0"/>
        <v/>
      </c>
    </row>
    <row r="28" spans="1:44" s="36" customFormat="1" ht="13.2">
      <c r="A28" s="38"/>
      <c r="B28" s="23"/>
      <c r="C28" s="68"/>
      <c r="D28" s="21"/>
      <c r="E28" s="28"/>
      <c r="F28" s="22"/>
      <c r="G28" s="71"/>
      <c r="H28" s="77"/>
      <c r="I28" s="75"/>
      <c r="J28" s="39"/>
      <c r="K28" s="19"/>
      <c r="L28" s="20"/>
      <c r="M28" s="20"/>
      <c r="N28" s="20"/>
      <c r="O28" s="20"/>
      <c r="P28" s="80"/>
      <c r="Q28" s="29"/>
      <c r="R28" s="82"/>
      <c r="S28" s="28"/>
      <c r="T28" s="28"/>
      <c r="U28" s="28"/>
      <c r="V28" s="28"/>
      <c r="W28" s="28"/>
      <c r="X28" s="23"/>
      <c r="Y28" s="41"/>
      <c r="Z28" s="41"/>
      <c r="AA28" s="40"/>
      <c r="AB28" s="28"/>
      <c r="AC28" s="28"/>
      <c r="AD28" s="28"/>
      <c r="AE28" s="28"/>
      <c r="AF28" s="28"/>
      <c r="AG28" s="24"/>
      <c r="AH28" s="41"/>
      <c r="AI28" s="41"/>
      <c r="AJ28" s="42"/>
      <c r="AK28" s="43"/>
      <c r="AL28" s="43"/>
      <c r="AM28" s="43"/>
      <c r="AN28" s="43"/>
      <c r="AO28" s="43"/>
      <c r="AP28" s="43"/>
      <c r="AQ28" s="44"/>
      <c r="AR28" s="44" t="str">
        <f t="shared" si="0"/>
        <v/>
      </c>
    </row>
    <row r="29" spans="1:44" s="37" customFormat="1" ht="13.2">
      <c r="A29" s="38"/>
      <c r="B29" s="23"/>
      <c r="C29" s="68"/>
      <c r="D29" s="21"/>
      <c r="E29" s="28"/>
      <c r="F29" s="22"/>
      <c r="G29" s="71"/>
      <c r="H29" s="77"/>
      <c r="I29" s="75"/>
      <c r="J29" s="39"/>
      <c r="K29" s="19"/>
      <c r="L29" s="20"/>
      <c r="M29" s="20"/>
      <c r="N29" s="20"/>
      <c r="O29" s="20"/>
      <c r="P29" s="80"/>
      <c r="Q29" s="29"/>
      <c r="R29" s="82"/>
      <c r="S29" s="28"/>
      <c r="T29" s="28"/>
      <c r="U29" s="28"/>
      <c r="V29" s="28"/>
      <c r="W29" s="28"/>
      <c r="X29" s="23"/>
      <c r="Y29" s="41"/>
      <c r="Z29" s="41"/>
      <c r="AA29" s="40"/>
      <c r="AB29" s="28"/>
      <c r="AC29" s="28"/>
      <c r="AD29" s="28"/>
      <c r="AE29" s="28"/>
      <c r="AF29" s="28"/>
      <c r="AG29" s="24"/>
      <c r="AH29" s="41"/>
      <c r="AI29" s="41"/>
      <c r="AJ29" s="42"/>
      <c r="AK29" s="43"/>
      <c r="AL29" s="43"/>
      <c r="AM29" s="43"/>
      <c r="AN29" s="43"/>
      <c r="AO29" s="43"/>
      <c r="AP29" s="43"/>
      <c r="AQ29" s="44"/>
      <c r="AR29" s="44" t="str">
        <f t="shared" si="0"/>
        <v/>
      </c>
    </row>
    <row r="30" spans="1:44" s="37" customFormat="1" ht="13.2">
      <c r="A30" s="38"/>
      <c r="B30" s="23"/>
      <c r="C30" s="68"/>
      <c r="D30" s="21"/>
      <c r="E30" s="28"/>
      <c r="F30" s="22"/>
      <c r="G30" s="71"/>
      <c r="H30" s="77"/>
      <c r="I30" s="75"/>
      <c r="J30" s="39"/>
      <c r="K30" s="19"/>
      <c r="L30" s="20"/>
      <c r="M30" s="20"/>
      <c r="N30" s="20"/>
      <c r="O30" s="20"/>
      <c r="P30" s="80"/>
      <c r="Q30" s="29"/>
      <c r="R30" s="82"/>
      <c r="S30" s="28"/>
      <c r="T30" s="28"/>
      <c r="U30" s="28"/>
      <c r="V30" s="28"/>
      <c r="W30" s="28"/>
      <c r="X30" s="23"/>
      <c r="Y30" s="41"/>
      <c r="Z30" s="41"/>
      <c r="AA30" s="40"/>
      <c r="AB30" s="28"/>
      <c r="AC30" s="28"/>
      <c r="AD30" s="28"/>
      <c r="AE30" s="28"/>
      <c r="AF30" s="28"/>
      <c r="AG30" s="24"/>
      <c r="AH30" s="41"/>
      <c r="AI30" s="41"/>
      <c r="AJ30" s="42"/>
      <c r="AK30" s="43"/>
      <c r="AL30" s="43"/>
      <c r="AM30" s="43"/>
      <c r="AN30" s="43"/>
      <c r="AO30" s="43"/>
      <c r="AP30" s="43"/>
      <c r="AQ30" s="44"/>
      <c r="AR30" s="44" t="str">
        <f t="shared" si="0"/>
        <v/>
      </c>
    </row>
    <row r="31" spans="1:44" s="37" customFormat="1" ht="13.2">
      <c r="A31" s="38"/>
      <c r="B31" s="23"/>
      <c r="C31" s="68"/>
      <c r="D31" s="21"/>
      <c r="E31" s="28"/>
      <c r="F31" s="22"/>
      <c r="G31" s="71"/>
      <c r="H31" s="77"/>
      <c r="I31" s="75"/>
      <c r="J31" s="39"/>
      <c r="K31" s="19"/>
      <c r="L31" s="20"/>
      <c r="M31" s="20"/>
      <c r="N31" s="20"/>
      <c r="O31" s="20"/>
      <c r="P31" s="80"/>
      <c r="Q31" s="29"/>
      <c r="R31" s="82"/>
      <c r="S31" s="28"/>
      <c r="T31" s="28"/>
      <c r="U31" s="28"/>
      <c r="V31" s="28"/>
      <c r="W31" s="28"/>
      <c r="X31" s="23"/>
      <c r="Y31" s="41"/>
      <c r="Z31" s="41"/>
      <c r="AA31" s="40"/>
      <c r="AB31" s="28"/>
      <c r="AC31" s="28"/>
      <c r="AD31" s="28"/>
      <c r="AE31" s="28"/>
      <c r="AF31" s="28"/>
      <c r="AG31" s="24"/>
      <c r="AH31" s="41"/>
      <c r="AI31" s="41"/>
      <c r="AJ31" s="42"/>
      <c r="AK31" s="43"/>
      <c r="AL31" s="43"/>
      <c r="AM31" s="43"/>
      <c r="AN31" s="43"/>
      <c r="AO31" s="43"/>
      <c r="AP31" s="43"/>
      <c r="AQ31" s="44"/>
      <c r="AR31" s="44" t="str">
        <f t="shared" si="0"/>
        <v/>
      </c>
    </row>
    <row r="32" spans="1:44" s="37" customFormat="1" ht="13.2">
      <c r="A32" s="38"/>
      <c r="B32" s="23"/>
      <c r="C32" s="68"/>
      <c r="D32" s="21"/>
      <c r="E32" s="28"/>
      <c r="F32" s="22"/>
      <c r="G32" s="71"/>
      <c r="H32" s="77"/>
      <c r="I32" s="75"/>
      <c r="J32" s="39"/>
      <c r="K32" s="19"/>
      <c r="L32" s="20"/>
      <c r="M32" s="20"/>
      <c r="N32" s="20"/>
      <c r="O32" s="20"/>
      <c r="P32" s="80"/>
      <c r="Q32" s="29"/>
      <c r="R32" s="82"/>
      <c r="S32" s="28"/>
      <c r="T32" s="28"/>
      <c r="U32" s="28"/>
      <c r="V32" s="28"/>
      <c r="W32" s="28"/>
      <c r="X32" s="23"/>
      <c r="Y32" s="41"/>
      <c r="Z32" s="41"/>
      <c r="AA32" s="40"/>
      <c r="AB32" s="28"/>
      <c r="AC32" s="28"/>
      <c r="AD32" s="28"/>
      <c r="AE32" s="28"/>
      <c r="AF32" s="28"/>
      <c r="AG32" s="24"/>
      <c r="AH32" s="41"/>
      <c r="AI32" s="41"/>
      <c r="AJ32" s="42"/>
      <c r="AK32" s="43"/>
      <c r="AL32" s="43"/>
      <c r="AM32" s="43"/>
      <c r="AN32" s="43"/>
      <c r="AO32" s="43"/>
      <c r="AP32" s="43"/>
      <c r="AQ32" s="44"/>
      <c r="AR32" s="44" t="str">
        <f t="shared" si="0"/>
        <v/>
      </c>
    </row>
    <row r="33" spans="1:44" s="37" customFormat="1" ht="13.2">
      <c r="A33" s="38"/>
      <c r="B33" s="23"/>
      <c r="C33" s="68"/>
      <c r="D33" s="21"/>
      <c r="E33" s="28"/>
      <c r="F33" s="22"/>
      <c r="G33" s="71"/>
      <c r="H33" s="77"/>
      <c r="I33" s="75"/>
      <c r="J33" s="39"/>
      <c r="K33" s="19"/>
      <c r="L33" s="20"/>
      <c r="M33" s="20"/>
      <c r="N33" s="20"/>
      <c r="O33" s="20"/>
      <c r="P33" s="80"/>
      <c r="Q33" s="29"/>
      <c r="R33" s="82"/>
      <c r="S33" s="28"/>
      <c r="T33" s="28"/>
      <c r="U33" s="28"/>
      <c r="V33" s="28"/>
      <c r="W33" s="28"/>
      <c r="X33" s="23"/>
      <c r="Y33" s="41"/>
      <c r="Z33" s="41"/>
      <c r="AA33" s="40"/>
      <c r="AB33" s="28"/>
      <c r="AC33" s="28"/>
      <c r="AD33" s="28"/>
      <c r="AE33" s="28"/>
      <c r="AF33" s="28"/>
      <c r="AG33" s="24"/>
      <c r="AH33" s="41"/>
      <c r="AI33" s="41"/>
      <c r="AJ33" s="42"/>
      <c r="AK33" s="43"/>
      <c r="AL33" s="43"/>
      <c r="AM33" s="43"/>
      <c r="AN33" s="43"/>
      <c r="AO33" s="43"/>
      <c r="AP33" s="43"/>
      <c r="AQ33" s="44"/>
      <c r="AR33" s="44" t="str">
        <f t="shared" si="0"/>
        <v/>
      </c>
    </row>
    <row r="34" spans="1:44" s="37" customFormat="1" ht="13.2">
      <c r="A34" s="38"/>
      <c r="B34" s="23"/>
      <c r="C34" s="68"/>
      <c r="D34" s="21"/>
      <c r="E34" s="28"/>
      <c r="F34" s="22"/>
      <c r="G34" s="71"/>
      <c r="H34" s="77"/>
      <c r="I34" s="75"/>
      <c r="J34" s="39"/>
      <c r="K34" s="19"/>
      <c r="L34" s="20"/>
      <c r="M34" s="20"/>
      <c r="N34" s="20"/>
      <c r="O34" s="20"/>
      <c r="P34" s="80"/>
      <c r="Q34" s="29"/>
      <c r="R34" s="82"/>
      <c r="S34" s="28"/>
      <c r="T34" s="28"/>
      <c r="U34" s="28"/>
      <c r="V34" s="28"/>
      <c r="W34" s="28"/>
      <c r="X34" s="23"/>
      <c r="Y34" s="41"/>
      <c r="Z34" s="41"/>
      <c r="AA34" s="40"/>
      <c r="AB34" s="28"/>
      <c r="AC34" s="28"/>
      <c r="AD34" s="28"/>
      <c r="AE34" s="28"/>
      <c r="AF34" s="28"/>
      <c r="AG34" s="24"/>
      <c r="AH34" s="41"/>
      <c r="AI34" s="41"/>
      <c r="AJ34" s="42"/>
      <c r="AK34" s="43"/>
      <c r="AL34" s="43"/>
      <c r="AM34" s="43"/>
      <c r="AN34" s="43"/>
      <c r="AO34" s="43"/>
      <c r="AP34" s="43"/>
      <c r="AQ34" s="44"/>
      <c r="AR34" s="44" t="str">
        <f t="shared" si="0"/>
        <v/>
      </c>
    </row>
    <row r="35" spans="1:44" s="37" customFormat="1" ht="13.2">
      <c r="A35" s="38"/>
      <c r="B35" s="39"/>
      <c r="C35" s="68"/>
      <c r="D35" s="65"/>
      <c r="E35" s="54"/>
      <c r="F35" s="55"/>
      <c r="G35" s="72"/>
      <c r="H35" s="77"/>
      <c r="I35" s="75"/>
      <c r="J35" s="39"/>
      <c r="K35" s="19"/>
      <c r="L35" s="20"/>
      <c r="M35" s="20"/>
      <c r="N35" s="20"/>
      <c r="O35" s="20"/>
      <c r="P35" s="80"/>
      <c r="Q35" s="29"/>
      <c r="R35" s="82"/>
      <c r="S35" s="56"/>
      <c r="T35" s="56"/>
      <c r="U35" s="56"/>
      <c r="V35" s="56"/>
      <c r="W35" s="56"/>
      <c r="X35" s="56"/>
      <c r="Y35" s="41"/>
      <c r="Z35" s="41"/>
      <c r="AA35" s="40"/>
      <c r="AB35" s="39"/>
      <c r="AC35" s="39"/>
      <c r="AD35" s="39"/>
      <c r="AE35" s="39"/>
      <c r="AF35" s="39"/>
      <c r="AG35" s="39"/>
      <c r="AH35" s="41"/>
      <c r="AI35" s="41"/>
      <c r="AJ35" s="42"/>
      <c r="AK35" s="43"/>
      <c r="AL35" s="43"/>
      <c r="AM35" s="43"/>
      <c r="AN35" s="43"/>
      <c r="AO35" s="43"/>
      <c r="AP35" s="43"/>
      <c r="AQ35" s="44"/>
      <c r="AR35" s="44" t="str">
        <f t="shared" si="0"/>
        <v/>
      </c>
    </row>
    <row r="36" spans="1:44" s="37" customFormat="1" ht="13.2">
      <c r="A36" s="38"/>
      <c r="B36" s="23"/>
      <c r="C36" s="68"/>
      <c r="D36" s="21"/>
      <c r="E36" s="28"/>
      <c r="F36" s="22"/>
      <c r="G36" s="71"/>
      <c r="H36" s="77"/>
      <c r="I36" s="75"/>
      <c r="J36" s="39"/>
      <c r="K36" s="19"/>
      <c r="L36" s="20"/>
      <c r="M36" s="20"/>
      <c r="N36" s="20"/>
      <c r="O36" s="20"/>
      <c r="P36" s="80"/>
      <c r="Q36" s="29"/>
      <c r="R36" s="82"/>
      <c r="S36" s="28"/>
      <c r="T36" s="28"/>
      <c r="U36" s="28"/>
      <c r="V36" s="28"/>
      <c r="W36" s="28"/>
      <c r="X36" s="23"/>
      <c r="Y36" s="41"/>
      <c r="Z36" s="41"/>
      <c r="AA36" s="40"/>
      <c r="AB36" s="28"/>
      <c r="AC36" s="28"/>
      <c r="AD36" s="28"/>
      <c r="AE36" s="28"/>
      <c r="AF36" s="28"/>
      <c r="AG36" s="24"/>
      <c r="AH36" s="41"/>
      <c r="AI36" s="41"/>
      <c r="AJ36" s="42"/>
      <c r="AK36" s="43"/>
      <c r="AL36" s="43"/>
      <c r="AM36" s="43"/>
      <c r="AN36" s="43"/>
      <c r="AO36" s="43"/>
      <c r="AP36" s="43"/>
      <c r="AQ36" s="44"/>
      <c r="AR36" s="44" t="str">
        <f t="shared" si="0"/>
        <v/>
      </c>
    </row>
    <row r="37" spans="1:44" s="37" customFormat="1" ht="13.2">
      <c r="A37" s="38"/>
      <c r="B37" s="45"/>
      <c r="C37" s="68"/>
      <c r="D37" s="66"/>
      <c r="E37" s="47"/>
      <c r="F37" s="46"/>
      <c r="G37" s="73"/>
      <c r="H37" s="77"/>
      <c r="I37" s="75"/>
      <c r="J37" s="48"/>
      <c r="K37" s="19"/>
      <c r="L37" s="20"/>
      <c r="M37" s="20"/>
      <c r="N37" s="20"/>
      <c r="O37" s="20"/>
      <c r="P37" s="81"/>
      <c r="Q37" s="29"/>
      <c r="R37" s="82"/>
      <c r="S37" s="47"/>
      <c r="T37" s="47"/>
      <c r="U37" s="47"/>
      <c r="V37" s="47"/>
      <c r="W37" s="47"/>
      <c r="X37" s="45"/>
      <c r="Y37" s="41"/>
      <c r="Z37" s="41"/>
      <c r="AA37" s="40"/>
      <c r="AB37" s="28"/>
      <c r="AC37" s="28"/>
      <c r="AD37" s="28"/>
      <c r="AE37" s="28"/>
      <c r="AF37" s="28"/>
      <c r="AG37" s="24"/>
      <c r="AH37" s="41"/>
      <c r="AI37" s="41"/>
      <c r="AJ37" s="42"/>
      <c r="AK37" s="43"/>
      <c r="AL37" s="43"/>
      <c r="AM37" s="43"/>
      <c r="AN37" s="43"/>
      <c r="AO37" s="43"/>
      <c r="AP37" s="43"/>
      <c r="AQ37" s="44"/>
      <c r="AR37" s="44" t="str">
        <f t="shared" si="0"/>
        <v/>
      </c>
    </row>
    <row r="38" spans="1:44" s="37" customFormat="1" ht="13.2">
      <c r="A38" s="38"/>
      <c r="B38" s="23"/>
      <c r="C38" s="68"/>
      <c r="D38" s="21"/>
      <c r="E38" s="28"/>
      <c r="F38" s="22"/>
      <c r="G38" s="71"/>
      <c r="H38" s="77"/>
      <c r="I38" s="75"/>
      <c r="J38" s="39"/>
      <c r="K38" s="19"/>
      <c r="L38" s="20"/>
      <c r="M38" s="20"/>
      <c r="N38" s="20"/>
      <c r="O38" s="20"/>
      <c r="P38" s="80"/>
      <c r="Q38" s="29"/>
      <c r="R38" s="82"/>
      <c r="S38" s="28"/>
      <c r="T38" s="28"/>
      <c r="U38" s="28"/>
      <c r="V38" s="28"/>
      <c r="W38" s="28"/>
      <c r="X38" s="23"/>
      <c r="Y38" s="41"/>
      <c r="Z38" s="41"/>
      <c r="AA38" s="40"/>
      <c r="AB38" s="28"/>
      <c r="AC38" s="28"/>
      <c r="AD38" s="28"/>
      <c r="AE38" s="28"/>
      <c r="AF38" s="28"/>
      <c r="AG38" s="24"/>
      <c r="AH38" s="41"/>
      <c r="AI38" s="41"/>
      <c r="AJ38" s="42"/>
      <c r="AK38" s="43"/>
      <c r="AL38" s="43"/>
      <c r="AM38" s="43"/>
      <c r="AN38" s="43"/>
      <c r="AO38" s="43"/>
      <c r="AP38" s="43"/>
      <c r="AQ38" s="44"/>
      <c r="AR38" s="44" t="str">
        <f t="shared" si="0"/>
        <v/>
      </c>
    </row>
    <row r="39" spans="1:44" s="37" customFormat="1" ht="13.2">
      <c r="A39" s="38"/>
      <c r="B39" s="23"/>
      <c r="C39" s="68"/>
      <c r="D39" s="21"/>
      <c r="E39" s="28"/>
      <c r="F39" s="22"/>
      <c r="G39" s="71"/>
      <c r="H39" s="77"/>
      <c r="I39" s="75"/>
      <c r="J39" s="39"/>
      <c r="K39" s="19"/>
      <c r="L39" s="20"/>
      <c r="M39" s="20"/>
      <c r="N39" s="20"/>
      <c r="O39" s="20"/>
      <c r="P39" s="80"/>
      <c r="Q39" s="29"/>
      <c r="R39" s="82"/>
      <c r="S39" s="28"/>
      <c r="T39" s="28"/>
      <c r="U39" s="28"/>
      <c r="V39" s="28"/>
      <c r="W39" s="28"/>
      <c r="X39" s="23"/>
      <c r="Y39" s="41"/>
      <c r="Z39" s="41"/>
      <c r="AA39" s="40"/>
      <c r="AB39" s="28"/>
      <c r="AC39" s="28"/>
      <c r="AD39" s="28"/>
      <c r="AE39" s="28"/>
      <c r="AF39" s="28"/>
      <c r="AG39" s="24"/>
      <c r="AH39" s="41"/>
      <c r="AI39" s="41"/>
      <c r="AJ39" s="42"/>
      <c r="AK39" s="43"/>
      <c r="AL39" s="43"/>
      <c r="AM39" s="43"/>
      <c r="AN39" s="43"/>
      <c r="AO39" s="43"/>
      <c r="AP39" s="43"/>
      <c r="AQ39" s="44"/>
      <c r="AR39" s="44" t="str">
        <f t="shared" si="0"/>
        <v/>
      </c>
    </row>
    <row r="40" spans="1:44" s="37" customFormat="1" ht="13.2">
      <c r="A40" s="38"/>
      <c r="B40" s="23"/>
      <c r="C40" s="68"/>
      <c r="D40" s="21"/>
      <c r="E40" s="28"/>
      <c r="F40" s="22"/>
      <c r="G40" s="71"/>
      <c r="H40" s="77"/>
      <c r="I40" s="75"/>
      <c r="J40" s="39"/>
      <c r="K40" s="19"/>
      <c r="L40" s="20"/>
      <c r="M40" s="20"/>
      <c r="N40" s="20"/>
      <c r="O40" s="20"/>
      <c r="P40" s="80"/>
      <c r="Q40" s="29"/>
      <c r="R40" s="82"/>
      <c r="S40" s="28"/>
      <c r="T40" s="28"/>
      <c r="U40" s="28"/>
      <c r="V40" s="28"/>
      <c r="W40" s="28"/>
      <c r="X40" s="23"/>
      <c r="Y40" s="41"/>
      <c r="Z40" s="41"/>
      <c r="AA40" s="40"/>
      <c r="AB40" s="28"/>
      <c r="AC40" s="28"/>
      <c r="AD40" s="28"/>
      <c r="AE40" s="28"/>
      <c r="AF40" s="28"/>
      <c r="AG40" s="24"/>
      <c r="AH40" s="41"/>
      <c r="AI40" s="41"/>
      <c r="AJ40" s="42"/>
      <c r="AK40" s="43"/>
      <c r="AL40" s="43"/>
      <c r="AM40" s="43"/>
      <c r="AN40" s="43"/>
      <c r="AO40" s="43"/>
      <c r="AP40" s="43"/>
      <c r="AQ40" s="44"/>
      <c r="AR40" s="44" t="str">
        <f t="shared" si="0"/>
        <v/>
      </c>
    </row>
    <row r="41" spans="1:44" ht="13.2">
      <c r="A41" s="38"/>
      <c r="B41" s="23"/>
      <c r="C41" s="68"/>
      <c r="D41" s="21"/>
      <c r="E41" s="28"/>
      <c r="F41" s="22"/>
      <c r="G41" s="71"/>
      <c r="H41" s="77"/>
      <c r="I41" s="75"/>
      <c r="J41" s="39"/>
      <c r="K41" s="19"/>
      <c r="L41" s="20"/>
      <c r="M41" s="20"/>
      <c r="N41" s="20"/>
      <c r="O41" s="20"/>
      <c r="P41" s="80"/>
      <c r="Q41" s="29"/>
      <c r="R41" s="82"/>
      <c r="S41" s="28"/>
      <c r="T41" s="28"/>
      <c r="U41" s="28"/>
      <c r="V41" s="28"/>
      <c r="W41" s="28"/>
      <c r="X41" s="23"/>
      <c r="Y41" s="41"/>
      <c r="Z41" s="41"/>
      <c r="AA41" s="40"/>
      <c r="AB41" s="28"/>
      <c r="AC41" s="28"/>
      <c r="AD41" s="28"/>
      <c r="AE41" s="28"/>
      <c r="AF41" s="28"/>
      <c r="AG41" s="24"/>
      <c r="AH41" s="41"/>
      <c r="AI41" s="41"/>
      <c r="AJ41" s="42"/>
      <c r="AK41" s="43"/>
      <c r="AL41" s="43"/>
      <c r="AM41" s="43"/>
      <c r="AN41" s="43"/>
      <c r="AO41" s="43"/>
      <c r="AP41" s="43"/>
      <c r="AQ41" s="44"/>
      <c r="AR41" s="44" t="str">
        <f t="shared" si="0"/>
        <v/>
      </c>
    </row>
    <row r="42" spans="1:44" ht="13.2">
      <c r="A42" s="38"/>
      <c r="B42" s="23"/>
      <c r="C42" s="68"/>
      <c r="D42" s="21"/>
      <c r="E42" s="28"/>
      <c r="F42" s="22"/>
      <c r="G42" s="71"/>
      <c r="H42" s="77"/>
      <c r="I42" s="75"/>
      <c r="J42" s="39"/>
      <c r="K42" s="19"/>
      <c r="L42" s="20"/>
      <c r="M42" s="20"/>
      <c r="N42" s="20"/>
      <c r="O42" s="20"/>
      <c r="P42" s="80"/>
      <c r="Q42" s="29"/>
      <c r="R42" s="82"/>
      <c r="S42" s="28"/>
      <c r="T42" s="28"/>
      <c r="U42" s="28"/>
      <c r="V42" s="28"/>
      <c r="W42" s="28"/>
      <c r="X42" s="23"/>
      <c r="Y42" s="41"/>
      <c r="Z42" s="41"/>
      <c r="AA42" s="40"/>
      <c r="AB42" s="28"/>
      <c r="AC42" s="28"/>
      <c r="AD42" s="28"/>
      <c r="AE42" s="28"/>
      <c r="AF42" s="28"/>
      <c r="AG42" s="24"/>
      <c r="AH42" s="41"/>
      <c r="AI42" s="41"/>
      <c r="AJ42" s="42"/>
      <c r="AK42" s="43"/>
      <c r="AL42" s="43"/>
      <c r="AM42" s="43"/>
      <c r="AN42" s="43"/>
      <c r="AO42" s="43"/>
      <c r="AP42" s="43"/>
      <c r="AQ42" s="44"/>
      <c r="AR42" s="44" t="str">
        <f t="shared" si="0"/>
        <v/>
      </c>
    </row>
    <row r="43" spans="1:44" ht="13.2">
      <c r="A43" s="38"/>
      <c r="B43" s="23"/>
      <c r="C43" s="68"/>
      <c r="D43" s="21"/>
      <c r="E43" s="28"/>
      <c r="F43" s="22"/>
      <c r="G43" s="71"/>
      <c r="H43" s="77"/>
      <c r="I43" s="76"/>
      <c r="J43" s="39"/>
      <c r="K43" s="19"/>
      <c r="L43" s="20"/>
      <c r="M43" s="20"/>
      <c r="N43" s="20"/>
      <c r="O43" s="20"/>
      <c r="P43" s="80"/>
      <c r="Q43" s="29"/>
      <c r="R43" s="82"/>
      <c r="S43" s="28"/>
      <c r="T43" s="28"/>
      <c r="U43" s="28"/>
      <c r="V43" s="28"/>
      <c r="W43" s="28"/>
      <c r="X43" s="23"/>
      <c r="Y43" s="41"/>
      <c r="Z43" s="41"/>
      <c r="AA43" s="40"/>
      <c r="AB43" s="28"/>
      <c r="AC43" s="28"/>
      <c r="AD43" s="28"/>
      <c r="AE43" s="28"/>
      <c r="AF43" s="28"/>
      <c r="AG43" s="24"/>
      <c r="AH43" s="41"/>
      <c r="AI43" s="41"/>
      <c r="AJ43" s="42"/>
      <c r="AK43" s="43"/>
      <c r="AL43" s="43"/>
      <c r="AM43" s="43"/>
      <c r="AN43" s="43"/>
      <c r="AO43" s="43"/>
      <c r="AP43" s="43"/>
      <c r="AQ43" s="44"/>
      <c r="AR43" s="44" t="str">
        <f t="shared" si="0"/>
        <v/>
      </c>
    </row>
    <row r="44" spans="1:44" ht="13.2">
      <c r="A44" s="38"/>
      <c r="B44" s="23"/>
      <c r="C44" s="68"/>
      <c r="D44" s="21"/>
      <c r="E44" s="28"/>
      <c r="F44" s="22"/>
      <c r="G44" s="71"/>
      <c r="H44" s="77"/>
      <c r="I44" s="75"/>
      <c r="J44" s="39"/>
      <c r="K44" s="19"/>
      <c r="L44" s="20"/>
      <c r="M44" s="20"/>
      <c r="N44" s="20"/>
      <c r="O44" s="20"/>
      <c r="P44" s="80"/>
      <c r="Q44" s="29"/>
      <c r="R44" s="82"/>
      <c r="S44" s="28"/>
      <c r="T44" s="28"/>
      <c r="U44" s="28"/>
      <c r="V44" s="28"/>
      <c r="W44" s="28"/>
      <c r="X44" s="23"/>
      <c r="Y44" s="41"/>
      <c r="Z44" s="41"/>
      <c r="AA44" s="40"/>
      <c r="AB44" s="28"/>
      <c r="AC44" s="28"/>
      <c r="AD44" s="28"/>
      <c r="AE44" s="28"/>
      <c r="AF44" s="28"/>
      <c r="AG44" s="24"/>
      <c r="AH44" s="41"/>
      <c r="AI44" s="41"/>
      <c r="AJ44" s="42"/>
      <c r="AK44" s="43"/>
      <c r="AL44" s="43"/>
      <c r="AM44" s="43"/>
      <c r="AN44" s="43"/>
      <c r="AO44" s="43"/>
      <c r="AP44" s="43"/>
      <c r="AQ44" s="44"/>
      <c r="AR44" s="44" t="str">
        <f t="shared" si="0"/>
        <v/>
      </c>
    </row>
    <row r="45" spans="1:44" ht="13.2">
      <c r="A45" s="38"/>
      <c r="B45" s="23"/>
      <c r="C45" s="68"/>
      <c r="D45" s="21"/>
      <c r="E45" s="28"/>
      <c r="F45" s="22"/>
      <c r="G45" s="71"/>
      <c r="H45" s="77"/>
      <c r="I45" s="75"/>
      <c r="J45" s="39"/>
      <c r="K45" s="19"/>
      <c r="L45" s="20"/>
      <c r="M45" s="20"/>
      <c r="N45" s="20"/>
      <c r="O45" s="20"/>
      <c r="P45" s="80"/>
      <c r="Q45" s="29"/>
      <c r="R45" s="82"/>
      <c r="S45" s="28"/>
      <c r="T45" s="28"/>
      <c r="U45" s="28"/>
      <c r="V45" s="28"/>
      <c r="W45" s="28"/>
      <c r="X45" s="23"/>
      <c r="Y45" s="41"/>
      <c r="Z45" s="41"/>
      <c r="AA45" s="40"/>
      <c r="AB45" s="28"/>
      <c r="AC45" s="28"/>
      <c r="AD45" s="28"/>
      <c r="AE45" s="28"/>
      <c r="AF45" s="28"/>
      <c r="AG45" s="24"/>
      <c r="AH45" s="41"/>
      <c r="AI45" s="41"/>
      <c r="AJ45" s="42"/>
      <c r="AK45" s="43"/>
      <c r="AL45" s="43"/>
      <c r="AM45" s="43"/>
      <c r="AN45" s="43"/>
      <c r="AO45" s="43"/>
      <c r="AP45" s="43"/>
      <c r="AQ45" s="44"/>
      <c r="AR45" s="44" t="str">
        <f t="shared" si="0"/>
        <v/>
      </c>
    </row>
    <row r="46" spans="1:44" ht="13.2">
      <c r="A46" s="38"/>
      <c r="B46" s="23"/>
      <c r="C46" s="68"/>
      <c r="D46" s="21"/>
      <c r="E46" s="28"/>
      <c r="F46" s="22"/>
      <c r="G46" s="71"/>
      <c r="H46" s="77"/>
      <c r="I46" s="75"/>
      <c r="J46" s="39"/>
      <c r="K46" s="19"/>
      <c r="L46" s="20"/>
      <c r="M46" s="20"/>
      <c r="N46" s="20"/>
      <c r="O46" s="20"/>
      <c r="P46" s="80"/>
      <c r="Q46" s="29"/>
      <c r="R46" s="82"/>
      <c r="S46" s="28"/>
      <c r="T46" s="28"/>
      <c r="U46" s="28"/>
      <c r="V46" s="28"/>
      <c r="W46" s="28"/>
      <c r="X46" s="23"/>
      <c r="Y46" s="41"/>
      <c r="Z46" s="41"/>
      <c r="AA46" s="40"/>
      <c r="AB46" s="28"/>
      <c r="AC46" s="28"/>
      <c r="AD46" s="28"/>
      <c r="AE46" s="28"/>
      <c r="AF46" s="28"/>
      <c r="AG46" s="24"/>
      <c r="AH46" s="41"/>
      <c r="AI46" s="41"/>
      <c r="AJ46" s="42"/>
      <c r="AK46" s="43"/>
      <c r="AL46" s="43"/>
      <c r="AM46" s="43"/>
      <c r="AN46" s="43"/>
      <c r="AO46" s="43"/>
      <c r="AP46" s="43"/>
      <c r="AQ46" s="44"/>
      <c r="AR46" s="44" t="str">
        <f t="shared" si="0"/>
        <v/>
      </c>
    </row>
    <row r="47" spans="1:44" ht="13.2">
      <c r="A47" s="38"/>
      <c r="B47" s="23"/>
      <c r="C47" s="68"/>
      <c r="D47" s="21"/>
      <c r="E47" s="28"/>
      <c r="F47" s="22"/>
      <c r="G47" s="71"/>
      <c r="H47" s="77"/>
      <c r="I47" s="75"/>
      <c r="J47" s="39"/>
      <c r="K47" s="19"/>
      <c r="L47" s="20"/>
      <c r="M47" s="20"/>
      <c r="N47" s="20"/>
      <c r="O47" s="20"/>
      <c r="P47" s="80"/>
      <c r="Q47" s="29"/>
      <c r="R47" s="82"/>
      <c r="S47" s="28"/>
      <c r="T47" s="28"/>
      <c r="U47" s="28"/>
      <c r="V47" s="28"/>
      <c r="W47" s="28"/>
      <c r="X47" s="23"/>
      <c r="Y47" s="41"/>
      <c r="Z47" s="41"/>
      <c r="AA47" s="40"/>
      <c r="AB47" s="28"/>
      <c r="AC47" s="28"/>
      <c r="AD47" s="28"/>
      <c r="AE47" s="28"/>
      <c r="AF47" s="28"/>
      <c r="AG47" s="24"/>
      <c r="AH47" s="41"/>
      <c r="AI47" s="41"/>
      <c r="AJ47" s="42"/>
      <c r="AK47" s="43"/>
      <c r="AL47" s="43"/>
      <c r="AM47" s="43"/>
      <c r="AN47" s="43"/>
      <c r="AO47" s="43"/>
      <c r="AP47" s="43"/>
      <c r="AQ47" s="44"/>
      <c r="AR47" s="44" t="str">
        <f t="shared" si="0"/>
        <v/>
      </c>
    </row>
    <row r="48" spans="1:44" ht="13.2">
      <c r="A48" s="38"/>
      <c r="B48" s="23"/>
      <c r="C48" s="68"/>
      <c r="D48" s="21"/>
      <c r="E48" s="28"/>
      <c r="F48" s="22"/>
      <c r="G48" s="71"/>
      <c r="H48" s="77"/>
      <c r="I48" s="75"/>
      <c r="J48" s="39"/>
      <c r="K48" s="19"/>
      <c r="L48" s="20"/>
      <c r="M48" s="20"/>
      <c r="N48" s="20"/>
      <c r="O48" s="20"/>
      <c r="P48" s="80"/>
      <c r="Q48" s="29"/>
      <c r="R48" s="82"/>
      <c r="S48" s="28"/>
      <c r="T48" s="28"/>
      <c r="U48" s="28"/>
      <c r="V48" s="28"/>
      <c r="W48" s="28"/>
      <c r="X48" s="23"/>
      <c r="Y48" s="41"/>
      <c r="Z48" s="41"/>
      <c r="AA48" s="40"/>
      <c r="AB48" s="28"/>
      <c r="AC48" s="28"/>
      <c r="AD48" s="28"/>
      <c r="AE48" s="28"/>
      <c r="AF48" s="28"/>
      <c r="AG48" s="24"/>
      <c r="AH48" s="41"/>
      <c r="AI48" s="41"/>
      <c r="AJ48" s="42"/>
      <c r="AK48" s="43"/>
      <c r="AL48" s="43"/>
      <c r="AM48" s="43"/>
      <c r="AN48" s="43"/>
      <c r="AO48" s="43"/>
      <c r="AP48" s="43"/>
      <c r="AQ48" s="44"/>
      <c r="AR48" s="44" t="str">
        <f t="shared" si="0"/>
        <v/>
      </c>
    </row>
    <row r="49" spans="1:44" ht="13.2">
      <c r="A49" s="38"/>
      <c r="B49" s="23"/>
      <c r="C49" s="68"/>
      <c r="D49" s="21"/>
      <c r="E49" s="28"/>
      <c r="F49" s="22"/>
      <c r="G49" s="71"/>
      <c r="H49" s="77"/>
      <c r="I49" s="75"/>
      <c r="J49" s="39"/>
      <c r="K49" s="19"/>
      <c r="L49" s="20"/>
      <c r="M49" s="20"/>
      <c r="N49" s="20"/>
      <c r="O49" s="20"/>
      <c r="P49" s="80"/>
      <c r="Q49" s="29"/>
      <c r="R49" s="82"/>
      <c r="S49" s="28"/>
      <c r="T49" s="28"/>
      <c r="U49" s="28"/>
      <c r="V49" s="28"/>
      <c r="W49" s="28"/>
      <c r="X49" s="23"/>
      <c r="Y49" s="41"/>
      <c r="Z49" s="41"/>
      <c r="AA49" s="40"/>
      <c r="AB49" s="39"/>
      <c r="AC49" s="39"/>
      <c r="AD49" s="39"/>
      <c r="AE49" s="39"/>
      <c r="AF49" s="39"/>
      <c r="AG49" s="24"/>
      <c r="AH49" s="41"/>
      <c r="AI49" s="41"/>
      <c r="AJ49" s="42"/>
      <c r="AK49" s="43"/>
      <c r="AL49" s="43"/>
      <c r="AM49" s="43"/>
      <c r="AN49" s="43"/>
      <c r="AO49" s="43"/>
      <c r="AP49" s="43"/>
      <c r="AQ49" s="44"/>
      <c r="AR49" s="44" t="str">
        <f t="shared" si="0"/>
        <v/>
      </c>
    </row>
    <row r="50" spans="1:44" ht="13.2">
      <c r="A50" s="38"/>
      <c r="B50" s="23"/>
      <c r="C50" s="68"/>
      <c r="D50" s="21"/>
      <c r="E50" s="28"/>
      <c r="F50" s="22"/>
      <c r="G50" s="71"/>
      <c r="H50" s="77"/>
      <c r="I50" s="75"/>
      <c r="J50" s="39"/>
      <c r="K50" s="19"/>
      <c r="L50" s="20"/>
      <c r="M50" s="20"/>
      <c r="N50" s="20"/>
      <c r="O50" s="20"/>
      <c r="P50" s="80"/>
      <c r="Q50" s="29"/>
      <c r="R50" s="82"/>
      <c r="S50" s="28"/>
      <c r="T50" s="28"/>
      <c r="U50" s="28"/>
      <c r="V50" s="28"/>
      <c r="W50" s="2"/>
      <c r="X50" s="23"/>
      <c r="Y50" s="41"/>
      <c r="Z50" s="41"/>
      <c r="AA50" s="40"/>
      <c r="AB50" s="28"/>
      <c r="AC50" s="28"/>
      <c r="AD50" s="28"/>
      <c r="AE50" s="28"/>
      <c r="AF50" s="83"/>
      <c r="AG50" s="24"/>
      <c r="AH50" s="41"/>
      <c r="AI50" s="41"/>
      <c r="AJ50" s="42"/>
      <c r="AK50" s="43"/>
      <c r="AL50" s="43"/>
      <c r="AM50" s="43"/>
      <c r="AN50" s="43"/>
      <c r="AO50" s="43"/>
      <c r="AP50" s="43"/>
      <c r="AQ50" s="44"/>
      <c r="AR50" s="44" t="str">
        <f t="shared" si="0"/>
        <v/>
      </c>
    </row>
    <row r="51" spans="1:44" ht="13.2">
      <c r="A51" s="38"/>
      <c r="B51" s="39"/>
      <c r="C51" s="68"/>
      <c r="D51" s="65"/>
      <c r="E51" s="54"/>
      <c r="F51" s="55"/>
      <c r="G51" s="72"/>
      <c r="H51" s="77"/>
      <c r="I51" s="75"/>
      <c r="J51" s="39"/>
      <c r="K51" s="19"/>
      <c r="L51" s="20"/>
      <c r="M51" s="20"/>
      <c r="N51" s="20"/>
      <c r="O51" s="20"/>
      <c r="P51" s="80"/>
      <c r="Q51" s="29"/>
      <c r="R51" s="82"/>
      <c r="S51" s="57"/>
      <c r="T51" s="57"/>
      <c r="U51" s="57"/>
      <c r="V51" s="57"/>
      <c r="W51" s="57"/>
      <c r="X51" s="57"/>
      <c r="Y51" s="41"/>
      <c r="Z51" s="41"/>
      <c r="AA51" s="40"/>
      <c r="AB51" s="28"/>
      <c r="AC51" s="28"/>
      <c r="AD51" s="28"/>
      <c r="AE51" s="28"/>
      <c r="AF51" s="28"/>
      <c r="AG51" s="39"/>
      <c r="AH51" s="41"/>
      <c r="AI51" s="41"/>
      <c r="AJ51" s="42"/>
      <c r="AK51" s="43"/>
      <c r="AL51" s="43"/>
      <c r="AM51" s="43"/>
      <c r="AN51" s="43"/>
      <c r="AO51" s="43"/>
      <c r="AP51" s="43"/>
      <c r="AQ51" s="44"/>
      <c r="AR51" s="44" t="str">
        <f t="shared" si="0"/>
        <v/>
      </c>
    </row>
    <row r="52" spans="1:44" ht="13.2">
      <c r="A52" s="38"/>
      <c r="B52" s="23"/>
      <c r="C52" s="68"/>
      <c r="D52" s="21"/>
      <c r="E52" s="28"/>
      <c r="F52" s="22"/>
      <c r="G52" s="71"/>
      <c r="H52" s="77"/>
      <c r="I52" s="75"/>
      <c r="J52" s="39"/>
      <c r="K52" s="19"/>
      <c r="L52" s="20"/>
      <c r="M52" s="20"/>
      <c r="N52" s="20"/>
      <c r="O52" s="20"/>
      <c r="P52" s="80"/>
      <c r="Q52" s="29"/>
      <c r="R52" s="82"/>
      <c r="S52" s="28"/>
      <c r="T52" s="28"/>
      <c r="U52" s="28"/>
      <c r="V52" s="28"/>
      <c r="W52" s="28"/>
      <c r="X52" s="23"/>
      <c r="Y52" s="41"/>
      <c r="Z52" s="41"/>
      <c r="AA52" s="40"/>
      <c r="AB52" s="28"/>
      <c r="AC52" s="28"/>
      <c r="AD52" s="28"/>
      <c r="AE52" s="28"/>
      <c r="AF52" s="28"/>
      <c r="AG52" s="24"/>
      <c r="AH52" s="41"/>
      <c r="AI52" s="41"/>
      <c r="AJ52" s="42"/>
      <c r="AK52" s="43"/>
      <c r="AL52" s="43"/>
      <c r="AM52" s="43"/>
      <c r="AN52" s="43"/>
      <c r="AO52" s="43"/>
      <c r="AP52" s="43"/>
      <c r="AQ52" s="44"/>
      <c r="AR52" s="44"/>
    </row>
    <row r="53" spans="1:44" ht="13.2">
      <c r="A53" s="38"/>
      <c r="B53" s="23"/>
      <c r="C53" s="68"/>
      <c r="D53" s="21"/>
      <c r="E53" s="28"/>
      <c r="F53" s="22"/>
      <c r="G53" s="71"/>
      <c r="H53" s="77"/>
      <c r="I53" s="75"/>
      <c r="J53" s="39"/>
      <c r="K53" s="19"/>
      <c r="L53" s="20"/>
      <c r="M53" s="20"/>
      <c r="N53" s="20"/>
      <c r="O53" s="20"/>
      <c r="P53" s="80"/>
      <c r="Q53" s="29"/>
      <c r="R53" s="82"/>
      <c r="S53" s="28"/>
      <c r="T53" s="28"/>
      <c r="U53" s="28"/>
      <c r="V53" s="28"/>
      <c r="W53" s="28"/>
      <c r="X53" s="23"/>
      <c r="Y53" s="41"/>
      <c r="Z53" s="41"/>
      <c r="AA53" s="40"/>
      <c r="AB53" s="39"/>
      <c r="AC53" s="39"/>
      <c r="AD53" s="39"/>
      <c r="AE53" s="39"/>
      <c r="AF53" s="39"/>
      <c r="AG53" s="24"/>
      <c r="AH53" s="41"/>
      <c r="AI53" s="41"/>
      <c r="AJ53" s="42"/>
      <c r="AK53" s="43"/>
      <c r="AL53" s="43"/>
      <c r="AM53" s="43"/>
      <c r="AN53" s="43"/>
      <c r="AO53" s="43"/>
      <c r="AP53" s="43"/>
      <c r="AQ53" s="44"/>
      <c r="AR53" s="44"/>
    </row>
    <row r="54" spans="1:44" ht="13.2">
      <c r="A54" s="38"/>
      <c r="B54" s="23"/>
      <c r="C54" s="68"/>
      <c r="D54" s="21"/>
      <c r="E54" s="28"/>
      <c r="F54" s="22"/>
      <c r="G54" s="71"/>
      <c r="H54" s="77"/>
      <c r="I54" s="75"/>
      <c r="J54" s="39"/>
      <c r="K54" s="19"/>
      <c r="L54" s="20"/>
      <c r="M54" s="20"/>
      <c r="N54" s="20"/>
      <c r="O54" s="20"/>
      <c r="P54" s="80"/>
      <c r="Q54" s="29"/>
      <c r="R54" s="82"/>
      <c r="S54" s="28"/>
      <c r="T54" s="28"/>
      <c r="U54" s="28"/>
      <c r="V54" s="28"/>
      <c r="W54" s="28"/>
      <c r="X54" s="23"/>
      <c r="Y54" s="41"/>
      <c r="Z54" s="41"/>
      <c r="AA54" s="40"/>
      <c r="AB54" s="39"/>
      <c r="AC54" s="39"/>
      <c r="AD54" s="39"/>
      <c r="AE54" s="39"/>
      <c r="AF54" s="39"/>
      <c r="AG54" s="24"/>
      <c r="AH54" s="41"/>
      <c r="AI54" s="41"/>
      <c r="AJ54" s="42"/>
      <c r="AK54" s="43"/>
      <c r="AL54" s="43"/>
      <c r="AM54" s="43"/>
      <c r="AN54" s="43"/>
      <c r="AO54" s="43"/>
      <c r="AP54" s="43"/>
      <c r="AQ54" s="44"/>
      <c r="AR54" s="44"/>
    </row>
  </sheetData>
  <mergeCells count="7">
    <mergeCell ref="AJ10:AR10"/>
    <mergeCell ref="AS10:AT10"/>
    <mergeCell ref="AS11:AT11"/>
    <mergeCell ref="I10:J10"/>
    <mergeCell ref="K10:Q10"/>
    <mergeCell ref="R10:Z10"/>
    <mergeCell ref="AA10:AI10"/>
  </mergeCells>
  <phoneticPr fontId="4" type="noConversion"/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Q54"/>
  <sheetViews>
    <sheetView topLeftCell="A8" workbookViewId="0">
      <selection activeCell="S35" sqref="S35"/>
    </sheetView>
  </sheetViews>
  <sheetFormatPr defaultColWidth="11.44140625" defaultRowHeight="13.2"/>
  <cols>
    <col min="1" max="1" width="14" style="84" bestFit="1" customWidth="1"/>
    <col min="2" max="2" width="8.109375" style="84" bestFit="1" customWidth="1"/>
    <col min="3" max="3" width="9.5546875" style="84" customWidth="1"/>
    <col min="4" max="4" width="7.33203125" style="84" customWidth="1"/>
    <col min="5" max="5" width="10.109375" style="84" bestFit="1" customWidth="1"/>
    <col min="6" max="6" width="8.6640625" style="84" customWidth="1"/>
    <col min="7" max="7" width="6.5546875" style="84" bestFit="1" customWidth="1"/>
    <col min="8" max="8" width="5.6640625" style="84" customWidth="1"/>
    <col min="9" max="9" width="9.33203125" style="84" customWidth="1"/>
    <col min="10" max="10" width="8.21875" style="84" customWidth="1"/>
    <col min="11" max="11" width="4.6640625" style="84" customWidth="1"/>
    <col min="12" max="12" width="5.6640625" style="84" hidden="1" customWidth="1"/>
    <col min="13" max="13" width="9.88671875" style="84" customWidth="1"/>
    <col min="14" max="14" width="7.44140625" style="84" hidden="1" customWidth="1"/>
    <col min="15" max="15" width="9.44140625" style="84" bestFit="1" customWidth="1"/>
    <col min="16" max="16384" width="11.441406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5.6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5.6">
      <c r="A7" s="105" t="s">
        <v>51</v>
      </c>
      <c r="B7" s="105" t="s">
        <v>52</v>
      </c>
      <c r="C7" s="105" t="s">
        <v>53</v>
      </c>
      <c r="D7" s="105" t="s">
        <v>54</v>
      </c>
      <c r="E7" s="105" t="s">
        <v>55</v>
      </c>
      <c r="F7" s="106" t="s">
        <v>89</v>
      </c>
      <c r="G7" s="105" t="s">
        <v>56</v>
      </c>
      <c r="H7" s="106" t="str">
        <f>IF(M4=0,"d","0.8*d")</f>
        <v>d</v>
      </c>
      <c r="I7" s="106" t="s">
        <v>90</v>
      </c>
      <c r="J7" s="106" t="s">
        <v>91</v>
      </c>
      <c r="K7" s="107" t="s">
        <v>57</v>
      </c>
      <c r="L7" s="108" t="s">
        <v>58</v>
      </c>
      <c r="M7" s="106" t="s">
        <v>58</v>
      </c>
      <c r="N7" s="109" t="s">
        <v>92</v>
      </c>
      <c r="O7" s="110" t="s">
        <v>59</v>
      </c>
      <c r="P7" s="111" t="s">
        <v>60</v>
      </c>
    </row>
    <row r="8" spans="1:17" ht="13.8" thickBot="1">
      <c r="A8" s="112" t="s">
        <v>61</v>
      </c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15" t="s">
        <v>57</v>
      </c>
    </row>
    <row r="9" spans="1:17" ht="13.8" thickBot="1">
      <c r="A9" s="105" t="s">
        <v>63</v>
      </c>
      <c r="B9" s="116">
        <f>Millau_PLtraf!AJ5</f>
        <v>57</v>
      </c>
      <c r="C9" s="117">
        <v>100</v>
      </c>
      <c r="D9" s="118">
        <f>Millau_PLtraf!AJ6*100</f>
        <v>2.3286783975834138</v>
      </c>
      <c r="E9" s="118">
        <f>Millau_PLtraf!AJ7*100</f>
        <v>2.6765162709651324</v>
      </c>
      <c r="F9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91.719971418487447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B+(7)</v>
      </c>
      <c r="H9" s="121">
        <f>K9*IF(M$4=0,1,0.8)</f>
        <v>7</v>
      </c>
      <c r="I9" s="122">
        <v>6.8224275966430241</v>
      </c>
      <c r="J9" s="119">
        <f>I9*IF(M$4=0,1,1.25)</f>
        <v>6.8224275966430241</v>
      </c>
      <c r="K9" s="121">
        <f>IF(OR(J9&lt;=5,J9&gt;7),ROUNDUP((J9/5),0)*5,7)</f>
        <v>7</v>
      </c>
      <c r="L9" s="119">
        <f>100*(1-TDIST((I9/E9-D9/E9)-TINV(0.05,B9-1)/SQRT(B9),B9-1,1)-TDIST((I9/E9+D9/E9)-TINV(0.05,B9-1)/SQRT(B9),B9-1,1))</f>
        <v>91.719971418487461</v>
      </c>
      <c r="M9" s="119">
        <f>100*(1-TDIST((H9/E9-D9/E9)-TINV(0.05,B9-1)/SQRT(B9),B9-1,1)-TDIST((H9/E9+D9/E9)-TINV(0.05,B9-1)/SQRT(B9),B9-1,1))</f>
        <v>92.668884401082551</v>
      </c>
      <c r="N9" s="123"/>
      <c r="O9" s="124"/>
    </row>
    <row r="10" spans="1:17">
      <c r="A10" s="105" t="s">
        <v>64</v>
      </c>
      <c r="B10" s="116">
        <f>Millau_PLtraf!AM5</f>
        <v>51</v>
      </c>
      <c r="C10" s="117">
        <v>100</v>
      </c>
      <c r="D10" s="118">
        <f>Millau_PLtraf!AM6*100</f>
        <v>1.3795274015391881</v>
      </c>
      <c r="E10" s="118">
        <f>Millau_PLtraf!AM7*100</f>
        <v>3.0023756801428392</v>
      </c>
      <c r="F10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91.433927097863361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A(5)</v>
      </c>
      <c r="H10" s="93">
        <f>IF(K10&lt;7,K10/0.7,IF(K10&lt;30,K10+3,K10*1.1))*IF(M$4=0,1,0.8)</f>
        <v>7.1428571428571432</v>
      </c>
      <c r="I10" s="122">
        <v>6.6115340505282223</v>
      </c>
      <c r="J10" s="119">
        <f>IF(I10&lt;10,0.7*I10*IF(M$4=0,1,1.25),I10*IF(M$4=0,1,1.25)-3)</f>
        <v>4.6280738353697553</v>
      </c>
      <c r="K10" s="121">
        <f>IF(OR(J10&lt;=5,J10&gt;7),ROUNDUP((J10/5),0)*5,7)</f>
        <v>5</v>
      </c>
      <c r="L10" s="119">
        <f>100*(1-TDIST((I10/E10-D10/E10)-TINV(0.05,B10-1)/SQRT(B10),B10-1,1)-TDIST((I10/E10+D10/E10)-TINV(0.05,B10-1)/SQRT(B10),B10-1,1))</f>
        <v>91.433927097863361</v>
      </c>
      <c r="M10" s="119">
        <f>100*(1-TDIST(((H10-D10)/E10)*SQRT(B10/(B10+1)),B10-1,1)-TDIST(((H10+D10)/E10)*SQRT(B10/(B10+1)),B10-1,1))</f>
        <v>96.494988557172732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B(10)</v>
      </c>
    </row>
    <row r="11" spans="1:17">
      <c r="A11" s="105" t="s">
        <v>65</v>
      </c>
      <c r="B11" s="116">
        <f>Millau_PLtraf!AK5</f>
        <v>111</v>
      </c>
      <c r="C11" s="117">
        <v>100</v>
      </c>
      <c r="D11" s="118">
        <f>Millau_PLtraf!AK6*100</f>
        <v>3.0234097216185107</v>
      </c>
      <c r="E11" s="118">
        <f>Millau_PLtraf!AK7*100</f>
        <v>5.7177456798367796</v>
      </c>
      <c r="F11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92.999822133637934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B(10)</v>
      </c>
      <c r="H11" s="121">
        <f>IF(K11&lt;10,K11*(85-K11)/50,IF(K11&lt;25,K11+5,6*K11/5))*IF(M$4=0,1,0.8)</f>
        <v>15</v>
      </c>
      <c r="I11" s="122">
        <v>12.844054451656961</v>
      </c>
      <c r="J11" s="119">
        <f>IF(I11&lt;15,I11*(I11*IF(M$4=0,1,1.25)+97)*IF(M$4=0,1,1.25)/168,I11*IF(M$4=0,1,1.25)-5)</f>
        <v>8.3978750986181794</v>
      </c>
      <c r="K11" s="93">
        <f>IF(OR(J11&lt;=5,J11&gt;7),ROUNDUP((J11/5),0)*5,7)</f>
        <v>10</v>
      </c>
      <c r="L11" s="119">
        <f>100*(1-TDIST((I11/E11-D11/E11)-TINV(0.05,B11-1)/SQRT(B11),B11-1,1)-TDIST((I11/E11+D11/E11)-TINV(0.05,B11-1)/SQRT(B11),B11-1,1))</f>
        <v>92.999822133637963</v>
      </c>
      <c r="M11" s="119">
        <f t="shared" ref="M11:M12" si="0">100*(1-TDIST((H11/E11-D11/E11)-TINV(0.05,B11-1)/SQRT(B11),B11-1,1)-TDIST((H11/E11+D11/E11)-TINV(0.05,B11-1)/SQRT(B11),B11-1,1))</f>
        <v>96.85437403423748</v>
      </c>
      <c r="N11" s="127">
        <v>96.943229675292969</v>
      </c>
      <c r="O11" s="128"/>
    </row>
    <row r="12" spans="1:17">
      <c r="A12" s="105" t="s">
        <v>66</v>
      </c>
      <c r="B12" s="116">
        <f>Millau_PLtraf!AL5</f>
        <v>139</v>
      </c>
      <c r="C12" s="117">
        <v>100</v>
      </c>
      <c r="D12" s="118">
        <f>Millau_PLtraf!AL6*100</f>
        <v>1.8113840436361175</v>
      </c>
      <c r="E12" s="118">
        <f>Millau_PLtraf!AL7*100</f>
        <v>7.4930318805011105</v>
      </c>
      <c r="F12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93.309137215924224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B(10)</v>
      </c>
      <c r="H12" s="121">
        <f>IF(K12&lt;10,2*K12,IF(K12&lt;25,K12+10,6*K12/5+5))*IF(M$4=0,1,0.8)</f>
        <v>20</v>
      </c>
      <c r="I12" s="122">
        <v>15.485268787940395</v>
      </c>
      <c r="J12" s="119">
        <f>IF(I12&lt;20,I12*IF(M$4=0,1,1.25)/2,(I12*IF(M$4=0,1,1.25)-10))</f>
        <v>7.7426343939701976</v>
      </c>
      <c r="K12" s="121">
        <f>IF(OR(J12&lt;=5,J12&gt;7),ROUNDUP((J12/5),0)*5,7)</f>
        <v>10</v>
      </c>
      <c r="L12" s="119">
        <f>100*(1-TDIST((I12/E12-D12/E12)-TINV(0.05,B12-1)/SQRT(B12),B12-1,1)-TDIST((I12/E12+D12/E12)-TINV(0.05,B12-1)/SQRT(B12),B12-1,1))</f>
        <v>93.309137316258955</v>
      </c>
      <c r="M12" s="119">
        <f t="shared" si="0"/>
        <v>98.384995416098548</v>
      </c>
      <c r="N12" s="125">
        <v>95.904441833496094</v>
      </c>
      <c r="O12" s="129">
        <f>MAX(K9:K12)</f>
        <v>10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6">
      <c r="A17" s="84" t="s">
        <v>75</v>
      </c>
      <c r="E17" s="134" t="s">
        <v>76</v>
      </c>
      <c r="F17" s="135" t="s">
        <v>77</v>
      </c>
    </row>
    <row r="18" spans="1:6" ht="15.6">
      <c r="A18" s="84" t="s">
        <v>78</v>
      </c>
      <c r="E18" s="134" t="s">
        <v>79</v>
      </c>
      <c r="F18" s="135" t="s">
        <v>93</v>
      </c>
    </row>
    <row r="19" spans="1:6">
      <c r="A19" s="84" t="s">
        <v>80</v>
      </c>
      <c r="E19" s="134" t="s">
        <v>81</v>
      </c>
      <c r="F19" s="135" t="s">
        <v>82</v>
      </c>
    </row>
    <row r="20" spans="1:6">
      <c r="A20" s="84" t="s">
        <v>83</v>
      </c>
      <c r="F20" s="135" t="s">
        <v>84</v>
      </c>
    </row>
    <row r="21" spans="1:6">
      <c r="F21" s="87" t="s">
        <v>85</v>
      </c>
    </row>
    <row r="22" spans="1:6" ht="14.4">
      <c r="F22" s="87" t="s">
        <v>94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scenarios current="0">
    <scenario name="accur1" count="4" user="Bernard Jacob" comment="Créé par Bernard Jacob le 11/28/98">
      <inputCells r="I11" val="22.4272510621533" numFmtId="166"/>
      <inputCells r="I12" val="18.4903608949355" numFmtId="166"/>
      <inputCells r="I10" val="16.015615153721" numFmtId="166"/>
      <inputCells r="I9" val="19.6284274872054" numFmtId="166"/>
    </scenario>
  </scenarios>
  <phoneticPr fontId="2" type="noConversion"/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54"/>
  <sheetViews>
    <sheetView workbookViewId="0">
      <selection activeCell="C10" sqref="C10"/>
    </sheetView>
  </sheetViews>
  <sheetFormatPr defaultColWidth="11.44140625" defaultRowHeight="13.2"/>
  <cols>
    <col min="1" max="1" width="14" style="84" bestFit="1" customWidth="1"/>
    <col min="2" max="2" width="8.109375" style="84" bestFit="1" customWidth="1"/>
    <col min="3" max="3" width="9.5546875" style="84" customWidth="1"/>
    <col min="4" max="4" width="7.33203125" style="84" bestFit="1" customWidth="1"/>
    <col min="5" max="5" width="10.109375" style="84" bestFit="1" customWidth="1"/>
    <col min="6" max="6" width="8.6640625" style="84" customWidth="1"/>
    <col min="7" max="7" width="6.5546875" style="84" bestFit="1" customWidth="1"/>
    <col min="8" max="8" width="5.6640625" style="84" customWidth="1"/>
    <col min="9" max="9" width="4.6640625" style="84" bestFit="1" customWidth="1"/>
    <col min="10" max="11" width="4.6640625" style="84" customWidth="1"/>
    <col min="12" max="12" width="5.6640625" style="84" hidden="1" customWidth="1"/>
    <col min="13" max="13" width="7.109375" style="84" customWidth="1"/>
    <col min="14" max="14" width="7.44140625" style="84" hidden="1" customWidth="1"/>
    <col min="15" max="15" width="9.44140625" style="84" bestFit="1" customWidth="1"/>
    <col min="16" max="16384" width="11.441406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5.6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5.6">
      <c r="A7" s="105" t="s">
        <v>51</v>
      </c>
      <c r="B7" s="105" t="s">
        <v>52</v>
      </c>
      <c r="C7" s="105" t="s">
        <v>53</v>
      </c>
      <c r="D7" s="105" t="s">
        <v>54</v>
      </c>
      <c r="E7" s="105" t="s">
        <v>55</v>
      </c>
      <c r="F7" s="106" t="s">
        <v>89</v>
      </c>
      <c r="G7" s="105" t="s">
        <v>56</v>
      </c>
      <c r="H7" s="106" t="str">
        <f>IF(M4=0,"d","0.8*d")</f>
        <v>d</v>
      </c>
      <c r="I7" s="106" t="s">
        <v>90</v>
      </c>
      <c r="J7" s="106" t="s">
        <v>91</v>
      </c>
      <c r="K7" s="107" t="s">
        <v>57</v>
      </c>
      <c r="L7" s="108" t="s">
        <v>58</v>
      </c>
      <c r="M7" s="106" t="s">
        <v>58</v>
      </c>
      <c r="N7" s="109" t="s">
        <v>92</v>
      </c>
      <c r="O7" s="110" t="s">
        <v>59</v>
      </c>
      <c r="P7" s="111" t="s">
        <v>60</v>
      </c>
    </row>
    <row r="8" spans="1:17" ht="13.8" thickBot="1">
      <c r="A8" s="112" t="s">
        <v>61</v>
      </c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15" t="s">
        <v>57</v>
      </c>
    </row>
    <row r="9" spans="1:17" ht="13.8" thickBot="1">
      <c r="A9" s="105" t="s">
        <v>63</v>
      </c>
      <c r="B9" s="116"/>
      <c r="C9" s="117"/>
      <c r="D9" s="118"/>
      <c r="E9" s="118"/>
      <c r="F9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100*(1-TDIST(IF($B$5="r1",2.675/IF($D$5="III",1.1,IF($D$5="II",1.05,1)),IF($B$5="r2",2.36/IF($D$5="III",1.1,IF($D$5="II",1.05,1)),IF($B$5="RR1",2.155/IF($D$5="III",1.1,IF($D$5="II",1.05,1)),IF($B$5="RR2",2/IF($D$5="III",1.1,IF($D$5="II",1.05,1)),0))))*SQRT(B9/(B9+1)),B9-1,2))</f>
        <v>#NUM!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C(15)</v>
      </c>
      <c r="H9" s="121">
        <f>K9*IF(M$4=0,1,0.8)</f>
        <v>15</v>
      </c>
      <c r="I9" s="122">
        <v>13.001896482635313</v>
      </c>
      <c r="J9" s="119">
        <f>I9*IF(M$4=0,1,1.25)</f>
        <v>13.001896482635313</v>
      </c>
      <c r="K9" s="121">
        <f>IF(OR(J9&lt;=5,J9&gt;7),ROUNDUP((J9/5),0)*5,7)</f>
        <v>15</v>
      </c>
      <c r="L9" s="119" t="e">
        <f>100*(1-TDIST(((I9-D9)/E9)*SQRT(B9/(B9+1)),B9-1,1)-TDIST(((I9+D9)/E9)*SQRT(B9/(B9+1)),B9-1,1))</f>
        <v>#DIV/0!</v>
      </c>
      <c r="M9" s="119" t="e">
        <f>100*(1-TDIST(((H9-D9)/E9)*SQRT(B9/(B9+1)),B9-1,1)-TDIST(((H9+D9)/E9)*SQRT(B9/(B9+1)),B9-1,1))</f>
        <v>#DIV/0!</v>
      </c>
      <c r="N9" s="123"/>
      <c r="O9" s="124"/>
    </row>
    <row r="10" spans="1:17">
      <c r="A10" s="105" t="s">
        <v>64</v>
      </c>
      <c r="B10" s="116"/>
      <c r="C10" s="117"/>
      <c r="D10" s="118"/>
      <c r="E10" s="118"/>
      <c r="F10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100*(1-TDIST(IF($B$5="r1",2.675/IF($D$5="III",1.1,IF($D$5="II",1.05,1)),IF($B$5="r2",2.36/IF($D$5="III",1.1,IF($D$5="II",1.05,1)),IF($B$5="RR1",2.155/IF($D$5="III",1.1,IF($D$5="II",1.05,1)),IF($B$5="RR2",2/IF($D$5="III",1.1,IF($D$5="II",1.05,1)),0))))*SQRT(B10/(B10+1)),B10-1,2))</f>
        <v>#NUM!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C(15)</v>
      </c>
      <c r="H10" s="93">
        <f>IF(K10&lt;7,K10/0.7,IF(K10&lt;30,K10+3,K10*1.1))*IF(M$4=0,1,0.8)</f>
        <v>18</v>
      </c>
      <c r="I10" s="122">
        <v>16.798173752804345</v>
      </c>
      <c r="J10" s="119">
        <f>IF(I10&lt;10,0.7*I10*IF(M$4=0,1,1.25),I10*IF(M$4=0,1,1.25)-3)</f>
        <v>13.798173752804345</v>
      </c>
      <c r="K10" s="121">
        <f>IF(OR(J10&lt;=5,J10&gt;7),ROUNDUP((J10/5),0)*5,7)</f>
        <v>15</v>
      </c>
      <c r="L10" s="119" t="e">
        <f>100*(1-TDIST(((I10-D10)/E10)*SQRT(B10/(B10+1)),B10-1,1)-TDIST(((I10+D10)/E10)*SQRT(B10/(B10+1)),B10-1,1))</f>
        <v>#DIV/0!</v>
      </c>
      <c r="M10" s="119" t="e">
        <f>100*(1-TDIST(((H10-D10)/E10)*SQRT(B10/(B10+1)),B10-1,1)-TDIST(((H10+D10)/E10)*SQRT(B10/(B10+1)),B10-1,1))</f>
        <v>#DIV/0!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D+(20)</v>
      </c>
    </row>
    <row r="11" spans="1:17">
      <c r="A11" s="105" t="s">
        <v>65</v>
      </c>
      <c r="B11" s="116"/>
      <c r="C11" s="117"/>
      <c r="D11" s="118"/>
      <c r="E11" s="118"/>
      <c r="F11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100*(1-TDIST(IF($B$5="r1",2.675/IF($D$5="III",1.1,IF($D$5="II",1.05,1)),IF($B$5="r2",2.36/IF($D$5="III",1.1,IF($D$5="II",1.05,1)),IF($B$5="RR1",2.155/IF($D$5="III",1.1,IF($D$5="II",1.05,1)),IF($B$5="RR2",2/IF($D$5="III",1.1,IF($D$5="II",1.05,1)),0))))*SQRT(B11/(B11+1)),B11-1,2))</f>
        <v>#NUM!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D+(20)</v>
      </c>
      <c r="H11" s="121">
        <f>IF(K11&lt;10,K11*(85-K11)/50,IF(K11&lt;25,K11+5,6*K11/5))*IF(M$4=0,1,0.8)</f>
        <v>25</v>
      </c>
      <c r="I11" s="122">
        <v>22.461177711460753</v>
      </c>
      <c r="J11" s="119">
        <f>IF(I11&lt;15,I11*(I11*IF(M$4=0,1,1.25)+97)*IF(M$4=0,1,1.25)/168,I11*IF(M$4=0,1,1.25)-5)</f>
        <v>17.461177711460753</v>
      </c>
      <c r="K11" s="93">
        <f>IF(OR(J11&lt;=5,J11&gt;7),ROUNDUP((J11/5),0)*5,7)</f>
        <v>20</v>
      </c>
      <c r="L11" s="119" t="e">
        <f>100*(1-TDIST(((I11-D11)/E11)*SQRT(B11/(B11+1)),B11-1,1)-TDIST(((I11+D11)/E11)*SQRT(B11/(B11+1)),B11-1,1))</f>
        <v>#DIV/0!</v>
      </c>
      <c r="M11" s="119" t="e">
        <f>100*(1-TDIST(((H11-D11)/E11)*SQRT(B11/(B11+1)),B11-1,1)-TDIST(((H11+D11)/E11)*SQRT(B11/(B11+1)),B11-1,1))</f>
        <v>#DIV/0!</v>
      </c>
      <c r="N11" s="127">
        <v>96.943229675292969</v>
      </c>
      <c r="O11" s="128"/>
    </row>
    <row r="12" spans="1:17">
      <c r="A12" s="105" t="s">
        <v>66</v>
      </c>
      <c r="B12" s="116"/>
      <c r="C12" s="117"/>
      <c r="D12" s="118"/>
      <c r="E12" s="118"/>
      <c r="F12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100*(1-TDIST(IF($B$5="r1",2.675/IF($D$5="III",1.1,IF($D$5="II",1.05,1)),IF($B$5="r2",2.36/IF($D$5="III",1.1,IF($D$5="II",1.05,1)),IF($B$5="RR1",2.155/IF($D$5="III",1.1,IF($D$5="II",1.05,1)),IF($B$5="RR2",2/IF($D$5="III",1.1,IF($D$5="II",1.05,1)),0))))*SQRT(B12/(B12+1)),B12-1,2))</f>
        <v>#NUM!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D+(20)</v>
      </c>
      <c r="H12" s="121">
        <f>IF(K12&lt;10,2*K12,IF(K12&lt;25,K12+10,6*K12/5+5))*IF(M$4=0,1,0.8)</f>
        <v>30</v>
      </c>
      <c r="I12" s="122">
        <v>25.007043637314126</v>
      </c>
      <c r="J12" s="119">
        <f>IF(I12&lt;20,I12*IF(M$4=0,1,1.25)/2,(I12*IF(M$4=0,1,1.25)-10))</f>
        <v>15.007043637314126</v>
      </c>
      <c r="K12" s="121">
        <f>IF(OR(J12&lt;=5,J12&gt;7),ROUNDUP((J12/5),0)*5,7)</f>
        <v>20</v>
      </c>
      <c r="L12" s="119" t="e">
        <f>100*(1-TDIST(((I12-D12)/E12)*SQRT(B12/(B12+1)),B12-1,1)-TDIST(((I12+D12)/E12)*SQRT(B12/(B12+1)),B12-1,1))</f>
        <v>#DIV/0!</v>
      </c>
      <c r="M12" s="119" t="e">
        <f>100*(1-TDIST(((H12-D12)/E12)*SQRT(B12/(B12+1)),B12-1,1)-TDIST(((H12+D12)/E12)*SQRT(B12/(B12+1)),B12-1,1))</f>
        <v>#DIV/0!</v>
      </c>
      <c r="N12" s="125">
        <v>95.904441833496094</v>
      </c>
      <c r="O12" s="129">
        <f>MAX(K9:K12)</f>
        <v>20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20">
      <c r="A17" s="84" t="s">
        <v>75</v>
      </c>
      <c r="E17" s="134" t="s">
        <v>76</v>
      </c>
      <c r="F17" s="135" t="s">
        <v>77</v>
      </c>
    </row>
    <row r="18" spans="1:20" ht="15.6">
      <c r="A18" s="84" t="s">
        <v>78</v>
      </c>
      <c r="E18" s="134" t="s">
        <v>79</v>
      </c>
      <c r="F18" s="135" t="s">
        <v>93</v>
      </c>
    </row>
    <row r="19" spans="1:20">
      <c r="A19" s="84" t="s">
        <v>80</v>
      </c>
      <c r="E19" s="134" t="s">
        <v>81</v>
      </c>
      <c r="F19" s="135" t="s">
        <v>82</v>
      </c>
    </row>
    <row r="20" spans="1:20">
      <c r="A20" s="84" t="s">
        <v>83</v>
      </c>
      <c r="F20" s="135" t="s">
        <v>84</v>
      </c>
    </row>
    <row r="21" spans="1:20">
      <c r="F21" s="87" t="s">
        <v>85</v>
      </c>
    </row>
    <row r="22" spans="1:20" ht="14.4">
      <c r="F22" s="87" t="s">
        <v>94</v>
      </c>
    </row>
    <row r="29" spans="1:20">
      <c r="R29" s="84">
        <v>0</v>
      </c>
    </row>
    <row r="30" spans="1:20">
      <c r="R30" s="84">
        <v>1</v>
      </c>
      <c r="T30" s="84" t="s">
        <v>102</v>
      </c>
    </row>
    <row r="31" spans="1:20">
      <c r="R31" s="84">
        <f>TDIST(R29,R30,1)</f>
        <v>0.5</v>
      </c>
      <c r="T31" s="84" t="s">
        <v>101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scenarios current="0">
    <scenario name="accur1" count="4" user="Bernard Jacob" comment="Créé par Bernard Jacob le 11/28/98">
      <inputCells r="I11" val="22.4272510621533" numFmtId="166"/>
      <inputCells r="I12" val="18.4903608949355" numFmtId="166"/>
      <inputCells r="I10" val="16.015615153721" numFmtId="166"/>
      <inputCells r="I9" val="19.6284274872054" numFmtId="166"/>
    </scenario>
  </scenarios>
  <phoneticPr fontId="2" type="noConversion"/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L96"/>
  <sheetViews>
    <sheetView topLeftCell="A68" workbookViewId="0">
      <selection activeCell="J93" sqref="J93"/>
    </sheetView>
  </sheetViews>
  <sheetFormatPr defaultColWidth="11.5546875" defaultRowHeight="13.2"/>
  <sheetData>
    <row r="4" spans="4:12">
      <c r="D4" t="s">
        <v>109</v>
      </c>
    </row>
    <row r="5" spans="4:12">
      <c r="D5">
        <v>2.7784238352501329E-3</v>
      </c>
      <c r="E5">
        <v>-0.12863769622302151</v>
      </c>
      <c r="F5">
        <v>9.4275459942812959E-2</v>
      </c>
      <c r="G5">
        <v>0.15933645672562272</v>
      </c>
      <c r="H5">
        <v>3.669272676498192E-2</v>
      </c>
      <c r="I5">
        <v>-5.9107853033110141E-2</v>
      </c>
      <c r="J5" t="s">
        <v>108</v>
      </c>
      <c r="K5">
        <v>4.1036122759724084E-2</v>
      </c>
      <c r="L5" t="s">
        <v>108</v>
      </c>
    </row>
    <row r="6" spans="4:12">
      <c r="D6">
        <v>7.9746113243313928E-3</v>
      </c>
      <c r="E6">
        <v>-8.535150586959997E-2</v>
      </c>
      <c r="F6">
        <v>7.2357098348412849E-2</v>
      </c>
      <c r="G6">
        <v>0.13121412717223588</v>
      </c>
      <c r="H6">
        <v>7.8795347050820988E-2</v>
      </c>
      <c r="I6">
        <v>-0.13039428408137227</v>
      </c>
      <c r="J6" t="s">
        <v>108</v>
      </c>
      <c r="K6">
        <v>2.7927181499693483E-2</v>
      </c>
      <c r="L6" t="s">
        <v>108</v>
      </c>
    </row>
    <row r="7" spans="4:12">
      <c r="D7">
        <v>2.5671910719927037E-2</v>
      </c>
      <c r="E7">
        <v>3.7584646997730821E-2</v>
      </c>
      <c r="F7">
        <v>0.14197633559316811</v>
      </c>
      <c r="G7">
        <v>2.8167313559733023E-3</v>
      </c>
      <c r="H7">
        <v>1.234810671839421E-2</v>
      </c>
      <c r="I7">
        <v>-0.10252609460964268</v>
      </c>
      <c r="J7" t="s">
        <v>108</v>
      </c>
      <c r="K7">
        <v>-2.988105076734764E-2</v>
      </c>
      <c r="L7" t="s">
        <v>108</v>
      </c>
    </row>
    <row r="8" spans="4:12">
      <c r="D8">
        <v>7.1691136581518052E-3</v>
      </c>
      <c r="E8">
        <v>-9.6763933235985894E-2</v>
      </c>
      <c r="F8">
        <v>3.181744396102943E-2</v>
      </c>
      <c r="G8">
        <v>4.9725001322734129E-2</v>
      </c>
      <c r="H8">
        <v>0.17811212795319514</v>
      </c>
      <c r="I8">
        <v>-5.7099321104322649E-2</v>
      </c>
      <c r="J8" t="s">
        <v>108</v>
      </c>
      <c r="K8">
        <v>5.6770273983252351E-2</v>
      </c>
      <c r="L8" t="s">
        <v>108</v>
      </c>
    </row>
    <row r="9" spans="4:12">
      <c r="D9">
        <v>7.219104039371144E-3</v>
      </c>
      <c r="E9">
        <v>-0.1136776660947216</v>
      </c>
      <c r="F9">
        <v>6.0438147993614105E-2</v>
      </c>
      <c r="G9">
        <v>0.13442501347750355</v>
      </c>
      <c r="H9">
        <v>0.10889502763805202</v>
      </c>
      <c r="I9">
        <v>-0.14510083002731231</v>
      </c>
      <c r="J9" t="s">
        <v>108</v>
      </c>
      <c r="K9">
        <v>3.273973702941442E-2</v>
      </c>
      <c r="L9" t="s">
        <v>108</v>
      </c>
    </row>
    <row r="10" spans="4:12">
      <c r="D10">
        <v>5.6176527272787297E-2</v>
      </c>
      <c r="E10">
        <v>-6.1217390942547488E-2</v>
      </c>
      <c r="F10">
        <v>8.6955628220905495E-2</v>
      </c>
      <c r="G10">
        <v>0.21276442161863918</v>
      </c>
      <c r="H10">
        <v>9.7532049555111629E-3</v>
      </c>
      <c r="I10" t="s">
        <v>108</v>
      </c>
      <c r="J10" t="s">
        <v>108</v>
      </c>
      <c r="K10">
        <v>0.11986098348466533</v>
      </c>
      <c r="L10" t="s">
        <v>108</v>
      </c>
    </row>
    <row r="11" spans="4:12">
      <c r="D11">
        <v>-4.3692224328693199E-2</v>
      </c>
      <c r="E11">
        <v>-0.11413945649602285</v>
      </c>
      <c r="F11">
        <v>2.6755007838636335E-2</v>
      </c>
      <c r="G11" t="s">
        <v>108</v>
      </c>
      <c r="H11" t="s">
        <v>108</v>
      </c>
      <c r="I11" t="s">
        <v>108</v>
      </c>
      <c r="J11" t="s">
        <v>108</v>
      </c>
      <c r="K11" t="s">
        <v>108</v>
      </c>
      <c r="L11" t="s">
        <v>108</v>
      </c>
    </row>
    <row r="12" spans="4:12">
      <c r="D12">
        <v>9.3963137772076447E-2</v>
      </c>
      <c r="E12">
        <v>0.25277022538658234</v>
      </c>
      <c r="F12">
        <v>0.10856656376795115</v>
      </c>
      <c r="G12">
        <v>0.1926068766309906</v>
      </c>
      <c r="H12">
        <v>3.1001808315335701E-2</v>
      </c>
      <c r="I12">
        <v>-0.11293255346174398</v>
      </c>
      <c r="J12" t="s">
        <v>108</v>
      </c>
      <c r="K12">
        <v>3.2671632636928245E-2</v>
      </c>
      <c r="L12" t="s">
        <v>108</v>
      </c>
    </row>
    <row r="13" spans="4:12">
      <c r="D13">
        <v>2.9684646258010964E-3</v>
      </c>
      <c r="E13">
        <v>-7.5003350322410997E-2</v>
      </c>
      <c r="F13">
        <v>4.264697115920553E-2</v>
      </c>
      <c r="G13">
        <v>7.7336393646642049E-2</v>
      </c>
      <c r="H13">
        <v>3.0655775243013501E-2</v>
      </c>
      <c r="I13">
        <v>-8.2322178132905321E-2</v>
      </c>
      <c r="J13" t="s">
        <v>108</v>
      </c>
      <c r="K13">
        <v>7.8237697007568878E-3</v>
      </c>
      <c r="L13" t="s">
        <v>108</v>
      </c>
    </row>
    <row r="14" spans="4:12">
      <c r="D14">
        <v>8.9573004383729227E-3</v>
      </c>
      <c r="E14">
        <v>-0.12626479382953326</v>
      </c>
      <c r="F14">
        <v>6.3365248785553219E-2</v>
      </c>
      <c r="G14">
        <v>0.26492646726895475</v>
      </c>
      <c r="H14">
        <v>-0.16056074883062021</v>
      </c>
      <c r="I14">
        <v>-3.5574162527926251E-2</v>
      </c>
      <c r="J14" t="s">
        <v>108</v>
      </c>
      <c r="K14">
        <v>2.0133235449913568E-2</v>
      </c>
      <c r="L14" t="s">
        <v>108</v>
      </c>
    </row>
    <row r="15" spans="4:12">
      <c r="D15">
        <v>-4.9644128707128241E-2</v>
      </c>
      <c r="E15">
        <v>-0.14526271963205342</v>
      </c>
      <c r="F15">
        <v>-1.6899999602021154E-2</v>
      </c>
      <c r="G15">
        <v>8.6737397807525929E-2</v>
      </c>
      <c r="H15">
        <v>-0.14537017930904461</v>
      </c>
      <c r="I15" t="s">
        <v>108</v>
      </c>
      <c r="J15" t="s">
        <v>108</v>
      </c>
      <c r="K15">
        <v>-2.6947946086304544E-2</v>
      </c>
      <c r="L15" t="s">
        <v>108</v>
      </c>
    </row>
    <row r="16" spans="4:12">
      <c r="D16">
        <v>1.711078830735761E-2</v>
      </c>
      <c r="E16">
        <v>-4.9324015903564819E-2</v>
      </c>
      <c r="F16">
        <v>9.1105449308890002E-2</v>
      </c>
      <c r="G16">
        <v>-4.3588041390690566E-3</v>
      </c>
      <c r="H16">
        <v>8.4932590211234171E-2</v>
      </c>
      <c r="I16">
        <v>-6.9847205703304105E-2</v>
      </c>
      <c r="J16" t="s">
        <v>108</v>
      </c>
      <c r="K16">
        <v>3.8385324183921911E-3</v>
      </c>
      <c r="L16" t="s">
        <v>108</v>
      </c>
    </row>
    <row r="17" spans="4:12">
      <c r="D17">
        <v>1.6389834232435809E-2</v>
      </c>
      <c r="E17">
        <v>-9.6667841537028038E-2</v>
      </c>
      <c r="F17">
        <v>7.9294073750799415E-2</v>
      </c>
      <c r="G17">
        <v>9.4228330202014501E-2</v>
      </c>
      <c r="H17">
        <v>5.4336293439383489E-2</v>
      </c>
      <c r="I17">
        <v>-7.0153362368928524E-2</v>
      </c>
      <c r="J17" t="s">
        <v>108</v>
      </c>
      <c r="K17">
        <v>2.5365342055278781E-2</v>
      </c>
      <c r="L17" t="s">
        <v>108</v>
      </c>
    </row>
    <row r="18" spans="4:12">
      <c r="D18">
        <v>2.7508541371296345E-2</v>
      </c>
      <c r="E18">
        <v>2.1710177494096015E-4</v>
      </c>
      <c r="F18">
        <v>4.6759933652585538E-2</v>
      </c>
      <c r="G18">
        <v>4.8399053567681628E-2</v>
      </c>
      <c r="H18" t="s">
        <v>108</v>
      </c>
      <c r="I18" t="s">
        <v>108</v>
      </c>
      <c r="J18" t="s">
        <v>108</v>
      </c>
      <c r="K18" t="s">
        <v>108</v>
      </c>
      <c r="L18" t="s">
        <v>108</v>
      </c>
    </row>
    <row r="19" spans="4:12">
      <c r="D19">
        <v>6.366355055576315E-3</v>
      </c>
      <c r="E19">
        <v>-9.1547754491233174E-2</v>
      </c>
      <c r="F19">
        <v>3.0104568889254283E-2</v>
      </c>
      <c r="G19">
        <v>0.12854834792747433</v>
      </c>
      <c r="H19">
        <v>3.675019137744488E-3</v>
      </c>
      <c r="I19">
        <v>-4.2875976969013845E-2</v>
      </c>
      <c r="J19" t="s">
        <v>108</v>
      </c>
      <c r="K19">
        <v>3.021758743586251E-2</v>
      </c>
      <c r="L19" t="s">
        <v>108</v>
      </c>
    </row>
    <row r="20" spans="4:12">
      <c r="D20">
        <v>3.5088367326628039E-2</v>
      </c>
      <c r="E20">
        <v>-6.4705268229082707E-2</v>
      </c>
      <c r="F20">
        <v>0.11700965926451806</v>
      </c>
      <c r="G20">
        <v>0.13396768620756414</v>
      </c>
      <c r="H20">
        <v>1.5944737872460497E-2</v>
      </c>
      <c r="I20">
        <v>-6.4348061334498469E-2</v>
      </c>
      <c r="J20" t="s">
        <v>108</v>
      </c>
      <c r="K20">
        <v>2.5647312979783305E-2</v>
      </c>
      <c r="L20" t="s">
        <v>108</v>
      </c>
    </row>
    <row r="21" spans="4:12">
      <c r="D21">
        <v>3.1035059930879197E-2</v>
      </c>
      <c r="E21">
        <v>-7.1967092451033013E-2</v>
      </c>
      <c r="F21">
        <v>6.2394975231982473E-2</v>
      </c>
      <c r="G21">
        <v>0.33991465339325028</v>
      </c>
      <c r="H21">
        <v>-9.6953189714017139E-3</v>
      </c>
      <c r="I21">
        <v>-7.3633534631418987E-2</v>
      </c>
      <c r="K21">
        <v>8.0605407215563751E-2</v>
      </c>
      <c r="L21" t="s">
        <v>108</v>
      </c>
    </row>
    <row r="22" spans="4:12">
      <c r="D22">
        <v>0.12868847774075198</v>
      </c>
      <c r="E22">
        <v>1.3327607014373244E-2</v>
      </c>
      <c r="F22">
        <v>0.25399425111595647</v>
      </c>
      <c r="G22" t="s">
        <v>108</v>
      </c>
      <c r="H22" t="s">
        <v>108</v>
      </c>
      <c r="I22" t="s">
        <v>108</v>
      </c>
      <c r="K22" t="s">
        <v>108</v>
      </c>
      <c r="L22" t="s">
        <v>108</v>
      </c>
    </row>
    <row r="23" spans="4:12">
      <c r="D23">
        <v>-5.253544215425781E-2</v>
      </c>
      <c r="E23">
        <v>-0.10909368376587865</v>
      </c>
      <c r="F23">
        <v>-5.4120513751474558E-2</v>
      </c>
      <c r="G23">
        <v>7.2968056522096425E-2</v>
      </c>
      <c r="H23">
        <v>0.2998209227067366</v>
      </c>
      <c r="I23">
        <v>-0.31793329484076416</v>
      </c>
      <c r="K23">
        <v>1.2172164075353981E-2</v>
      </c>
      <c r="L23" t="s">
        <v>108</v>
      </c>
    </row>
    <row r="24" spans="4:12">
      <c r="D24">
        <v>5.0790061571142067E-3</v>
      </c>
      <c r="E24">
        <v>-8.1292345690663154E-2</v>
      </c>
      <c r="F24">
        <v>0.10715120991731454</v>
      </c>
      <c r="G24">
        <v>0.20426874322759581</v>
      </c>
      <c r="H24">
        <v>7.2781108550263013E-2</v>
      </c>
      <c r="I24">
        <v>-0.16526031049409787</v>
      </c>
      <c r="K24">
        <v>3.6628931711450034E-2</v>
      </c>
      <c r="L24" t="s">
        <v>108</v>
      </c>
    </row>
    <row r="25" spans="4:12">
      <c r="D25">
        <v>3.1984336891459991E-2</v>
      </c>
      <c r="E25">
        <v>-7.130762446774784E-2</v>
      </c>
      <c r="F25">
        <v>0.18785608284874963</v>
      </c>
      <c r="G25">
        <v>4.5058093988396462E-2</v>
      </c>
      <c r="H25">
        <v>-1.7260059396328485E-2</v>
      </c>
      <c r="I25">
        <v>-3.819696206883634E-2</v>
      </c>
      <c r="K25">
        <v>-2.7734093342299043E-3</v>
      </c>
      <c r="L25" t="s">
        <v>108</v>
      </c>
    </row>
    <row r="26" spans="4:12">
      <c r="D26">
        <v>5.0473968497176253E-2</v>
      </c>
      <c r="E26">
        <v>-3.7441311466350977E-2</v>
      </c>
      <c r="F26">
        <v>7.7561311539140351E-2</v>
      </c>
      <c r="G26">
        <v>0.34558691922954221</v>
      </c>
      <c r="H26">
        <v>-0.16159443071914836</v>
      </c>
      <c r="I26" t="s">
        <v>108</v>
      </c>
      <c r="K26">
        <v>9.1996244255196924E-2</v>
      </c>
      <c r="L26" t="s">
        <v>108</v>
      </c>
    </row>
    <row r="27" spans="4:12">
      <c r="D27">
        <v>-3.9071085976275816E-2</v>
      </c>
      <c r="E27">
        <v>-0.1161834687225301</v>
      </c>
      <c r="F27">
        <v>-1.1926589350425558E-2</v>
      </c>
      <c r="G27">
        <v>-1.3061292925303225E-2</v>
      </c>
      <c r="H27">
        <v>0.19227192917463448</v>
      </c>
      <c r="I27">
        <v>-0.19028283052464337</v>
      </c>
      <c r="K27">
        <v>-3.7904182495742344E-3</v>
      </c>
      <c r="L27" t="s">
        <v>108</v>
      </c>
    </row>
    <row r="28" spans="4:12">
      <c r="D28">
        <v>-3.4590303457423775E-2</v>
      </c>
      <c r="E28">
        <v>-0.10584380012865871</v>
      </c>
      <c r="F28">
        <v>1.3806018088860766E-2</v>
      </c>
      <c r="G28">
        <v>3.7075664527259418E-2</v>
      </c>
      <c r="H28">
        <v>0.20112857955033539</v>
      </c>
      <c r="I28">
        <v>-0.23435336740880405</v>
      </c>
      <c r="K28">
        <v>1.2836255562634037E-3</v>
      </c>
      <c r="L28" t="s">
        <v>108</v>
      </c>
    </row>
    <row r="29" spans="4:12">
      <c r="D29">
        <v>5.6848802720120023E-2</v>
      </c>
      <c r="E29">
        <v>-7.7091410513621082E-3</v>
      </c>
      <c r="F29">
        <v>2.5753676096892036E-2</v>
      </c>
      <c r="G29">
        <v>0.10666555719709747</v>
      </c>
      <c r="H29">
        <v>0.2240122738085164</v>
      </c>
      <c r="I29">
        <v>-2.4396713244714263E-2</v>
      </c>
      <c r="K29">
        <v>0.10190321211709991</v>
      </c>
      <c r="L29" t="s">
        <v>108</v>
      </c>
    </row>
    <row r="30" spans="4:12">
      <c r="D30">
        <v>1.5323432522684987E-2</v>
      </c>
      <c r="E30">
        <v>-5.7165377236356334E-2</v>
      </c>
      <c r="F30">
        <v>8.4971014914286561E-2</v>
      </c>
      <c r="G30">
        <v>2.6566303598820878E-2</v>
      </c>
      <c r="H30" t="s">
        <v>108</v>
      </c>
      <c r="I30" t="s">
        <v>108</v>
      </c>
      <c r="K30" t="s">
        <v>108</v>
      </c>
      <c r="L30" t="s">
        <v>108</v>
      </c>
    </row>
    <row r="31" spans="4:12">
      <c r="D31">
        <v>3.46707147841794E-2</v>
      </c>
      <c r="E31">
        <v>-5.8692682861895953E-2</v>
      </c>
      <c r="F31">
        <v>6.3843087255769898E-2</v>
      </c>
      <c r="G31">
        <v>0.30239174057394735</v>
      </c>
      <c r="H31">
        <v>7.0895229887032507E-2</v>
      </c>
      <c r="I31">
        <v>-6.1473594640310103E-2</v>
      </c>
      <c r="K31">
        <v>0.10449783536485349</v>
      </c>
      <c r="L31" t="s">
        <v>108</v>
      </c>
    </row>
    <row r="32" spans="4:12">
      <c r="D32">
        <v>-7.0939286602105635E-3</v>
      </c>
      <c r="E32">
        <v>-9.7064151753260955E-2</v>
      </c>
      <c r="F32">
        <v>5.3087151340848085E-2</v>
      </c>
      <c r="G32">
        <v>0.3162409434431887</v>
      </c>
      <c r="H32">
        <v>-0.20244596161876016</v>
      </c>
      <c r="I32" t="s">
        <v>108</v>
      </c>
      <c r="K32">
        <v>3.3320813409398478E-2</v>
      </c>
      <c r="L32" t="s">
        <v>108</v>
      </c>
    </row>
    <row r="33" spans="1:12">
      <c r="D33">
        <v>1.2785306592409128E-2</v>
      </c>
      <c r="E33">
        <v>-8.1506556908389066E-2</v>
      </c>
      <c r="F33">
        <v>4.0312656520074625E-2</v>
      </c>
      <c r="G33">
        <v>0.12237427410708804</v>
      </c>
      <c r="H33" t="s">
        <v>108</v>
      </c>
      <c r="I33" t="s">
        <v>108</v>
      </c>
      <c r="K33" t="s">
        <v>108</v>
      </c>
      <c r="L33" t="s">
        <v>108</v>
      </c>
    </row>
    <row r="34" spans="1:12">
      <c r="D34">
        <v>-1.4285788683018294E-2</v>
      </c>
      <c r="E34">
        <v>-1.920482117714236E-2</v>
      </c>
      <c r="F34">
        <v>5.6848802720119912E-2</v>
      </c>
      <c r="G34">
        <v>8.4037918836507214E-2</v>
      </c>
      <c r="H34">
        <v>-0.16506895634111024</v>
      </c>
      <c r="I34">
        <v>-6.536497912651934E-2</v>
      </c>
      <c r="K34">
        <v>-4.8393371489989505E-2</v>
      </c>
      <c r="L34" t="s">
        <v>108</v>
      </c>
    </row>
    <row r="35" spans="1:12">
      <c r="D35">
        <v>5.4417384379860649E-2</v>
      </c>
      <c r="E35">
        <v>-4.5006337151028602E-3</v>
      </c>
      <c r="F35">
        <v>0.1281957759173474</v>
      </c>
      <c r="G35">
        <v>0.31363972668225093</v>
      </c>
      <c r="H35">
        <v>-8.1238212607910115E-2</v>
      </c>
      <c r="I35">
        <v>-0.11408975141017444</v>
      </c>
      <c r="K35">
        <v>3.4692303333845965E-2</v>
      </c>
      <c r="L35" t="s">
        <v>108</v>
      </c>
    </row>
    <row r="36" spans="1:12">
      <c r="D36">
        <v>-1.2796327872747856E-2</v>
      </c>
      <c r="E36">
        <v>-9.5751355039456088E-2</v>
      </c>
      <c r="F36">
        <v>5.7803695247854614E-2</v>
      </c>
      <c r="G36" t="s">
        <v>108</v>
      </c>
      <c r="H36" t="s">
        <v>108</v>
      </c>
      <c r="I36" t="s">
        <v>108</v>
      </c>
      <c r="K36" t="s">
        <v>108</v>
      </c>
      <c r="L36" t="s">
        <v>108</v>
      </c>
    </row>
    <row r="37" spans="1:12">
      <c r="D37">
        <v>7.8829086476205259E-3</v>
      </c>
      <c r="E37">
        <v>-7.9278810825203216E-2</v>
      </c>
      <c r="F37">
        <v>4.4146257200223749E-2</v>
      </c>
      <c r="G37">
        <v>0.28646641708244175</v>
      </c>
      <c r="H37">
        <v>-0.1122010770337708</v>
      </c>
      <c r="I37">
        <v>-5.2000053376740914E-2</v>
      </c>
      <c r="K37">
        <v>4.075509555730996E-2</v>
      </c>
      <c r="L37" t="s">
        <v>108</v>
      </c>
    </row>
    <row r="38" spans="1:12">
      <c r="D38">
        <v>3.7294091732524323E-3</v>
      </c>
      <c r="E38">
        <v>-9.993142322111917E-2</v>
      </c>
      <c r="F38">
        <v>3.6480914962885462E-2</v>
      </c>
      <c r="G38">
        <v>0.14711922955783391</v>
      </c>
      <c r="H38">
        <v>-0.16732798120914383</v>
      </c>
      <c r="I38">
        <v>8.1369208040420055E-2</v>
      </c>
      <c r="K38">
        <v>1.8749072906958559E-2</v>
      </c>
      <c r="L38" t="s">
        <v>108</v>
      </c>
    </row>
    <row r="39" spans="1:12">
      <c r="D39">
        <v>1.4130911536928562E-2</v>
      </c>
      <c r="E39">
        <v>-7.5843274463805718E-2</v>
      </c>
      <c r="F39">
        <v>3.893069726268817E-2</v>
      </c>
      <c r="G39">
        <v>0.21284893820936515</v>
      </c>
      <c r="H39">
        <v>-4.6680811515067686E-2</v>
      </c>
      <c r="I39">
        <v>-6.3284255945370724E-2</v>
      </c>
      <c r="K39">
        <v>3.2941029493981866E-2</v>
      </c>
      <c r="L39" t="s">
        <v>108</v>
      </c>
    </row>
    <row r="40" spans="1:12">
      <c r="D40">
        <v>3.6065842155119723E-2</v>
      </c>
      <c r="E40">
        <v>-6.1593411294985016E-2</v>
      </c>
      <c r="F40">
        <v>0.14140234439319946</v>
      </c>
      <c r="G40">
        <v>6.3716964461375258E-2</v>
      </c>
      <c r="H40">
        <v>4.6253110417258284E-2</v>
      </c>
      <c r="I40">
        <v>-7.6193764640663825E-2</v>
      </c>
      <c r="K40">
        <v>1.153486583922882E-2</v>
      </c>
      <c r="L40" t="s">
        <v>108</v>
      </c>
    </row>
    <row r="41" spans="1:12">
      <c r="D41">
        <v>-1.1679233916564245E-2</v>
      </c>
      <c r="E41">
        <v>-9.0588531868226602E-2</v>
      </c>
      <c r="F41">
        <v>-1.7236363133924675E-2</v>
      </c>
      <c r="G41">
        <v>0.12008766094725327</v>
      </c>
      <c r="H41">
        <v>5.8837703326383849E-2</v>
      </c>
      <c r="I41">
        <v>-0.10563540427967837</v>
      </c>
      <c r="K41">
        <v>2.2088090714874994E-2</v>
      </c>
      <c r="L41" t="s">
        <v>108</v>
      </c>
    </row>
    <row r="42" spans="1:12">
      <c r="D42">
        <v>2.9978887545495943E-2</v>
      </c>
      <c r="E42">
        <v>-8.3428084641607489E-2</v>
      </c>
      <c r="F42">
        <v>5.9867228625188902E-2</v>
      </c>
      <c r="G42">
        <v>0.29264852800053814</v>
      </c>
      <c r="H42">
        <v>-0.11488281345731069</v>
      </c>
      <c r="I42" t="s">
        <v>108</v>
      </c>
      <c r="K42">
        <v>8.888285727161363E-2</v>
      </c>
      <c r="L42" t="s">
        <v>108</v>
      </c>
    </row>
    <row r="43" spans="1:12">
      <c r="C43" s="152"/>
      <c r="D43" s="152">
        <v>-1.4133810781233047E-2</v>
      </c>
      <c r="E43" s="152">
        <v>-0.10208111378808837</v>
      </c>
      <c r="F43" s="152">
        <v>1.9740075698412272E-2</v>
      </c>
      <c r="G43" s="152">
        <v>0.1785922443354036</v>
      </c>
      <c r="H43" s="152">
        <v>0.16606248140503008</v>
      </c>
      <c r="I43" s="152">
        <v>-0.22826653567757046</v>
      </c>
      <c r="J43" s="152"/>
      <c r="K43" s="152">
        <v>3.5137671586728057E-2</v>
      </c>
      <c r="L43" s="152" t="s">
        <v>108</v>
      </c>
    </row>
    <row r="44" spans="1:12">
      <c r="C44" s="152"/>
      <c r="D44" s="152"/>
      <c r="E44" s="152"/>
      <c r="F44" s="152"/>
      <c r="G44" s="152"/>
      <c r="H44" s="152"/>
      <c r="I44" s="152"/>
      <c r="J44" s="152"/>
      <c r="K44" s="152"/>
      <c r="L44" s="152"/>
    </row>
    <row r="45" spans="1:12">
      <c r="A45" t="s">
        <v>112</v>
      </c>
      <c r="C45" s="152"/>
      <c r="D45" s="152"/>
      <c r="E45" s="152"/>
      <c r="F45" s="152"/>
      <c r="G45" s="152"/>
      <c r="H45" s="152"/>
      <c r="I45" s="152"/>
      <c r="J45" s="152"/>
      <c r="K45" s="152"/>
      <c r="L45" s="152"/>
    </row>
    <row r="46" spans="1:12">
      <c r="C46" s="152"/>
      <c r="D46" s="152">
        <f>ABS(D5)*100</f>
        <v>0.27784238352501328</v>
      </c>
      <c r="E46" s="152">
        <f t="shared" ref="E46:K46" si="0">ABS(E5)*100</f>
        <v>12.863769622302151</v>
      </c>
      <c r="F46" s="152">
        <f t="shared" si="0"/>
        <v>9.4275459942812958</v>
      </c>
      <c r="G46" s="152">
        <f t="shared" si="0"/>
        <v>15.933645672562271</v>
      </c>
      <c r="H46" s="152">
        <f t="shared" si="0"/>
        <v>3.669272676498192</v>
      </c>
      <c r="I46" s="152">
        <f t="shared" si="0"/>
        <v>5.9107853033110143</v>
      </c>
      <c r="J46" s="152"/>
      <c r="K46" s="152">
        <f t="shared" si="0"/>
        <v>4.1036122759724085</v>
      </c>
      <c r="L46" s="152"/>
    </row>
    <row r="47" spans="1:12">
      <c r="C47" s="152"/>
      <c r="D47" s="152">
        <f t="shared" ref="D47:K47" si="1">ABS(D6)*100</f>
        <v>0.79746113243313932</v>
      </c>
      <c r="E47" s="152">
        <f t="shared" si="1"/>
        <v>8.5351505869599968</v>
      </c>
      <c r="F47" s="152">
        <f t="shared" si="1"/>
        <v>7.2357098348412849</v>
      </c>
      <c r="G47" s="152">
        <f t="shared" si="1"/>
        <v>13.121412717223588</v>
      </c>
      <c r="H47" s="152">
        <f t="shared" si="1"/>
        <v>7.879534705082099</v>
      </c>
      <c r="I47" s="152">
        <f t="shared" si="1"/>
        <v>13.039428408137226</v>
      </c>
      <c r="J47" s="152"/>
      <c r="K47" s="152">
        <f t="shared" si="1"/>
        <v>2.7927181499693483</v>
      </c>
      <c r="L47" s="152"/>
    </row>
    <row r="48" spans="1:12">
      <c r="C48" s="152"/>
      <c r="D48" s="152">
        <f t="shared" ref="D48:K48" si="2">ABS(D7)*100</f>
        <v>2.5671910719927036</v>
      </c>
      <c r="E48" s="152">
        <f t="shared" si="2"/>
        <v>3.7584646997730822</v>
      </c>
      <c r="F48" s="152">
        <f t="shared" si="2"/>
        <v>14.197633559316811</v>
      </c>
      <c r="G48" s="152">
        <f t="shared" si="2"/>
        <v>0.2816731355973302</v>
      </c>
      <c r="H48" s="152">
        <f t="shared" si="2"/>
        <v>1.2348106718394209</v>
      </c>
      <c r="I48" s="152">
        <f t="shared" si="2"/>
        <v>10.252609460964269</v>
      </c>
      <c r="J48" s="152"/>
      <c r="K48" s="152">
        <f t="shared" si="2"/>
        <v>2.9881050767347639</v>
      </c>
      <c r="L48" s="152"/>
    </row>
    <row r="49" spans="3:12">
      <c r="C49" s="152"/>
      <c r="D49" s="152">
        <f t="shared" ref="D49:K49" si="3">ABS(D8)*100</f>
        <v>0.71691136581518056</v>
      </c>
      <c r="E49" s="152">
        <f t="shared" si="3"/>
        <v>9.6763933235985888</v>
      </c>
      <c r="F49" s="152">
        <f t="shared" si="3"/>
        <v>3.181744396102943</v>
      </c>
      <c r="G49" s="152">
        <f t="shared" si="3"/>
        <v>4.9725001322734128</v>
      </c>
      <c r="H49" s="152">
        <f t="shared" si="3"/>
        <v>17.811212795319513</v>
      </c>
      <c r="I49" s="152">
        <f t="shared" si="3"/>
        <v>5.7099321104322653</v>
      </c>
      <c r="J49" s="152"/>
      <c r="K49" s="152">
        <f t="shared" si="3"/>
        <v>5.6770273983252348</v>
      </c>
      <c r="L49" s="152"/>
    </row>
    <row r="50" spans="3:12">
      <c r="C50" s="152"/>
      <c r="D50" s="152">
        <f t="shared" ref="D50:K50" si="4">ABS(D9)*100</f>
        <v>0.72191040393711436</v>
      </c>
      <c r="E50" s="152">
        <f t="shared" si="4"/>
        <v>11.367766609472159</v>
      </c>
      <c r="F50" s="152">
        <f t="shared" si="4"/>
        <v>6.0438147993614102</v>
      </c>
      <c r="G50" s="152">
        <f t="shared" si="4"/>
        <v>13.442501347750355</v>
      </c>
      <c r="H50" s="152">
        <f t="shared" si="4"/>
        <v>10.889502763805202</v>
      </c>
      <c r="I50" s="152">
        <f t="shared" si="4"/>
        <v>14.51008300273123</v>
      </c>
      <c r="J50" s="152"/>
      <c r="K50" s="152">
        <f t="shared" si="4"/>
        <v>3.2739737029414422</v>
      </c>
      <c r="L50" s="152"/>
    </row>
    <row r="51" spans="3:12">
      <c r="C51" s="152"/>
      <c r="D51" s="152">
        <f t="shared" ref="D51:K51" si="5">ABS(D10)*100</f>
        <v>5.6176527272787293</v>
      </c>
      <c r="E51" s="152">
        <f t="shared" si="5"/>
        <v>6.1217390942547487</v>
      </c>
      <c r="F51" s="152">
        <f t="shared" si="5"/>
        <v>8.6955628220905492</v>
      </c>
      <c r="G51" s="152">
        <f t="shared" si="5"/>
        <v>21.276442161863919</v>
      </c>
      <c r="H51" s="152">
        <f t="shared" si="5"/>
        <v>0.97532049555111633</v>
      </c>
      <c r="I51" s="152" t="e">
        <f t="shared" si="5"/>
        <v>#VALUE!</v>
      </c>
      <c r="J51" s="152"/>
      <c r="K51" s="152">
        <f t="shared" si="5"/>
        <v>11.986098348466532</v>
      </c>
      <c r="L51" s="152"/>
    </row>
    <row r="52" spans="3:12">
      <c r="C52" s="152"/>
      <c r="D52" s="152">
        <f t="shared" ref="D52:F52" si="6">ABS(D11)*100</f>
        <v>4.3692224328693197</v>
      </c>
      <c r="E52" s="152">
        <f t="shared" si="6"/>
        <v>11.413945649602285</v>
      </c>
      <c r="F52" s="152">
        <f t="shared" si="6"/>
        <v>2.6755007838636335</v>
      </c>
      <c r="G52" s="152"/>
      <c r="H52" s="152"/>
      <c r="I52" s="152"/>
      <c r="J52" s="152"/>
      <c r="K52" s="152"/>
      <c r="L52" s="152"/>
    </row>
    <row r="53" spans="3:12">
      <c r="C53" s="152"/>
      <c r="D53" s="152">
        <f t="shared" ref="D53:K53" si="7">ABS(D12)*100</f>
        <v>9.396313777207645</v>
      </c>
      <c r="E53" s="152">
        <f t="shared" si="7"/>
        <v>25.277022538658233</v>
      </c>
      <c r="F53" s="152">
        <f t="shared" si="7"/>
        <v>10.856656376795115</v>
      </c>
      <c r="G53" s="152">
        <f t="shared" si="7"/>
        <v>19.260687663099059</v>
      </c>
      <c r="H53" s="152">
        <f t="shared" si="7"/>
        <v>3.1001808315335699</v>
      </c>
      <c r="I53" s="152">
        <f t="shared" si="7"/>
        <v>11.293255346174398</v>
      </c>
      <c r="J53" s="152"/>
      <c r="K53" s="152">
        <f t="shared" si="7"/>
        <v>3.2671632636928245</v>
      </c>
      <c r="L53" s="152"/>
    </row>
    <row r="54" spans="3:12">
      <c r="C54" s="152"/>
      <c r="D54" s="152">
        <f t="shared" ref="D54:K54" si="8">ABS(D13)*100</f>
        <v>0.29684646258010966</v>
      </c>
      <c r="E54" s="152">
        <f t="shared" si="8"/>
        <v>7.5003350322410993</v>
      </c>
      <c r="F54" s="152">
        <f t="shared" si="8"/>
        <v>4.2646971159205531</v>
      </c>
      <c r="G54" s="152">
        <f t="shared" si="8"/>
        <v>7.7336393646642048</v>
      </c>
      <c r="H54" s="152">
        <f t="shared" si="8"/>
        <v>3.0655775243013501</v>
      </c>
      <c r="I54" s="152">
        <f t="shared" si="8"/>
        <v>8.2322178132905321</v>
      </c>
      <c r="J54" s="152"/>
      <c r="K54" s="152">
        <f t="shared" si="8"/>
        <v>0.78237697007568874</v>
      </c>
      <c r="L54" s="152"/>
    </row>
    <row r="55" spans="3:12">
      <c r="C55" s="152"/>
      <c r="D55" s="152">
        <f t="shared" ref="D55:K55" si="9">ABS(D14)*100</f>
        <v>0.89573004383729227</v>
      </c>
      <c r="E55" s="152">
        <f t="shared" si="9"/>
        <v>12.626479382953326</v>
      </c>
      <c r="F55" s="152">
        <f t="shared" si="9"/>
        <v>6.3365248785553216</v>
      </c>
      <c r="G55" s="152">
        <f t="shared" si="9"/>
        <v>26.492646726895476</v>
      </c>
      <c r="H55" s="152">
        <f t="shared" si="9"/>
        <v>16.056074883062021</v>
      </c>
      <c r="I55" s="152">
        <f t="shared" si="9"/>
        <v>3.557416252792625</v>
      </c>
      <c r="J55" s="152"/>
      <c r="K55" s="152">
        <f t="shared" si="9"/>
        <v>2.0133235449913567</v>
      </c>
      <c r="L55" s="152"/>
    </row>
    <row r="56" spans="3:12">
      <c r="C56" s="152"/>
      <c r="D56" s="152">
        <f t="shared" ref="D56:K56" si="10">ABS(D15)*100</f>
        <v>4.9644128707128239</v>
      </c>
      <c r="E56" s="152">
        <f t="shared" si="10"/>
        <v>14.526271963205343</v>
      </c>
      <c r="F56" s="152">
        <f t="shared" si="10"/>
        <v>1.6899999602021154</v>
      </c>
      <c r="G56" s="152">
        <f t="shared" si="10"/>
        <v>8.6737397807525927</v>
      </c>
      <c r="H56" s="152">
        <f t="shared" si="10"/>
        <v>14.537017930904462</v>
      </c>
      <c r="I56" s="152" t="e">
        <f t="shared" si="10"/>
        <v>#VALUE!</v>
      </c>
      <c r="J56" s="152"/>
      <c r="K56" s="152">
        <f t="shared" si="10"/>
        <v>2.6947946086304544</v>
      </c>
      <c r="L56" s="152"/>
    </row>
    <row r="57" spans="3:12">
      <c r="C57" s="152"/>
      <c r="D57" s="152">
        <f t="shared" ref="D57:K57" si="11">ABS(D16)*100</f>
        <v>1.7110788307357609</v>
      </c>
      <c r="E57" s="152">
        <f t="shared" si="11"/>
        <v>4.9324015903564815</v>
      </c>
      <c r="F57" s="152">
        <f t="shared" si="11"/>
        <v>9.1105449308890005</v>
      </c>
      <c r="G57" s="152">
        <f t="shared" si="11"/>
        <v>0.43588041390690568</v>
      </c>
      <c r="H57" s="152">
        <f t="shared" si="11"/>
        <v>8.4932590211234178</v>
      </c>
      <c r="I57" s="152">
        <f t="shared" si="11"/>
        <v>6.9847205703304107</v>
      </c>
      <c r="J57" s="152"/>
      <c r="K57" s="152">
        <f t="shared" si="11"/>
        <v>0.38385324183921909</v>
      </c>
      <c r="L57" s="152"/>
    </row>
    <row r="58" spans="3:12">
      <c r="C58" s="152"/>
      <c r="D58" s="152">
        <f t="shared" ref="D58:K58" si="12">ABS(D17)*100</f>
        <v>1.6389834232435809</v>
      </c>
      <c r="E58" s="152">
        <f t="shared" si="12"/>
        <v>9.6667841537028032</v>
      </c>
      <c r="F58" s="152">
        <f t="shared" si="12"/>
        <v>7.9294073750799416</v>
      </c>
      <c r="G58" s="152">
        <f t="shared" si="12"/>
        <v>9.4228330202014501</v>
      </c>
      <c r="H58" s="152">
        <f t="shared" si="12"/>
        <v>5.4336293439383487</v>
      </c>
      <c r="I58" s="152">
        <f t="shared" si="12"/>
        <v>7.0153362368928525</v>
      </c>
      <c r="J58" s="152"/>
      <c r="K58" s="152">
        <f t="shared" si="12"/>
        <v>2.5365342055278779</v>
      </c>
      <c r="L58" s="152"/>
    </row>
    <row r="59" spans="3:12">
      <c r="C59" s="152"/>
      <c r="D59" s="152">
        <f t="shared" ref="D59:G59" si="13">ABS(D18)*100</f>
        <v>2.7508541371296347</v>
      </c>
      <c r="E59" s="152">
        <f t="shared" si="13"/>
        <v>2.1710177494096015E-2</v>
      </c>
      <c r="F59" s="152">
        <f t="shared" si="13"/>
        <v>4.6759933652585541</v>
      </c>
      <c r="G59" s="152">
        <f t="shared" si="13"/>
        <v>4.8399053567681625</v>
      </c>
      <c r="H59" s="152"/>
      <c r="I59" s="152"/>
      <c r="J59" s="152"/>
      <c r="K59" s="152"/>
      <c r="L59" s="152"/>
    </row>
    <row r="60" spans="3:12">
      <c r="C60" s="152"/>
      <c r="D60" s="152">
        <f t="shared" ref="D60:K60" si="14">ABS(D19)*100</f>
        <v>0.63663550555763149</v>
      </c>
      <c r="E60" s="152">
        <f t="shared" si="14"/>
        <v>9.1547754491233171</v>
      </c>
      <c r="F60" s="152">
        <f t="shared" si="14"/>
        <v>3.0104568889254284</v>
      </c>
      <c r="G60" s="152">
        <f t="shared" si="14"/>
        <v>12.854834792747432</v>
      </c>
      <c r="H60" s="152">
        <f t="shared" si="14"/>
        <v>0.3675019137744488</v>
      </c>
      <c r="I60" s="152">
        <f t="shared" si="14"/>
        <v>4.2875976969013845</v>
      </c>
      <c r="J60" s="152"/>
      <c r="K60" s="152">
        <f t="shared" si="14"/>
        <v>3.021758743586251</v>
      </c>
      <c r="L60" s="152"/>
    </row>
    <row r="61" spans="3:12">
      <c r="D61" s="152">
        <f t="shared" ref="D61:K61" si="15">ABS(D20)*100</f>
        <v>3.5088367326628038</v>
      </c>
      <c r="E61" s="152">
        <f t="shared" si="15"/>
        <v>6.4705268229082709</v>
      </c>
      <c r="F61" s="152">
        <f t="shared" si="15"/>
        <v>11.700965926451806</v>
      </c>
      <c r="G61" s="152">
        <f t="shared" si="15"/>
        <v>13.396768620756413</v>
      </c>
      <c r="H61" s="152">
        <f t="shared" si="15"/>
        <v>1.5944737872460497</v>
      </c>
      <c r="I61" s="152">
        <f t="shared" si="15"/>
        <v>6.4348061334498468</v>
      </c>
      <c r="J61" s="152"/>
      <c r="K61" s="152">
        <f t="shared" si="15"/>
        <v>2.5647312979783305</v>
      </c>
    </row>
    <row r="62" spans="3:12">
      <c r="D62" s="152">
        <f t="shared" ref="D62:K62" si="16">ABS(D21)*100</f>
        <v>3.1035059930879196</v>
      </c>
      <c r="E62" s="152">
        <f t="shared" si="16"/>
        <v>7.1967092451033015</v>
      </c>
      <c r="F62" s="152">
        <f t="shared" si="16"/>
        <v>6.2394975231982475</v>
      </c>
      <c r="G62" s="152">
        <f t="shared" si="16"/>
        <v>33.991465339325025</v>
      </c>
      <c r="H62" s="152">
        <f t="shared" si="16"/>
        <v>0.96953189714017141</v>
      </c>
      <c r="I62" s="152">
        <f t="shared" si="16"/>
        <v>7.3633534631418991</v>
      </c>
      <c r="J62" s="152">
        <f t="shared" si="16"/>
        <v>0</v>
      </c>
      <c r="K62" s="152">
        <f t="shared" si="16"/>
        <v>8.0605407215563751</v>
      </c>
    </row>
    <row r="63" spans="3:12">
      <c r="D63" s="152">
        <f t="shared" ref="D63:F63" si="17">ABS(D22)*100</f>
        <v>12.868847774075199</v>
      </c>
      <c r="E63" s="152">
        <f t="shared" si="17"/>
        <v>1.3327607014373244</v>
      </c>
      <c r="F63" s="152">
        <f t="shared" si="17"/>
        <v>25.399425111595647</v>
      </c>
      <c r="G63" s="152"/>
      <c r="H63" s="152"/>
      <c r="I63" s="152"/>
      <c r="J63" s="152"/>
      <c r="K63" s="152"/>
    </row>
    <row r="64" spans="3:12">
      <c r="D64" s="152">
        <f t="shared" ref="D64:K64" si="18">ABS(D23)*100</f>
        <v>5.253544215425781</v>
      </c>
      <c r="E64" s="152">
        <f t="shared" si="18"/>
        <v>10.909368376587866</v>
      </c>
      <c r="F64" s="152">
        <f t="shared" si="18"/>
        <v>5.4120513751474562</v>
      </c>
      <c r="G64" s="152">
        <f t="shared" si="18"/>
        <v>7.2968056522096427</v>
      </c>
      <c r="H64" s="152">
        <f t="shared" si="18"/>
        <v>29.982092270673661</v>
      </c>
      <c r="I64" s="152">
        <f t="shared" si="18"/>
        <v>31.793329484076416</v>
      </c>
      <c r="J64" s="152">
        <f t="shared" si="18"/>
        <v>0</v>
      </c>
      <c r="K64" s="152">
        <f t="shared" si="18"/>
        <v>1.2172164075353982</v>
      </c>
    </row>
    <row r="65" spans="4:11">
      <c r="D65" s="152">
        <f t="shared" ref="D65:K65" si="19">ABS(D24)*100</f>
        <v>0.50790061571142064</v>
      </c>
      <c r="E65" s="152">
        <f t="shared" si="19"/>
        <v>8.1292345690663161</v>
      </c>
      <c r="F65" s="152">
        <f t="shared" si="19"/>
        <v>10.715120991731455</v>
      </c>
      <c r="G65" s="152">
        <f t="shared" si="19"/>
        <v>20.426874322759581</v>
      </c>
      <c r="H65" s="152">
        <f t="shared" si="19"/>
        <v>7.2781108550263012</v>
      </c>
      <c r="I65" s="152">
        <f t="shared" si="19"/>
        <v>16.526031049409788</v>
      </c>
      <c r="J65" s="152">
        <f t="shared" si="19"/>
        <v>0</v>
      </c>
      <c r="K65" s="152">
        <f t="shared" si="19"/>
        <v>3.6628931711450035</v>
      </c>
    </row>
    <row r="66" spans="4:11">
      <c r="D66" s="152">
        <f t="shared" ref="D66:K66" si="20">ABS(D25)*100</f>
        <v>3.198433689145999</v>
      </c>
      <c r="E66" s="152">
        <f t="shared" si="20"/>
        <v>7.1307624467747841</v>
      </c>
      <c r="F66" s="152">
        <f t="shared" si="20"/>
        <v>18.785608284874964</v>
      </c>
      <c r="G66" s="152">
        <f t="shared" si="20"/>
        <v>4.5058093988396459</v>
      </c>
      <c r="H66" s="152">
        <f t="shared" si="20"/>
        <v>1.7260059396328484</v>
      </c>
      <c r="I66" s="152">
        <f t="shared" si="20"/>
        <v>3.8196962068836342</v>
      </c>
      <c r="J66" s="152">
        <f t="shared" si="20"/>
        <v>0</v>
      </c>
      <c r="K66" s="152">
        <f t="shared" si="20"/>
        <v>0.27734093342299043</v>
      </c>
    </row>
    <row r="67" spans="4:11">
      <c r="D67" s="152">
        <f t="shared" ref="D67:K67" si="21">ABS(D26)*100</f>
        <v>5.0473968497176251</v>
      </c>
      <c r="E67" s="152">
        <f t="shared" si="21"/>
        <v>3.7441311466350977</v>
      </c>
      <c r="F67" s="152">
        <f t="shared" si="21"/>
        <v>7.7561311539140352</v>
      </c>
      <c r="G67" s="152">
        <f t="shared" si="21"/>
        <v>34.558691922954225</v>
      </c>
      <c r="H67" s="152">
        <f t="shared" si="21"/>
        <v>16.159443071914836</v>
      </c>
      <c r="I67" s="152"/>
      <c r="J67" s="152">
        <f t="shared" si="21"/>
        <v>0</v>
      </c>
      <c r="K67" s="152">
        <f t="shared" si="21"/>
        <v>9.1996244255196924</v>
      </c>
    </row>
    <row r="68" spans="4:11">
      <c r="D68" s="152">
        <f t="shared" ref="D68:K68" si="22">ABS(D27)*100</f>
        <v>3.9071085976275817</v>
      </c>
      <c r="E68" s="152">
        <f t="shared" si="22"/>
        <v>11.61834687225301</v>
      </c>
      <c r="F68" s="152">
        <f t="shared" si="22"/>
        <v>1.1926589350425558</v>
      </c>
      <c r="G68" s="152">
        <f t="shared" si="22"/>
        <v>1.3061292925303225</v>
      </c>
      <c r="H68" s="152">
        <f t="shared" si="22"/>
        <v>19.227192917463448</v>
      </c>
      <c r="I68" s="152">
        <f t="shared" si="22"/>
        <v>19.028283052464339</v>
      </c>
      <c r="J68" s="152">
        <f t="shared" si="22"/>
        <v>0</v>
      </c>
      <c r="K68" s="152">
        <f t="shared" si="22"/>
        <v>0.37904182495742345</v>
      </c>
    </row>
    <row r="69" spans="4:11">
      <c r="D69" s="152">
        <f t="shared" ref="D69:K69" si="23">ABS(D28)*100</f>
        <v>3.4590303457423777</v>
      </c>
      <c r="E69" s="152">
        <f t="shared" si="23"/>
        <v>10.584380012865871</v>
      </c>
      <c r="F69" s="152">
        <f t="shared" si="23"/>
        <v>1.3806018088860765</v>
      </c>
      <c r="G69" s="152">
        <f t="shared" si="23"/>
        <v>3.707566452725942</v>
      </c>
      <c r="H69" s="152">
        <f t="shared" si="23"/>
        <v>20.11285795503354</v>
      </c>
      <c r="I69" s="152">
        <f t="shared" si="23"/>
        <v>23.435336740880405</v>
      </c>
      <c r="J69" s="152">
        <f t="shared" si="23"/>
        <v>0</v>
      </c>
      <c r="K69" s="152">
        <f t="shared" si="23"/>
        <v>0.12836255562634036</v>
      </c>
    </row>
    <row r="70" spans="4:11">
      <c r="D70" s="152">
        <f t="shared" ref="D70:K70" si="24">ABS(D29)*100</f>
        <v>5.684880272012002</v>
      </c>
      <c r="E70" s="152">
        <f t="shared" si="24"/>
        <v>0.77091410513621084</v>
      </c>
      <c r="F70" s="152">
        <f t="shared" si="24"/>
        <v>2.5753676096892035</v>
      </c>
      <c r="G70" s="152">
        <f t="shared" si="24"/>
        <v>10.666555719709747</v>
      </c>
      <c r="H70" s="152">
        <f t="shared" si="24"/>
        <v>22.40122738085164</v>
      </c>
      <c r="I70" s="152">
        <f t="shared" si="24"/>
        <v>2.4396713244714263</v>
      </c>
      <c r="J70" s="152">
        <f t="shared" si="24"/>
        <v>0</v>
      </c>
      <c r="K70" s="152">
        <f t="shared" si="24"/>
        <v>10.190321211709991</v>
      </c>
    </row>
    <row r="71" spans="4:11">
      <c r="D71" s="152">
        <f t="shared" ref="D71:G71" si="25">ABS(D30)*100</f>
        <v>1.5323432522684988</v>
      </c>
      <c r="E71" s="152">
        <f t="shared" si="25"/>
        <v>5.716537723635633</v>
      </c>
      <c r="F71" s="152">
        <f t="shared" si="25"/>
        <v>8.4971014914286567</v>
      </c>
      <c r="G71" s="152">
        <f t="shared" si="25"/>
        <v>2.656630359882088</v>
      </c>
      <c r="H71" s="152"/>
      <c r="I71" s="152"/>
      <c r="J71" s="152"/>
      <c r="K71" s="152"/>
    </row>
    <row r="72" spans="4:11">
      <c r="D72" s="152">
        <f t="shared" ref="D72:K72" si="26">ABS(D31)*100</f>
        <v>3.4670714784179402</v>
      </c>
      <c r="E72" s="152">
        <f t="shared" si="26"/>
        <v>5.8692682861895955</v>
      </c>
      <c r="F72" s="152">
        <f t="shared" si="26"/>
        <v>6.3843087255769895</v>
      </c>
      <c r="G72" s="152">
        <f t="shared" si="26"/>
        <v>30.239174057394735</v>
      </c>
      <c r="H72" s="152">
        <f t="shared" si="26"/>
        <v>7.0895229887032505</v>
      </c>
      <c r="I72" s="152">
        <f t="shared" si="26"/>
        <v>6.1473594640310107</v>
      </c>
      <c r="J72" s="152">
        <f t="shared" si="26"/>
        <v>0</v>
      </c>
      <c r="K72" s="152">
        <f t="shared" si="26"/>
        <v>10.449783536485349</v>
      </c>
    </row>
    <row r="73" spans="4:11">
      <c r="D73" s="152">
        <f t="shared" ref="D73:K73" si="27">ABS(D32)*100</f>
        <v>0.70939286602105633</v>
      </c>
      <c r="E73" s="152">
        <f t="shared" si="27"/>
        <v>9.7064151753260948</v>
      </c>
      <c r="F73" s="152">
        <f t="shared" si="27"/>
        <v>5.3087151340848084</v>
      </c>
      <c r="G73" s="152">
        <f t="shared" si="27"/>
        <v>31.62409434431887</v>
      </c>
      <c r="H73" s="152">
        <f t="shared" si="27"/>
        <v>20.244596161876018</v>
      </c>
      <c r="I73" s="152"/>
      <c r="J73" s="152">
        <f t="shared" si="27"/>
        <v>0</v>
      </c>
      <c r="K73" s="152">
        <f t="shared" si="27"/>
        <v>3.332081340939848</v>
      </c>
    </row>
    <row r="74" spans="4:11">
      <c r="D74" s="152">
        <f t="shared" ref="D74:J74" si="28">ABS(D33)*100</f>
        <v>1.2785306592409129</v>
      </c>
      <c r="E74" s="152">
        <f t="shared" si="28"/>
        <v>8.1506556908389065</v>
      </c>
      <c r="F74" s="152">
        <f t="shared" si="28"/>
        <v>4.0312656520074626</v>
      </c>
      <c r="G74" s="152">
        <f t="shared" si="28"/>
        <v>12.237427410708804</v>
      </c>
      <c r="H74" s="152"/>
      <c r="I74" s="152"/>
      <c r="J74" s="152">
        <f t="shared" si="28"/>
        <v>0</v>
      </c>
      <c r="K74" s="152"/>
    </row>
    <row r="75" spans="4:11">
      <c r="D75" s="152">
        <f t="shared" ref="D75:K75" si="29">ABS(D34)*100</f>
        <v>1.4285788683018295</v>
      </c>
      <c r="E75" s="152">
        <f t="shared" si="29"/>
        <v>1.9204821177142359</v>
      </c>
      <c r="F75" s="152">
        <f t="shared" si="29"/>
        <v>5.6848802720119913</v>
      </c>
      <c r="G75" s="152">
        <f t="shared" si="29"/>
        <v>8.4037918836507206</v>
      </c>
      <c r="H75" s="152">
        <f t="shared" si="29"/>
        <v>16.506895634111025</v>
      </c>
      <c r="I75" s="152">
        <f t="shared" si="29"/>
        <v>6.5364979126519343</v>
      </c>
      <c r="J75" s="152">
        <f t="shared" si="29"/>
        <v>0</v>
      </c>
      <c r="K75" s="152">
        <f t="shared" si="29"/>
        <v>4.8393371489989505</v>
      </c>
    </row>
    <row r="76" spans="4:11">
      <c r="D76" s="152">
        <f t="shared" ref="D76:K76" si="30">ABS(D35)*100</f>
        <v>5.4417384379860652</v>
      </c>
      <c r="E76" s="152">
        <f t="shared" si="30"/>
        <v>0.45006337151028603</v>
      </c>
      <c r="F76" s="152">
        <f t="shared" si="30"/>
        <v>12.81957759173474</v>
      </c>
      <c r="G76" s="152">
        <f t="shared" si="30"/>
        <v>31.363972668225092</v>
      </c>
      <c r="H76" s="152">
        <f t="shared" si="30"/>
        <v>8.1238212607910114</v>
      </c>
      <c r="I76" s="152">
        <f t="shared" si="30"/>
        <v>11.408975141017445</v>
      </c>
      <c r="J76" s="152">
        <f t="shared" si="30"/>
        <v>0</v>
      </c>
      <c r="K76" s="152">
        <f t="shared" si="30"/>
        <v>3.4692303333845964</v>
      </c>
    </row>
    <row r="77" spans="4:11">
      <c r="D77" s="152">
        <f t="shared" ref="D77:J77" si="31">ABS(D36)*100</f>
        <v>1.2796327872747857</v>
      </c>
      <c r="E77" s="152">
        <f t="shared" si="31"/>
        <v>9.5751355039456083</v>
      </c>
      <c r="F77" s="152">
        <f t="shared" si="31"/>
        <v>5.7803695247854616</v>
      </c>
      <c r="G77" s="152"/>
      <c r="H77" s="152"/>
      <c r="I77" s="152"/>
      <c r="J77" s="152">
        <f t="shared" si="31"/>
        <v>0</v>
      </c>
      <c r="K77" s="152"/>
    </row>
    <row r="78" spans="4:11">
      <c r="D78" s="152">
        <f t="shared" ref="D78:K78" si="32">ABS(D37)*100</f>
        <v>0.78829086476205257</v>
      </c>
      <c r="E78" s="152">
        <f t="shared" si="32"/>
        <v>7.9278810825203214</v>
      </c>
      <c r="F78" s="152">
        <f t="shared" si="32"/>
        <v>4.4146257200223751</v>
      </c>
      <c r="G78" s="152">
        <f t="shared" si="32"/>
        <v>28.646641708244175</v>
      </c>
      <c r="H78" s="152">
        <f t="shared" si="32"/>
        <v>11.22010770337708</v>
      </c>
      <c r="I78" s="152">
        <f t="shared" si="32"/>
        <v>5.2000053376740913</v>
      </c>
      <c r="J78" s="152">
        <f t="shared" si="32"/>
        <v>0</v>
      </c>
      <c r="K78" s="152">
        <f t="shared" si="32"/>
        <v>4.0755095557309957</v>
      </c>
    </row>
    <row r="79" spans="4:11">
      <c r="D79" s="152">
        <f t="shared" ref="D79:K79" si="33">ABS(D38)*100</f>
        <v>0.3729409173252432</v>
      </c>
      <c r="E79" s="152">
        <f t="shared" si="33"/>
        <v>9.9931423221119164</v>
      </c>
      <c r="F79" s="152">
        <f t="shared" si="33"/>
        <v>3.6480914962885462</v>
      </c>
      <c r="G79" s="152">
        <f t="shared" si="33"/>
        <v>14.711922955783391</v>
      </c>
      <c r="H79" s="152">
        <f t="shared" si="33"/>
        <v>16.732798120914381</v>
      </c>
      <c r="I79" s="152">
        <f t="shared" si="33"/>
        <v>8.1369208040420062</v>
      </c>
      <c r="J79" s="152">
        <f t="shared" si="33"/>
        <v>0</v>
      </c>
      <c r="K79" s="152">
        <f t="shared" si="33"/>
        <v>1.8749072906958559</v>
      </c>
    </row>
    <row r="80" spans="4:11">
      <c r="D80" s="152">
        <f t="shared" ref="D80:K80" si="34">ABS(D39)*100</f>
        <v>1.4130911536928561</v>
      </c>
      <c r="E80" s="152">
        <f t="shared" si="34"/>
        <v>7.5843274463805717</v>
      </c>
      <c r="F80" s="152">
        <f t="shared" si="34"/>
        <v>3.8930697262688172</v>
      </c>
      <c r="G80" s="152">
        <f t="shared" si="34"/>
        <v>21.284893820936514</v>
      </c>
      <c r="H80" s="152">
        <f t="shared" si="34"/>
        <v>4.6680811515067688</v>
      </c>
      <c r="I80" s="152">
        <f t="shared" si="34"/>
        <v>6.3284255945370722</v>
      </c>
      <c r="J80" s="152">
        <f t="shared" si="34"/>
        <v>0</v>
      </c>
      <c r="K80" s="152">
        <f t="shared" si="34"/>
        <v>3.2941029493981864</v>
      </c>
    </row>
    <row r="81" spans="1:11">
      <c r="D81" s="152">
        <f t="shared" ref="D81:K81" si="35">ABS(D40)*100</f>
        <v>3.6065842155119725</v>
      </c>
      <c r="E81" s="152">
        <f t="shared" si="35"/>
        <v>6.1593411294985012</v>
      </c>
      <c r="F81" s="152">
        <f t="shared" si="35"/>
        <v>14.140234439319945</v>
      </c>
      <c r="G81" s="152">
        <f t="shared" si="35"/>
        <v>6.3716964461375261</v>
      </c>
      <c r="H81" s="152">
        <f t="shared" si="35"/>
        <v>4.6253110417258281</v>
      </c>
      <c r="I81" s="152">
        <f t="shared" si="35"/>
        <v>7.6193764640663826</v>
      </c>
      <c r="J81" s="152">
        <f t="shared" si="35"/>
        <v>0</v>
      </c>
      <c r="K81" s="152">
        <f t="shared" si="35"/>
        <v>1.1534865839228821</v>
      </c>
    </row>
    <row r="82" spans="1:11">
      <c r="D82" s="152">
        <f t="shared" ref="D82:K82" si="36">ABS(D41)*100</f>
        <v>1.1679233916564244</v>
      </c>
      <c r="E82" s="152">
        <f t="shared" si="36"/>
        <v>9.0588531868226596</v>
      </c>
      <c r="F82" s="152">
        <f t="shared" si="36"/>
        <v>1.7236363133924675</v>
      </c>
      <c r="G82" s="152">
        <f t="shared" si="36"/>
        <v>12.008766094725328</v>
      </c>
      <c r="H82" s="152">
        <f t="shared" si="36"/>
        <v>5.8837703326383846</v>
      </c>
      <c r="I82" s="152">
        <f t="shared" si="36"/>
        <v>10.563540427967837</v>
      </c>
      <c r="J82" s="152">
        <f t="shared" si="36"/>
        <v>0</v>
      </c>
      <c r="K82" s="152">
        <f t="shared" si="36"/>
        <v>2.2088090714874995</v>
      </c>
    </row>
    <row r="83" spans="1:11">
      <c r="D83" s="152">
        <f t="shared" ref="D83:K83" si="37">ABS(D42)*100</f>
        <v>2.9978887545495945</v>
      </c>
      <c r="E83" s="152">
        <f t="shared" si="37"/>
        <v>8.3428084641607487</v>
      </c>
      <c r="F83" s="152">
        <f t="shared" si="37"/>
        <v>5.9867228625188904</v>
      </c>
      <c r="G83" s="152">
        <f t="shared" si="37"/>
        <v>29.264852800053813</v>
      </c>
      <c r="H83" s="152">
        <f t="shared" si="37"/>
        <v>11.488281345731069</v>
      </c>
      <c r="I83" s="152"/>
      <c r="J83" s="152">
        <f t="shared" si="37"/>
        <v>0</v>
      </c>
      <c r="K83" s="152">
        <f t="shared" si="37"/>
        <v>8.8882857271613638</v>
      </c>
    </row>
    <row r="84" spans="1:11">
      <c r="D84" s="152">
        <f t="shared" ref="D84:K84" si="38">ABS(D43)*100</f>
        <v>1.4133810781233047</v>
      </c>
      <c r="E84" s="152">
        <f t="shared" si="38"/>
        <v>10.208111378808837</v>
      </c>
      <c r="F84" s="152">
        <f t="shared" si="38"/>
        <v>1.9740075698412272</v>
      </c>
      <c r="G84" s="152">
        <f t="shared" si="38"/>
        <v>17.859224433540362</v>
      </c>
      <c r="H84" s="152">
        <f t="shared" si="38"/>
        <v>16.606248140503009</v>
      </c>
      <c r="I84" s="152">
        <f t="shared" si="38"/>
        <v>22.826653567757045</v>
      </c>
      <c r="J84" s="152">
        <f t="shared" si="38"/>
        <v>0</v>
      </c>
      <c r="K84" s="152">
        <f t="shared" si="38"/>
        <v>3.5137671586728056</v>
      </c>
    </row>
    <row r="85" spans="1:11">
      <c r="D85" s="152"/>
      <c r="E85" s="152"/>
      <c r="F85" s="152"/>
      <c r="G85" s="152"/>
      <c r="H85" s="152"/>
      <c r="I85" s="152"/>
      <c r="J85" s="152"/>
      <c r="K85" s="152"/>
    </row>
    <row r="86" spans="1:11">
      <c r="A86" t="s">
        <v>113</v>
      </c>
    </row>
    <row r="87" spans="1:11">
      <c r="B87" t="s">
        <v>114</v>
      </c>
      <c r="C87">
        <v>5</v>
      </c>
      <c r="D87">
        <f>COUNTIF(D$46:D$84,"&lt;=5,0")</f>
        <v>32</v>
      </c>
      <c r="E87">
        <f>COUNTIF(E$46:E$84,"&lt;=5,0")</f>
        <v>8</v>
      </c>
      <c r="F87">
        <f t="shared" ref="F87:J87" si="39">COUNTIF(F$46:F$84,"&lt;=5,0")</f>
        <v>15</v>
      </c>
      <c r="G87">
        <f t="shared" si="39"/>
        <v>8</v>
      </c>
      <c r="H87">
        <f t="shared" si="39"/>
        <v>11</v>
      </c>
      <c r="I87">
        <f t="shared" si="39"/>
        <v>4</v>
      </c>
      <c r="J87">
        <f t="shared" si="39"/>
        <v>21</v>
      </c>
      <c r="K87">
        <f>COUNTIF(K$46:K$84,"&lt;=5,0")</f>
        <v>26</v>
      </c>
    </row>
    <row r="88" spans="1:11">
      <c r="B88" t="s">
        <v>114</v>
      </c>
      <c r="C88">
        <v>10</v>
      </c>
      <c r="D88">
        <f>COUNTIF(D$46:D$84,"&lt;=10,0")</f>
        <v>38</v>
      </c>
      <c r="E88">
        <f t="shared" ref="E88:K88" si="40">COUNTIF(E$46:E$84,"&lt;=10,0")</f>
        <v>29</v>
      </c>
      <c r="F88">
        <f t="shared" si="40"/>
        <v>31</v>
      </c>
      <c r="G88">
        <f t="shared" si="40"/>
        <v>14</v>
      </c>
      <c r="H88">
        <f t="shared" si="40"/>
        <v>18</v>
      </c>
      <c r="I88">
        <f t="shared" si="40"/>
        <v>17</v>
      </c>
      <c r="J88">
        <f t="shared" si="40"/>
        <v>21</v>
      </c>
      <c r="K88">
        <f t="shared" si="40"/>
        <v>30</v>
      </c>
    </row>
    <row r="89" spans="1:11">
      <c r="B89" t="s">
        <v>114</v>
      </c>
      <c r="C89">
        <v>15</v>
      </c>
      <c r="D89">
        <f>COUNTIF(D$46:D$84,"&lt;=15,0")</f>
        <v>39</v>
      </c>
      <c r="E89">
        <f t="shared" ref="E89:K89" si="41">COUNTIF(E$46:E$84,"&lt;=15,0")</f>
        <v>38</v>
      </c>
      <c r="F89">
        <f t="shared" si="41"/>
        <v>37</v>
      </c>
      <c r="G89">
        <f t="shared" si="41"/>
        <v>22</v>
      </c>
      <c r="H89">
        <f t="shared" si="41"/>
        <v>22</v>
      </c>
      <c r="I89">
        <f t="shared" si="41"/>
        <v>23</v>
      </c>
      <c r="J89">
        <f t="shared" si="41"/>
        <v>21</v>
      </c>
      <c r="K89">
        <f t="shared" si="41"/>
        <v>33</v>
      </c>
    </row>
    <row r="90" spans="1:11">
      <c r="B90" t="s">
        <v>115</v>
      </c>
      <c r="C90">
        <v>20</v>
      </c>
      <c r="D90">
        <f>COUNTIF(D$46:D$84,"&lt;=20,0")</f>
        <v>39</v>
      </c>
      <c r="E90">
        <f t="shared" ref="E90:K90" si="42">COUNTIF(E$46:E$84,"&lt;=20,0")</f>
        <v>38</v>
      </c>
      <c r="F90">
        <f t="shared" si="42"/>
        <v>38</v>
      </c>
      <c r="G90">
        <f t="shared" si="42"/>
        <v>25</v>
      </c>
      <c r="H90">
        <f t="shared" si="42"/>
        <v>29</v>
      </c>
      <c r="I90">
        <f t="shared" si="42"/>
        <v>25</v>
      </c>
      <c r="J90">
        <f t="shared" si="42"/>
        <v>21</v>
      </c>
      <c r="K90">
        <f t="shared" si="42"/>
        <v>33</v>
      </c>
    </row>
    <row r="92" spans="1:11">
      <c r="A92" t="s">
        <v>116</v>
      </c>
    </row>
    <row r="93" spans="1:11">
      <c r="D93">
        <f>D87/39*100</f>
        <v>82.051282051282044</v>
      </c>
      <c r="E93">
        <f t="shared" ref="E93:K93" si="43">E87/39*100</f>
        <v>20.512820512820511</v>
      </c>
      <c r="F93">
        <f t="shared" si="43"/>
        <v>38.461538461538467</v>
      </c>
      <c r="G93">
        <f t="shared" si="43"/>
        <v>20.512820512820511</v>
      </c>
      <c r="H93">
        <f t="shared" si="43"/>
        <v>28.205128205128204</v>
      </c>
      <c r="I93">
        <f t="shared" si="43"/>
        <v>10.256410256410255</v>
      </c>
      <c r="J93">
        <f t="shared" si="43"/>
        <v>53.846153846153847</v>
      </c>
      <c r="K93">
        <f t="shared" si="43"/>
        <v>66.666666666666657</v>
      </c>
    </row>
    <row r="94" spans="1:11">
      <c r="D94">
        <f t="shared" ref="D94:K94" si="44">D88/39*100</f>
        <v>97.435897435897431</v>
      </c>
      <c r="E94">
        <f t="shared" si="44"/>
        <v>74.358974358974365</v>
      </c>
      <c r="F94">
        <f t="shared" si="44"/>
        <v>79.487179487179489</v>
      </c>
      <c r="G94">
        <f t="shared" si="44"/>
        <v>35.897435897435898</v>
      </c>
      <c r="H94">
        <f t="shared" si="44"/>
        <v>46.153846153846153</v>
      </c>
      <c r="I94">
        <f t="shared" si="44"/>
        <v>43.589743589743591</v>
      </c>
      <c r="J94">
        <f t="shared" si="44"/>
        <v>53.846153846153847</v>
      </c>
      <c r="K94">
        <f t="shared" si="44"/>
        <v>76.923076923076934</v>
      </c>
    </row>
    <row r="95" spans="1:11">
      <c r="D95">
        <f t="shared" ref="D95:K95" si="45">D89/39*100</f>
        <v>100</v>
      </c>
      <c r="E95">
        <f t="shared" si="45"/>
        <v>97.435897435897431</v>
      </c>
      <c r="F95">
        <f t="shared" si="45"/>
        <v>94.871794871794862</v>
      </c>
      <c r="G95">
        <f t="shared" si="45"/>
        <v>56.410256410256409</v>
      </c>
      <c r="H95">
        <f t="shared" si="45"/>
        <v>56.410256410256409</v>
      </c>
      <c r="I95">
        <f t="shared" si="45"/>
        <v>58.974358974358978</v>
      </c>
      <c r="J95">
        <f t="shared" si="45"/>
        <v>53.846153846153847</v>
      </c>
      <c r="K95">
        <f t="shared" si="45"/>
        <v>84.615384615384613</v>
      </c>
    </row>
    <row r="96" spans="1:11">
      <c r="D96">
        <f t="shared" ref="D96:K96" si="46">D90/39*100</f>
        <v>100</v>
      </c>
      <c r="E96">
        <f t="shared" si="46"/>
        <v>97.435897435897431</v>
      </c>
      <c r="F96">
        <f t="shared" si="46"/>
        <v>97.435897435897431</v>
      </c>
      <c r="G96">
        <f t="shared" si="46"/>
        <v>64.102564102564102</v>
      </c>
      <c r="H96">
        <f t="shared" si="46"/>
        <v>74.358974358974365</v>
      </c>
      <c r="I96">
        <f t="shared" si="46"/>
        <v>64.102564102564102</v>
      </c>
      <c r="J96">
        <f t="shared" si="46"/>
        <v>53.846153846153847</v>
      </c>
      <c r="K96">
        <f t="shared" si="46"/>
        <v>84.615384615384613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Millau_PLtraf</vt:lpstr>
      <vt:lpstr>Millau_PLcalibration</vt:lpstr>
      <vt:lpstr>Accuracy_trafic</vt:lpstr>
      <vt:lpstr>Accuracy_calibration</vt:lpstr>
      <vt:lpstr>Repartition des erreurs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SCHMIDT Franziska</dc:creator>
  <cp:lastModifiedBy>Igor</cp:lastModifiedBy>
  <cp:lastPrinted>2009-08-05T06:30:54Z</cp:lastPrinted>
  <dcterms:created xsi:type="dcterms:W3CDTF">2008-07-22T08:10:24Z</dcterms:created>
  <dcterms:modified xsi:type="dcterms:W3CDTF">2017-01-10T15:41:45Z</dcterms:modified>
</cp:coreProperties>
</file>