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doc\FIABFAT\normandie\Fichiers de trafic\"/>
    </mc:Choice>
  </mc:AlternateContent>
  <bookViews>
    <workbookView xWindow="0" yWindow="0" windowWidth="14085" windowHeight="7740" tabRatio="804" activeTab="5"/>
  </bookViews>
  <sheets>
    <sheet name="Site_PLtraf" sheetId="2" r:id="rId1"/>
    <sheet name="Site_PLtraf_new_0" sheetId="117" state="hidden" r:id="rId2"/>
    <sheet name="Site_PLtraf_new" sheetId="110" state="hidden" r:id="rId3"/>
    <sheet name="NSWD" sheetId="119" r:id="rId4"/>
    <sheet name="Site_PLtraf_new_2" sheetId="113" r:id="rId5"/>
    <sheet name="COST 323" sheetId="115" r:id="rId6"/>
    <sheet name="Site_PLtraf_new_3" sheetId="116" state="hidden" r:id="rId7"/>
    <sheet name="Site_PLtraf_new_2 (2)" sheetId="120" r:id="rId8"/>
    <sheet name="COST 323 (2)" sheetId="122" r:id="rId9"/>
    <sheet name="Site_PLcalibration" sheetId="104" r:id="rId10"/>
    <sheet name="Site_PLcalibration (New) (2)" sheetId="121" r:id="rId11"/>
    <sheet name="Site_PLcalibration (New)" sheetId="108" r:id="rId12"/>
    <sheet name="Accuracy_trafic_All (New)" sheetId="111" r:id="rId13"/>
    <sheet name="Max_Load_France" sheetId="102" r:id="rId14"/>
    <sheet name="Accuracy_trafic_TC&gt;0,9" sheetId="105" r:id="rId15"/>
    <sheet name="Accuracy_trafic_All" sheetId="1" r:id="rId16"/>
    <sheet name="Accuracy_calibration" sheetId="106" r:id="rId17"/>
    <sheet name="OIML_Accuracy" sheetId="107" r:id="rId18"/>
  </sheets>
  <externalReferences>
    <externalReference r:id="rId19"/>
  </externalReferences>
  <definedNames>
    <definedName name="_xlnm._FilterDatabase" localSheetId="9" hidden="1">Site_PLcalibration!$A$10:$BL$26</definedName>
    <definedName name="_xlnm._FilterDatabase" localSheetId="11" hidden="1">'Site_PLcalibration (New)'!$A$10:$BL$26</definedName>
    <definedName name="_xlnm._FilterDatabase" localSheetId="10" hidden="1">'Site_PLcalibration (New) (2)'!$A$10:$BL$25</definedName>
    <definedName name="_xlnm._FilterDatabase" localSheetId="0" hidden="1">Site_PLtraf!$A$10:$BL$24</definedName>
    <definedName name="_xlnm._FilterDatabase" localSheetId="2" hidden="1">Site_PLtraf_new!$A$10:$BL$24</definedName>
    <definedName name="_xlnm._FilterDatabase" localSheetId="1" hidden="1">Site_PLtraf_new_0!$A$10:$BM$47</definedName>
    <definedName name="_xlnm._FilterDatabase" localSheetId="4" hidden="1">Site_PLtraf_new_2!$A$10:$BM$47</definedName>
    <definedName name="_xlnm._FilterDatabase" localSheetId="7" hidden="1">'Site_PLtraf_new_2 (2)'!$A$10:$BM$47</definedName>
    <definedName name="_xlnm._FilterDatabase" localSheetId="6" hidden="1">Site_PLtraf_new_3!$A$10:$BM$47</definedName>
    <definedName name="anscount" hidden="1">1</definedName>
    <definedName name="Condition1" localSheetId="8">'COST 323 (2)'!$B$42:$M$45</definedName>
    <definedName name="Condition1">'COST 323'!$B$42:$M$45</definedName>
    <definedName name="Condition2" localSheetId="8">'COST 323 (2)'!$B$46:$M$48</definedName>
    <definedName name="Condition2">'COST 323'!$B$46:$M$48</definedName>
    <definedName name="EG_1" localSheetId="16">#N/A</definedName>
    <definedName name="EG_1" localSheetId="12">#N/A</definedName>
    <definedName name="EG_1" localSheetId="14">#N/A</definedName>
    <definedName name="EG_1" localSheetId="5">#N/A</definedName>
    <definedName name="EG_1" localSheetId="8">#N/A</definedName>
    <definedName name="EG_1" localSheetId="3">#N/A</definedName>
    <definedName name="EG_1" localSheetId="17">#N/A</definedName>
    <definedName name="EG_1" localSheetId="9">Site_PLcalibration!L12C27:L12C29</definedName>
    <definedName name="EG_1" localSheetId="11">'Site_PLcalibration (New)'!L12C27:L12C29</definedName>
    <definedName name="EG_1" localSheetId="10">'Site_PLcalibration (New) (2)'!L12C27:L12C29</definedName>
    <definedName name="EG_1" localSheetId="2">Site_PLtraf_new!L12C27:L12C29</definedName>
    <definedName name="EG_1" localSheetId="1">Site_PLtraf_new_0!L12C27:L12C29</definedName>
    <definedName name="EG_1" localSheetId="4">Site_PLtraf_new_2!L12C27:L12C29</definedName>
    <definedName name="EG_1" localSheetId="7">'Site_PLtraf_new_2 (2)'!L12C27:L12C29</definedName>
    <definedName name="EG_1" localSheetId="6">Site_PLtraf_new_3!L12C27:L12C29</definedName>
    <definedName name="EG_1">Site_PLtraf!L12C27:L12C29</definedName>
    <definedName name="EnvironmentalConditions" localSheetId="8">'COST 323 (2)'!$B$46:$B$48</definedName>
    <definedName name="EnvironmentalConditions">'COST 323'!$B$46:$B$48</definedName>
    <definedName name="Interval">[1]Data!$H$19:$H$22</definedName>
    <definedName name="Izberi" localSheetId="5">#REF!</definedName>
    <definedName name="Izberi" localSheetId="8">#REF!</definedName>
    <definedName name="Izberi" localSheetId="3">#REF!</definedName>
    <definedName name="Izberi" localSheetId="10">#REF!</definedName>
    <definedName name="Izberi" localSheetId="1">#REF!</definedName>
    <definedName name="Izberi" localSheetId="4">#REF!</definedName>
    <definedName name="Izberi" localSheetId="7">#REF!</definedName>
    <definedName name="Izberi" localSheetId="6">#REF!</definedName>
    <definedName name="Izberi">#REF!</definedName>
    <definedName name="Jezik">[1]Data!$C$3:$C$5</definedName>
    <definedName name="Select_lanes">[1]Data!$H$30:$H$32</definedName>
    <definedName name="solver_adj" localSheetId="16" hidden="1">Accuracy_calibration!$I$9:$I$12</definedName>
    <definedName name="solver_adj" localSheetId="15" hidden="1">Accuracy_trafic_All!$I$9:$I$12</definedName>
    <definedName name="solver_adj" localSheetId="12" hidden="1">'Accuracy_trafic_All (New)'!$I$9:$I$12</definedName>
    <definedName name="solver_adj" localSheetId="14" hidden="1">'Accuracy_trafic_TC&gt;0,9'!$I$9:$I$12</definedName>
    <definedName name="solver_adj" localSheetId="5" hidden="1">'COST 323'!$I$13:$I$16</definedName>
    <definedName name="solver_adj" localSheetId="8" hidden="1">'COST 323 (2)'!$I$13:$I$16</definedName>
    <definedName name="solver_cvg" localSheetId="16" hidden="1">0.001</definedName>
    <definedName name="solver_cvg" localSheetId="15" hidden="1">0.001</definedName>
    <definedName name="solver_cvg" localSheetId="12" hidden="1">0.001</definedName>
    <definedName name="solver_cvg" localSheetId="14" hidden="1">0.001</definedName>
    <definedName name="solver_cvg" localSheetId="5" hidden="1">0.001</definedName>
    <definedName name="solver_cvg" localSheetId="8" hidden="1">0.001</definedName>
    <definedName name="solver_drv" localSheetId="16" hidden="1">1</definedName>
    <definedName name="solver_drv" localSheetId="15" hidden="1">1</definedName>
    <definedName name="solver_drv" localSheetId="12" hidden="1">1</definedName>
    <definedName name="solver_drv" localSheetId="14" hidden="1">1</definedName>
    <definedName name="solver_drv" localSheetId="5" hidden="1">1</definedName>
    <definedName name="solver_drv" localSheetId="8" hidden="1">1</definedName>
    <definedName name="solver_eng" localSheetId="15" hidden="1">1</definedName>
    <definedName name="solver_eng" localSheetId="12" hidden="1">1</definedName>
    <definedName name="solver_eng" localSheetId="14" hidden="1">1</definedName>
    <definedName name="solver_eng" localSheetId="5" hidden="1">1</definedName>
    <definedName name="solver_eng" localSheetId="8" hidden="1">1</definedName>
    <definedName name="solver_est" localSheetId="16" hidden="1">1</definedName>
    <definedName name="solver_est" localSheetId="15" hidden="1">1</definedName>
    <definedName name="solver_est" localSheetId="12" hidden="1">1</definedName>
    <definedName name="solver_est" localSheetId="14" hidden="1">1</definedName>
    <definedName name="solver_est" localSheetId="5" hidden="1">1</definedName>
    <definedName name="solver_est" localSheetId="8" hidden="1">1</definedName>
    <definedName name="solver_itr" localSheetId="16" hidden="1">100</definedName>
    <definedName name="solver_itr" localSheetId="15" hidden="1">100</definedName>
    <definedName name="solver_itr" localSheetId="12" hidden="1">100</definedName>
    <definedName name="solver_itr" localSheetId="14" hidden="1">100</definedName>
    <definedName name="solver_itr" localSheetId="5" hidden="1">100</definedName>
    <definedName name="solver_itr" localSheetId="8" hidden="1">100</definedName>
    <definedName name="solver_lhs1" localSheetId="16" hidden="1">Accuracy_calibration!$L$9:$L$12</definedName>
    <definedName name="solver_lhs1" localSheetId="15" hidden="1">Accuracy_trafic_All!$L$9:$L$12</definedName>
    <definedName name="solver_lhs1" localSheetId="12" hidden="1">'Accuracy_trafic_All (New)'!$L$9:$L$12</definedName>
    <definedName name="solver_lhs1" localSheetId="14" hidden="1">'Accuracy_trafic_TC&gt;0,9'!$L$9:$L$12</definedName>
    <definedName name="solver_lhs1" localSheetId="5" hidden="1">'COST 323'!$L$13:$L$16</definedName>
    <definedName name="solver_lhs1" localSheetId="8" hidden="1">'COST 323 (2)'!$L$13:$L$16</definedName>
    <definedName name="solver_lin" localSheetId="16" hidden="1">2</definedName>
    <definedName name="solver_lin" localSheetId="15" hidden="1">2</definedName>
    <definedName name="solver_lin" localSheetId="12" hidden="1">2</definedName>
    <definedName name="solver_lin" localSheetId="14" hidden="1">2</definedName>
    <definedName name="solver_lin" localSheetId="5" hidden="1">2</definedName>
    <definedName name="solver_lin" localSheetId="8" hidden="1">2</definedName>
    <definedName name="solver_mip" localSheetId="15" hidden="1">2147483647</definedName>
    <definedName name="solver_mip" localSheetId="12" hidden="1">2147483647</definedName>
    <definedName name="solver_mip" localSheetId="14" hidden="1">2147483647</definedName>
    <definedName name="solver_mip" localSheetId="5" hidden="1">2147483647</definedName>
    <definedName name="solver_mip" localSheetId="8" hidden="1">2147483647</definedName>
    <definedName name="solver_mni" localSheetId="15" hidden="1">30</definedName>
    <definedName name="solver_mni" localSheetId="12" hidden="1">30</definedName>
    <definedName name="solver_mni" localSheetId="14" hidden="1">30</definedName>
    <definedName name="solver_mni" localSheetId="5" hidden="1">30</definedName>
    <definedName name="solver_mni" localSheetId="8" hidden="1">30</definedName>
    <definedName name="solver_mrt" localSheetId="15" hidden="1">0.075</definedName>
    <definedName name="solver_mrt" localSheetId="12" hidden="1">0.075</definedName>
    <definedName name="solver_mrt" localSheetId="14" hidden="1">0.075</definedName>
    <definedName name="solver_mrt" localSheetId="5" hidden="1">0.075</definedName>
    <definedName name="solver_mrt" localSheetId="8" hidden="1">0.075</definedName>
    <definedName name="solver_msl" localSheetId="15" hidden="1">2</definedName>
    <definedName name="solver_msl" localSheetId="12" hidden="1">2</definedName>
    <definedName name="solver_msl" localSheetId="14" hidden="1">2</definedName>
    <definedName name="solver_msl" localSheetId="5" hidden="1">2</definedName>
    <definedName name="solver_msl" localSheetId="8" hidden="1">2</definedName>
    <definedName name="solver_neg" localSheetId="16" hidden="1">2</definedName>
    <definedName name="solver_neg" localSheetId="15" hidden="1">2</definedName>
    <definedName name="solver_neg" localSheetId="12" hidden="1">2</definedName>
    <definedName name="solver_neg" localSheetId="14" hidden="1">2</definedName>
    <definedName name="solver_neg" localSheetId="5" hidden="1">2</definedName>
    <definedName name="solver_neg" localSheetId="8" hidden="1">2</definedName>
    <definedName name="solver_nod" localSheetId="15" hidden="1">2147483647</definedName>
    <definedName name="solver_nod" localSheetId="12" hidden="1">2147483647</definedName>
    <definedName name="solver_nod" localSheetId="14" hidden="1">2147483647</definedName>
    <definedName name="solver_nod" localSheetId="5" hidden="1">2147483647</definedName>
    <definedName name="solver_nod" localSheetId="8" hidden="1">2147483647</definedName>
    <definedName name="solver_num" localSheetId="16" hidden="1">1</definedName>
    <definedName name="solver_num" localSheetId="15" hidden="1">1</definedName>
    <definedName name="solver_num" localSheetId="12" hidden="1">1</definedName>
    <definedName name="solver_num" localSheetId="14" hidden="1">1</definedName>
    <definedName name="solver_num" localSheetId="5" hidden="1">1</definedName>
    <definedName name="solver_num" localSheetId="8" hidden="1">1</definedName>
    <definedName name="solver_nwt" localSheetId="16" hidden="1">1</definedName>
    <definedName name="solver_nwt" localSheetId="15" hidden="1">1</definedName>
    <definedName name="solver_nwt" localSheetId="12" hidden="1">1</definedName>
    <definedName name="solver_nwt" localSheetId="14" hidden="1">1</definedName>
    <definedName name="solver_nwt" localSheetId="5" hidden="1">1</definedName>
    <definedName name="solver_nwt" localSheetId="8" hidden="1">1</definedName>
    <definedName name="solver_opt" localSheetId="16" hidden="1">Accuracy_calibration!$I$9</definedName>
    <definedName name="solver_opt" localSheetId="15" hidden="1">Accuracy_trafic_All!$I$9</definedName>
    <definedName name="solver_opt" localSheetId="12" hidden="1">'Accuracy_trafic_All (New)'!$I$9</definedName>
    <definedName name="solver_opt" localSheetId="14" hidden="1">'Accuracy_trafic_TC&gt;0,9'!$I$9</definedName>
    <definedName name="solver_opt" localSheetId="5" hidden="1">'COST 323'!$I$13</definedName>
    <definedName name="solver_opt" localSheetId="8" hidden="1">'COST 323 (2)'!$I$13</definedName>
    <definedName name="solver_pre" localSheetId="16" hidden="1">0.000001</definedName>
    <definedName name="solver_pre" localSheetId="15" hidden="1">0.000001</definedName>
    <definedName name="solver_pre" localSheetId="12" hidden="1">0.000001</definedName>
    <definedName name="solver_pre" localSheetId="14" hidden="1">0.000001</definedName>
    <definedName name="solver_pre" localSheetId="5" hidden="1">0.000001</definedName>
    <definedName name="solver_pre" localSheetId="8" hidden="1">0.000001</definedName>
    <definedName name="solver_rbv" localSheetId="15" hidden="1">1</definedName>
    <definedName name="solver_rbv" localSheetId="12" hidden="1">1</definedName>
    <definedName name="solver_rbv" localSheetId="14" hidden="1">1</definedName>
    <definedName name="solver_rbv" localSheetId="5" hidden="1">1</definedName>
    <definedName name="solver_rbv" localSheetId="8" hidden="1">1</definedName>
    <definedName name="solver_rel1" localSheetId="16" hidden="1">2</definedName>
    <definedName name="solver_rel1" localSheetId="15" hidden="1">2</definedName>
    <definedName name="solver_rel1" localSheetId="12" hidden="1">2</definedName>
    <definedName name="solver_rel1" localSheetId="14" hidden="1">2</definedName>
    <definedName name="solver_rel1" localSheetId="5" hidden="1">2</definedName>
    <definedName name="solver_rel1" localSheetId="8" hidden="1">2</definedName>
    <definedName name="solver_rhs1" localSheetId="16" hidden="1">Accuracy_calibration!$F$9:$F$12</definedName>
    <definedName name="solver_rhs1" localSheetId="15" hidden="1">Accuracy_trafic_All!$F$9:$F$12</definedName>
    <definedName name="solver_rhs1" localSheetId="12" hidden="1">'Accuracy_trafic_All (New)'!$F$9:$F$12</definedName>
    <definedName name="solver_rhs1" localSheetId="14" hidden="1">'Accuracy_trafic_TC&gt;0,9'!$F$9:$F$12</definedName>
    <definedName name="solver_rhs1" localSheetId="5" hidden="1">'COST 323'!$F$13:$F$16</definedName>
    <definedName name="solver_rhs1" localSheetId="8" hidden="1">'COST 323 (2)'!$F$13:$F$16</definedName>
    <definedName name="solver_rlx" localSheetId="15" hidden="1">1</definedName>
    <definedName name="solver_rlx" localSheetId="12" hidden="1">1</definedName>
    <definedName name="solver_rlx" localSheetId="14" hidden="1">1</definedName>
    <definedName name="solver_rlx" localSheetId="5" hidden="1">1</definedName>
    <definedName name="solver_rlx" localSheetId="8" hidden="1">1</definedName>
    <definedName name="solver_rsd" localSheetId="15" hidden="1">0</definedName>
    <definedName name="solver_rsd" localSheetId="12" hidden="1">0</definedName>
    <definedName name="solver_rsd" localSheetId="14" hidden="1">0</definedName>
    <definedName name="solver_rsd" localSheetId="5" hidden="1">0</definedName>
    <definedName name="solver_rsd" localSheetId="8" hidden="1">0</definedName>
    <definedName name="solver_scl" localSheetId="16" hidden="1">2</definedName>
    <definedName name="solver_scl" localSheetId="15" hidden="1">2</definedName>
    <definedName name="solver_scl" localSheetId="12" hidden="1">2</definedName>
    <definedName name="solver_scl" localSheetId="14" hidden="1">2</definedName>
    <definedName name="solver_scl" localSheetId="5" hidden="1">2</definedName>
    <definedName name="solver_scl" localSheetId="8" hidden="1">2</definedName>
    <definedName name="solver_sho" localSheetId="16" hidden="1">2</definedName>
    <definedName name="solver_sho" localSheetId="15" hidden="1">2</definedName>
    <definedName name="solver_sho" localSheetId="12" hidden="1">2</definedName>
    <definedName name="solver_sho" localSheetId="14" hidden="1">2</definedName>
    <definedName name="solver_sho" localSheetId="5" hidden="1">2</definedName>
    <definedName name="solver_sho" localSheetId="8" hidden="1">2</definedName>
    <definedName name="solver_ssz" localSheetId="15" hidden="1">100</definedName>
    <definedName name="solver_ssz" localSheetId="12" hidden="1">100</definedName>
    <definedName name="solver_ssz" localSheetId="14" hidden="1">100</definedName>
    <definedName name="solver_ssz" localSheetId="5" hidden="1">100</definedName>
    <definedName name="solver_ssz" localSheetId="8" hidden="1">100</definedName>
    <definedName name="solver_tim" localSheetId="16" hidden="1">100</definedName>
    <definedName name="solver_tim" localSheetId="15" hidden="1">100</definedName>
    <definedName name="solver_tim" localSheetId="12" hidden="1">100</definedName>
    <definedName name="solver_tim" localSheetId="14" hidden="1">100</definedName>
    <definedName name="solver_tim" localSheetId="5" hidden="1">100</definedName>
    <definedName name="solver_tim" localSheetId="8" hidden="1">100</definedName>
    <definedName name="solver_tol" localSheetId="16" hidden="1">0.05</definedName>
    <definedName name="solver_tol" localSheetId="15" hidden="1">0.05</definedName>
    <definedName name="solver_tol" localSheetId="12" hidden="1">5</definedName>
    <definedName name="solver_tol" localSheetId="14" hidden="1">0.05</definedName>
    <definedName name="solver_tol" localSheetId="5" hidden="1">2</definedName>
    <definedName name="solver_tol" localSheetId="8" hidden="1">2</definedName>
    <definedName name="solver_typ" localSheetId="16" hidden="1">2</definedName>
    <definedName name="solver_typ" localSheetId="15" hidden="1">2</definedName>
    <definedName name="solver_typ" localSheetId="12" hidden="1">2</definedName>
    <definedName name="solver_typ" localSheetId="14" hidden="1">2</definedName>
    <definedName name="solver_typ" localSheetId="5" hidden="1">2</definedName>
    <definedName name="solver_typ" localSheetId="8" hidden="1">2</definedName>
    <definedName name="solver_val" localSheetId="16" hidden="1">0</definedName>
    <definedName name="solver_val" localSheetId="15" hidden="1">0</definedName>
    <definedName name="solver_val" localSheetId="12" hidden="1">0</definedName>
    <definedName name="solver_val" localSheetId="14" hidden="1">0</definedName>
    <definedName name="solver_val" localSheetId="5" hidden="1">0</definedName>
    <definedName name="solver_val" localSheetId="8" hidden="1">0</definedName>
    <definedName name="solver_ver" localSheetId="15" hidden="1">3</definedName>
    <definedName name="solver_ver" localSheetId="12" hidden="1">3</definedName>
    <definedName name="solver_ver" localSheetId="14" hidden="1">3</definedName>
    <definedName name="solver_ver" localSheetId="5" hidden="1">3</definedName>
    <definedName name="solver_ver" localSheetId="8" hidden="1">3</definedName>
    <definedName name="TestConditions" localSheetId="8">'COST 323 (2)'!$B$42:$B$45</definedName>
    <definedName name="TestConditions">'COST 323'!$B$42:$B$45</definedName>
    <definedName name="TolerancePoids_E">20%</definedName>
    <definedName name="TolerancePoids_ESG">25%</definedName>
    <definedName name="TolerancePoids_GE">18%</definedName>
    <definedName name="TolerancePoids_PT">15%</definedName>
    <definedName name="Trend">[1]Data!$H$24:$H$27</definedName>
    <definedName name="Upostevaj" localSheetId="5">#REF!</definedName>
    <definedName name="Upostevaj" localSheetId="8">#REF!</definedName>
    <definedName name="Upostevaj" localSheetId="3">#REF!</definedName>
    <definedName name="Upostevaj" localSheetId="10">#REF!</definedName>
    <definedName name="Upostevaj" localSheetId="1">#REF!</definedName>
    <definedName name="Upostevaj" localSheetId="4">#REF!</definedName>
    <definedName name="Upostevaj" localSheetId="7">#REF!</definedName>
    <definedName name="Upostevaj" localSheetId="6">#REF!</definedName>
    <definedName name="Upostevaj">#REF!</definedName>
    <definedName name="YesNo" localSheetId="7">'Site_PLtraf_new_2 (2)'!$CI$4:$CI$5</definedName>
    <definedName name="YesNo">Site_PLtraf_new_2!$CI$4:$CI$5</definedName>
    <definedName name="_xlnm.Print_Area" localSheetId="5">'COST 323'!$A$1:$O$48</definedName>
    <definedName name="_xlnm.Print_Area" localSheetId="8">'COST 323 (2)'!$A$1:$O$48</definedName>
  </definedNames>
  <calcPr calcId="162913"/>
</workbook>
</file>

<file path=xl/calcChain.xml><?xml version="1.0" encoding="utf-8"?>
<calcChain xmlns="http://schemas.openxmlformats.org/spreadsheetml/2006/main">
  <c r="D16" i="115" l="1"/>
  <c r="D15" i="115"/>
  <c r="D14" i="115"/>
  <c r="L17" i="122" l="1"/>
  <c r="J17" i="122"/>
  <c r="K17" i="122" s="1"/>
  <c r="J16" i="122"/>
  <c r="K16" i="122" s="1"/>
  <c r="A16" i="122"/>
  <c r="J15" i="122"/>
  <c r="K15" i="122" s="1"/>
  <c r="A15" i="122"/>
  <c r="K14" i="122"/>
  <c r="G14" i="122" s="1"/>
  <c r="J14" i="122"/>
  <c r="A14" i="122"/>
  <c r="J13" i="122"/>
  <c r="K13" i="122" s="1"/>
  <c r="A13" i="122"/>
  <c r="O12" i="122"/>
  <c r="G12" i="122"/>
  <c r="B12" i="122"/>
  <c r="A12" i="122"/>
  <c r="O11" i="122"/>
  <c r="G11" i="122"/>
  <c r="E11" i="122"/>
  <c r="D11" i="122"/>
  <c r="B11" i="122"/>
  <c r="A11" i="122"/>
  <c r="A9" i="122"/>
  <c r="C8" i="122"/>
  <c r="A8" i="122"/>
  <c r="C7" i="122"/>
  <c r="A7" i="122"/>
  <c r="A6" i="122"/>
  <c r="H5" i="122"/>
  <c r="A5" i="122"/>
  <c r="H4" i="122"/>
  <c r="A4" i="122"/>
  <c r="J2" i="122"/>
  <c r="I2" i="122"/>
  <c r="H2" i="122"/>
  <c r="G2" i="122"/>
  <c r="F2" i="122"/>
  <c r="E2" i="122"/>
  <c r="D2" i="122"/>
  <c r="C2" i="122"/>
  <c r="B2" i="122"/>
  <c r="A2" i="122"/>
  <c r="L1" i="122"/>
  <c r="G16" i="122" l="1"/>
  <c r="H16" i="122"/>
  <c r="O13" i="122"/>
  <c r="H13" i="122"/>
  <c r="H14" i="122"/>
  <c r="F17" i="122"/>
  <c r="H15" i="122"/>
  <c r="G15" i="122"/>
  <c r="H17" i="122"/>
  <c r="M17" i="122" s="1"/>
  <c r="G17" i="122"/>
  <c r="G13" i="122"/>
  <c r="C6" i="121"/>
  <c r="BH33" i="121"/>
  <c r="BG33" i="121"/>
  <c r="BF33" i="121"/>
  <c r="BE33" i="121"/>
  <c r="BD33" i="121"/>
  <c r="BC33" i="121"/>
  <c r="BB33" i="121"/>
  <c r="BA33" i="121"/>
  <c r="AZ33" i="121"/>
  <c r="AK33" i="121"/>
  <c r="W33" i="121"/>
  <c r="U33" i="121"/>
  <c r="T33" i="121"/>
  <c r="S33" i="121"/>
  <c r="R33" i="121"/>
  <c r="Q33" i="121"/>
  <c r="P33" i="121"/>
  <c r="O33" i="121"/>
  <c r="N33" i="121"/>
  <c r="M33" i="121"/>
  <c r="J33" i="121"/>
  <c r="BH32" i="121"/>
  <c r="BG32" i="121"/>
  <c r="BF32" i="121"/>
  <c r="BE32" i="121"/>
  <c r="BD32" i="121"/>
  <c r="BC32" i="121"/>
  <c r="BB32" i="121"/>
  <c r="BA32" i="121"/>
  <c r="AZ32" i="121"/>
  <c r="AK32" i="121"/>
  <c r="W32" i="121"/>
  <c r="U32" i="121"/>
  <c r="T32" i="121"/>
  <c r="S32" i="121"/>
  <c r="R32" i="121"/>
  <c r="Q32" i="121"/>
  <c r="P32" i="121"/>
  <c r="O32" i="121"/>
  <c r="N32" i="121"/>
  <c r="M32" i="121"/>
  <c r="J32" i="121"/>
  <c r="BH31" i="121"/>
  <c r="BG31" i="121"/>
  <c r="BF31" i="121"/>
  <c r="BE31" i="121"/>
  <c r="BD31" i="121"/>
  <c r="BC31" i="121"/>
  <c r="BB31" i="121"/>
  <c r="BA31" i="121"/>
  <c r="AZ31" i="121"/>
  <c r="AK31" i="121"/>
  <c r="W31" i="121"/>
  <c r="U31" i="121"/>
  <c r="T31" i="121"/>
  <c r="S31" i="121"/>
  <c r="R31" i="121"/>
  <c r="Q31" i="121"/>
  <c r="P31" i="121"/>
  <c r="O31" i="121"/>
  <c r="N31" i="121"/>
  <c r="M31" i="121"/>
  <c r="J31" i="121"/>
  <c r="BH30" i="121"/>
  <c r="BG30" i="121"/>
  <c r="BF30" i="121"/>
  <c r="BE30" i="121"/>
  <c r="BD30" i="121"/>
  <c r="BC30" i="121"/>
  <c r="BB30" i="121"/>
  <c r="BA30" i="121"/>
  <c r="AZ30" i="121"/>
  <c r="AK30" i="121"/>
  <c r="W30" i="121"/>
  <c r="U30" i="121"/>
  <c r="T30" i="121"/>
  <c r="S30" i="121"/>
  <c r="R30" i="121"/>
  <c r="Q30" i="121"/>
  <c r="P30" i="121"/>
  <c r="O30" i="121"/>
  <c r="N30" i="121"/>
  <c r="M30" i="121"/>
  <c r="J30" i="121"/>
  <c r="BH29" i="121"/>
  <c r="BG29" i="121"/>
  <c r="BF29" i="121"/>
  <c r="BE29" i="121"/>
  <c r="BD29" i="121"/>
  <c r="BC29" i="121"/>
  <c r="BB29" i="121"/>
  <c r="BA29" i="121"/>
  <c r="AZ29" i="121"/>
  <c r="AK29" i="121"/>
  <c r="W29" i="121"/>
  <c r="U29" i="121"/>
  <c r="T29" i="121"/>
  <c r="S29" i="121"/>
  <c r="R29" i="121"/>
  <c r="Q29" i="121"/>
  <c r="P29" i="121"/>
  <c r="O29" i="121"/>
  <c r="N29" i="121"/>
  <c r="M29" i="121"/>
  <c r="J29" i="121"/>
  <c r="BH28" i="121"/>
  <c r="BG28" i="121"/>
  <c r="BF28" i="121"/>
  <c r="BE28" i="121"/>
  <c r="BD28" i="121"/>
  <c r="BC28" i="121"/>
  <c r="BB28" i="121"/>
  <c r="BA28" i="121"/>
  <c r="AZ28" i="121"/>
  <c r="AK28" i="121"/>
  <c r="W28" i="121"/>
  <c r="U28" i="121"/>
  <c r="T28" i="121"/>
  <c r="S28" i="121"/>
  <c r="R28" i="121"/>
  <c r="Q28" i="121"/>
  <c r="P28" i="121"/>
  <c r="O28" i="121"/>
  <c r="N28" i="121"/>
  <c r="M28" i="121"/>
  <c r="J28" i="121"/>
  <c r="BH27" i="121"/>
  <c r="BG27" i="121"/>
  <c r="BF27" i="121"/>
  <c r="BE27" i="121"/>
  <c r="BD27" i="121"/>
  <c r="BC27" i="121"/>
  <c r="BB27" i="121"/>
  <c r="BA27" i="121"/>
  <c r="AZ27" i="121"/>
  <c r="AK27" i="121"/>
  <c r="W27" i="121"/>
  <c r="U27" i="121"/>
  <c r="T27" i="121"/>
  <c r="S27" i="121"/>
  <c r="R27" i="121"/>
  <c r="Q27" i="121"/>
  <c r="P27" i="121"/>
  <c r="O27" i="121"/>
  <c r="N27" i="121"/>
  <c r="M27" i="121"/>
  <c r="J27" i="121"/>
  <c r="BH26" i="121"/>
  <c r="BG26" i="121"/>
  <c r="BF26" i="121"/>
  <c r="BE26" i="121"/>
  <c r="BD26" i="121"/>
  <c r="BC26" i="121"/>
  <c r="BB26" i="121"/>
  <c r="BA26" i="121"/>
  <c r="AZ26" i="121"/>
  <c r="AK26" i="121"/>
  <c r="W26" i="121"/>
  <c r="U26" i="121"/>
  <c r="T26" i="121"/>
  <c r="S26" i="121"/>
  <c r="R26" i="121"/>
  <c r="Q26" i="121"/>
  <c r="P26" i="121"/>
  <c r="O26" i="121"/>
  <c r="N26" i="121"/>
  <c r="M26" i="121"/>
  <c r="J26" i="121"/>
  <c r="BH25" i="121"/>
  <c r="BG25" i="121"/>
  <c r="BF25" i="121"/>
  <c r="BE25" i="121"/>
  <c r="BD25" i="121"/>
  <c r="BC25" i="121"/>
  <c r="BB25" i="121"/>
  <c r="BA25" i="121"/>
  <c r="AZ25" i="121"/>
  <c r="AK25" i="121"/>
  <c r="W25" i="121"/>
  <c r="U25" i="121"/>
  <c r="T25" i="121"/>
  <c r="S25" i="121"/>
  <c r="R25" i="121"/>
  <c r="Q25" i="121"/>
  <c r="P25" i="121"/>
  <c r="O25" i="121"/>
  <c r="N25" i="121"/>
  <c r="M25" i="121"/>
  <c r="J25" i="121"/>
  <c r="BH24" i="121"/>
  <c r="BG24" i="121"/>
  <c r="BF24" i="121"/>
  <c r="BE24" i="121"/>
  <c r="BD24" i="121"/>
  <c r="BC24" i="121"/>
  <c r="BB24" i="121"/>
  <c r="BA24" i="121"/>
  <c r="AZ24" i="121"/>
  <c r="AK24" i="121"/>
  <c r="W24" i="121"/>
  <c r="U24" i="121"/>
  <c r="T24" i="121"/>
  <c r="S24" i="121"/>
  <c r="R24" i="121"/>
  <c r="Q24" i="121"/>
  <c r="P24" i="121"/>
  <c r="O24" i="121"/>
  <c r="N24" i="121"/>
  <c r="M24" i="121"/>
  <c r="J24" i="121"/>
  <c r="BH23" i="121"/>
  <c r="BG23" i="121"/>
  <c r="BF23" i="121"/>
  <c r="BE23" i="121"/>
  <c r="BD23" i="121"/>
  <c r="BC23" i="121"/>
  <c r="BB23" i="121"/>
  <c r="BA23" i="121"/>
  <c r="AZ23" i="121"/>
  <c r="AK23" i="121"/>
  <c r="W23" i="121"/>
  <c r="U23" i="121"/>
  <c r="T23" i="121"/>
  <c r="S23" i="121"/>
  <c r="R23" i="121"/>
  <c r="Q23" i="121"/>
  <c r="P23" i="121"/>
  <c r="O23" i="121"/>
  <c r="N23" i="121"/>
  <c r="M23" i="121"/>
  <c r="J23" i="121"/>
  <c r="BH22" i="121"/>
  <c r="BG22" i="121"/>
  <c r="BF22" i="121"/>
  <c r="BE22" i="121"/>
  <c r="BD22" i="121"/>
  <c r="BC22" i="121"/>
  <c r="BB22" i="121"/>
  <c r="BA22" i="121"/>
  <c r="AZ22" i="121"/>
  <c r="AK22" i="121"/>
  <c r="W22" i="121"/>
  <c r="U22" i="121"/>
  <c r="T22" i="121"/>
  <c r="S22" i="121"/>
  <c r="R22" i="121"/>
  <c r="Q22" i="121"/>
  <c r="P22" i="121"/>
  <c r="O22" i="121"/>
  <c r="N22" i="121"/>
  <c r="M22" i="121"/>
  <c r="J22" i="121"/>
  <c r="BH21" i="121"/>
  <c r="BG21" i="121"/>
  <c r="BF21" i="121"/>
  <c r="BE21" i="121"/>
  <c r="BD21" i="121"/>
  <c r="BC21" i="121"/>
  <c r="BB21" i="121"/>
  <c r="BA21" i="121"/>
  <c r="AZ21" i="121"/>
  <c r="AK21" i="121"/>
  <c r="W21" i="121"/>
  <c r="U21" i="121"/>
  <c r="T21" i="121"/>
  <c r="S21" i="121"/>
  <c r="R21" i="121"/>
  <c r="Q21" i="121"/>
  <c r="P21" i="121"/>
  <c r="O21" i="121"/>
  <c r="N21" i="121"/>
  <c r="M21" i="121"/>
  <c r="J21" i="121"/>
  <c r="BH20" i="121"/>
  <c r="BG20" i="121"/>
  <c r="BF20" i="121"/>
  <c r="BE20" i="121"/>
  <c r="BD20" i="121"/>
  <c r="BC20" i="121"/>
  <c r="BB20" i="121"/>
  <c r="BA20" i="121"/>
  <c r="AZ20" i="121"/>
  <c r="AK20" i="121"/>
  <c r="W20" i="121"/>
  <c r="U20" i="121"/>
  <c r="T20" i="121"/>
  <c r="S20" i="121"/>
  <c r="R20" i="121"/>
  <c r="Q20" i="121"/>
  <c r="P20" i="121"/>
  <c r="O20" i="121"/>
  <c r="N20" i="121"/>
  <c r="M20" i="121"/>
  <c r="J20" i="121"/>
  <c r="BH19" i="121"/>
  <c r="BG19" i="121"/>
  <c r="BF19" i="121"/>
  <c r="BE19" i="121"/>
  <c r="BD19" i="121"/>
  <c r="BC19" i="121"/>
  <c r="BB19" i="121"/>
  <c r="BA19" i="121"/>
  <c r="AZ19" i="121"/>
  <c r="AK19" i="121"/>
  <c r="W19" i="121"/>
  <c r="U19" i="121"/>
  <c r="T19" i="121"/>
  <c r="S19" i="121"/>
  <c r="R19" i="121"/>
  <c r="Q19" i="121"/>
  <c r="P19" i="121"/>
  <c r="O19" i="121"/>
  <c r="N19" i="121"/>
  <c r="M19" i="121"/>
  <c r="J19" i="121"/>
  <c r="BH18" i="121"/>
  <c r="BG18" i="121"/>
  <c r="BF18" i="121"/>
  <c r="BE18" i="121"/>
  <c r="BD18" i="121"/>
  <c r="BC18" i="121"/>
  <c r="BB18" i="121"/>
  <c r="BA18" i="121"/>
  <c r="AZ18" i="121"/>
  <c r="AK18" i="121"/>
  <c r="W18" i="121"/>
  <c r="U18" i="121"/>
  <c r="T18" i="121"/>
  <c r="S18" i="121"/>
  <c r="R18" i="121"/>
  <c r="Q18" i="121"/>
  <c r="P18" i="121"/>
  <c r="O18" i="121"/>
  <c r="N18" i="121"/>
  <c r="M18" i="121"/>
  <c r="J18" i="121"/>
  <c r="BH17" i="121"/>
  <c r="BG17" i="121"/>
  <c r="BF17" i="121"/>
  <c r="BE17" i="121"/>
  <c r="BD17" i="121"/>
  <c r="BC17" i="121"/>
  <c r="BB17" i="121"/>
  <c r="BA17" i="121"/>
  <c r="AZ17" i="121"/>
  <c r="AK17" i="121"/>
  <c r="W17" i="121"/>
  <c r="U17" i="121"/>
  <c r="T17" i="121"/>
  <c r="S17" i="121"/>
  <c r="R17" i="121"/>
  <c r="Q17" i="121"/>
  <c r="P17" i="121"/>
  <c r="O17" i="121"/>
  <c r="N17" i="121"/>
  <c r="M17" i="121"/>
  <c r="J17" i="121"/>
  <c r="BH16" i="121"/>
  <c r="BG16" i="121"/>
  <c r="BF16" i="121"/>
  <c r="BE16" i="121"/>
  <c r="BD16" i="121"/>
  <c r="BC16" i="121"/>
  <c r="BB16" i="121"/>
  <c r="BA16" i="121"/>
  <c r="AZ16" i="121"/>
  <c r="AK16" i="121"/>
  <c r="W16" i="121"/>
  <c r="U16" i="121"/>
  <c r="T16" i="121"/>
  <c r="S16" i="121"/>
  <c r="R16" i="121"/>
  <c r="Q16" i="121"/>
  <c r="P16" i="121"/>
  <c r="O16" i="121"/>
  <c r="N16" i="121"/>
  <c r="M16" i="121"/>
  <c r="J16" i="121"/>
  <c r="BH15" i="121"/>
  <c r="BG15" i="121"/>
  <c r="BF15" i="121"/>
  <c r="BE15" i="121"/>
  <c r="BD15" i="121"/>
  <c r="BC15" i="121"/>
  <c r="BB15" i="121"/>
  <c r="BA15" i="121"/>
  <c r="AZ15" i="121"/>
  <c r="AK15" i="121"/>
  <c r="W15" i="121"/>
  <c r="U15" i="121"/>
  <c r="T15" i="121"/>
  <c r="S15" i="121"/>
  <c r="R15" i="121"/>
  <c r="Q15" i="121"/>
  <c r="P15" i="121"/>
  <c r="O15" i="121"/>
  <c r="N15" i="121"/>
  <c r="M15" i="121"/>
  <c r="J15" i="121"/>
  <c r="BH14" i="121"/>
  <c r="BG14" i="121"/>
  <c r="BF14" i="121"/>
  <c r="BE14" i="121"/>
  <c r="BD14" i="121"/>
  <c r="BC14" i="121"/>
  <c r="BB14" i="121"/>
  <c r="BA14" i="121"/>
  <c r="AZ14" i="121"/>
  <c r="AK14" i="121"/>
  <c r="W14" i="121"/>
  <c r="U14" i="121"/>
  <c r="T14" i="121"/>
  <c r="S14" i="121"/>
  <c r="R14" i="121"/>
  <c r="Q14" i="121"/>
  <c r="P14" i="121"/>
  <c r="O14" i="121"/>
  <c r="N14" i="121"/>
  <c r="M14" i="121"/>
  <c r="J14" i="121"/>
  <c r="BH13" i="121"/>
  <c r="BG13" i="121"/>
  <c r="BF13" i="121"/>
  <c r="BE13" i="121"/>
  <c r="BD13" i="121"/>
  <c r="BC13" i="121"/>
  <c r="BB13" i="121"/>
  <c r="BA13" i="121"/>
  <c r="AZ13" i="121"/>
  <c r="AK13" i="121"/>
  <c r="W13" i="121"/>
  <c r="U13" i="121"/>
  <c r="T13" i="121"/>
  <c r="S13" i="121"/>
  <c r="R13" i="121"/>
  <c r="Q13" i="121"/>
  <c r="P13" i="121"/>
  <c r="O13" i="121"/>
  <c r="N13" i="121"/>
  <c r="M13" i="121"/>
  <c r="J13" i="121"/>
  <c r="BH12" i="121"/>
  <c r="BG12" i="121"/>
  <c r="BF12" i="121"/>
  <c r="BE12" i="121"/>
  <c r="BD12" i="121"/>
  <c r="BC12" i="121"/>
  <c r="BB12" i="121"/>
  <c r="BA12" i="121"/>
  <c r="AZ12" i="121"/>
  <c r="AK12" i="121"/>
  <c r="W12" i="121"/>
  <c r="U12" i="121"/>
  <c r="T12" i="121"/>
  <c r="S12" i="121"/>
  <c r="R12" i="121"/>
  <c r="Q12" i="121"/>
  <c r="P12" i="121"/>
  <c r="O12" i="121"/>
  <c r="N12" i="121"/>
  <c r="M12" i="121"/>
  <c r="J12" i="121"/>
  <c r="AI6" i="121"/>
  <c r="AY5" i="121"/>
  <c r="AH5" i="121"/>
  <c r="L21" i="121" l="1"/>
  <c r="L30" i="121"/>
  <c r="L14" i="121"/>
  <c r="L17" i="121"/>
  <c r="AY19" i="121"/>
  <c r="AW20" i="121"/>
  <c r="AY20" i="121"/>
  <c r="AX21" i="121"/>
  <c r="AW12" i="121"/>
  <c r="AY12" i="121"/>
  <c r="AW13" i="121"/>
  <c r="AY13" i="121"/>
  <c r="AX14" i="121"/>
  <c r="L25" i="121"/>
  <c r="AY27" i="121"/>
  <c r="AU28" i="121"/>
  <c r="AY28" i="121"/>
  <c r="AU29" i="121"/>
  <c r="AY29" i="121"/>
  <c r="AJ5" i="121"/>
  <c r="AZ5" i="121"/>
  <c r="BA6" i="121"/>
  <c r="AW15" i="121"/>
  <c r="AY15" i="121"/>
  <c r="AW16" i="121"/>
  <c r="AY16" i="121"/>
  <c r="AX17" i="121"/>
  <c r="AW23" i="121"/>
  <c r="AY23" i="121"/>
  <c r="AW24" i="121"/>
  <c r="AY24" i="121"/>
  <c r="AX25" i="121"/>
  <c r="AY32" i="121"/>
  <c r="AU33" i="121"/>
  <c r="AY33" i="121"/>
  <c r="AW19" i="121"/>
  <c r="AU30" i="121"/>
  <c r="AI5" i="121"/>
  <c r="BA5" i="121"/>
  <c r="AZ6" i="121"/>
  <c r="AZ7" i="121" a="1"/>
  <c r="AZ7" i="121" s="1"/>
  <c r="L12" i="121"/>
  <c r="AX12" i="121"/>
  <c r="AW14" i="121"/>
  <c r="AY14" i="121"/>
  <c r="L15" i="121"/>
  <c r="AX15" i="121"/>
  <c r="AW17" i="121"/>
  <c r="AY17" i="121"/>
  <c r="AW18" i="121"/>
  <c r="AY18" i="121"/>
  <c r="L19" i="121"/>
  <c r="AX19" i="121"/>
  <c r="AW21" i="121"/>
  <c r="AY21" i="121"/>
  <c r="AW22" i="121"/>
  <c r="AY22" i="121"/>
  <c r="L23" i="121"/>
  <c r="AX23" i="121"/>
  <c r="AW25" i="121"/>
  <c r="AY25" i="121"/>
  <c r="AU26" i="121"/>
  <c r="AY26" i="121"/>
  <c r="L27" i="121"/>
  <c r="AU27" i="121"/>
  <c r="AY30" i="121"/>
  <c r="AU31" i="121"/>
  <c r="AY31" i="121"/>
  <c r="L32" i="121"/>
  <c r="AU32" i="121"/>
  <c r="BA7" i="121" a="1"/>
  <c r="BA7" i="121" s="1"/>
  <c r="AH12" i="121"/>
  <c r="AJ12" i="121"/>
  <c r="AU12" i="121"/>
  <c r="L13" i="121"/>
  <c r="AG13" i="121"/>
  <c r="AI13" i="121"/>
  <c r="AV13" i="121"/>
  <c r="AX13" i="121"/>
  <c r="AH14" i="121"/>
  <c r="AJ14" i="121"/>
  <c r="AU14" i="121"/>
  <c r="AH15" i="121"/>
  <c r="AJ15" i="121"/>
  <c r="AU15" i="121"/>
  <c r="L16" i="121"/>
  <c r="AG16" i="121"/>
  <c r="AI16" i="121"/>
  <c r="AV16" i="121"/>
  <c r="AX16" i="121"/>
  <c r="AH17" i="121"/>
  <c r="AJ17" i="121"/>
  <c r="AU17" i="121"/>
  <c r="L18" i="121"/>
  <c r="AG18" i="121"/>
  <c r="AI18" i="121"/>
  <c r="AV18" i="121"/>
  <c r="AX18" i="121"/>
  <c r="AH19" i="121"/>
  <c r="AJ19" i="121"/>
  <c r="AU19" i="121"/>
  <c r="L20" i="121"/>
  <c r="AG20" i="121"/>
  <c r="AI20" i="121"/>
  <c r="AV20" i="121"/>
  <c r="AX20" i="121"/>
  <c r="AH21" i="121"/>
  <c r="AJ21" i="121"/>
  <c r="AU21" i="121"/>
  <c r="L22" i="121"/>
  <c r="AG22" i="121"/>
  <c r="AI22" i="121"/>
  <c r="AV22" i="121"/>
  <c r="AX22" i="121"/>
  <c r="AH23" i="121"/>
  <c r="AJ23" i="121"/>
  <c r="AU23" i="121"/>
  <c r="L24" i="121"/>
  <c r="AG24" i="121"/>
  <c r="AI24" i="121"/>
  <c r="AV24" i="121"/>
  <c r="AX24" i="121"/>
  <c r="AH25" i="121"/>
  <c r="AJ25" i="121"/>
  <c r="AU25" i="121"/>
  <c r="L26" i="121"/>
  <c r="AG26" i="121"/>
  <c r="L28" i="121"/>
  <c r="AG28" i="121"/>
  <c r="L29" i="121"/>
  <c r="AG29" i="121"/>
  <c r="L31" i="121"/>
  <c r="AG31" i="121"/>
  <c r="BI31" i="121" s="1"/>
  <c r="L33" i="121"/>
  <c r="AG33" i="121"/>
  <c r="AG12" i="121"/>
  <c r="AI12" i="121"/>
  <c r="AV12" i="121"/>
  <c r="AH13" i="121"/>
  <c r="AJ13" i="121"/>
  <c r="AU13" i="121"/>
  <c r="AG14" i="121"/>
  <c r="BI14" i="121" s="1"/>
  <c r="AI14" i="121"/>
  <c r="AV14" i="121"/>
  <c r="AG15" i="121"/>
  <c r="BI15" i="121" s="1"/>
  <c r="AI15" i="121"/>
  <c r="AV15" i="121"/>
  <c r="AH16" i="121"/>
  <c r="AJ16" i="121"/>
  <c r="AU16" i="121"/>
  <c r="AG17" i="121"/>
  <c r="BI17" i="121" s="1"/>
  <c r="AI17" i="121"/>
  <c r="AV17" i="121"/>
  <c r="AH18" i="121"/>
  <c r="AJ18" i="121"/>
  <c r="AU18" i="121"/>
  <c r="AG19" i="121"/>
  <c r="BI19" i="121" s="1"/>
  <c r="AI19" i="121"/>
  <c r="AV19" i="121"/>
  <c r="AH20" i="121"/>
  <c r="AJ20" i="121"/>
  <c r="AU20" i="121"/>
  <c r="AG21" i="121"/>
  <c r="BI21" i="121" s="1"/>
  <c r="AI21" i="121"/>
  <c r="AV21" i="121"/>
  <c r="AH22" i="121"/>
  <c r="AJ22" i="121"/>
  <c r="AU22" i="121"/>
  <c r="AG23" i="121"/>
  <c r="BI23" i="121" s="1"/>
  <c r="AI23" i="121"/>
  <c r="AV23" i="121"/>
  <c r="AH24" i="121"/>
  <c r="AJ24" i="121"/>
  <c r="AU24" i="121"/>
  <c r="AG25" i="121"/>
  <c r="BI25" i="121" s="1"/>
  <c r="AI25" i="121"/>
  <c r="AV25" i="121"/>
  <c r="AG27" i="121"/>
  <c r="BI27" i="121" s="1"/>
  <c r="AG30" i="121"/>
  <c r="BI30" i="121" s="1"/>
  <c r="AG32" i="121"/>
  <c r="BI48" i="120"/>
  <c r="BH48" i="120"/>
  <c r="BG48" i="120"/>
  <c r="BF48" i="120"/>
  <c r="BE48" i="120"/>
  <c r="BD48" i="120"/>
  <c r="BC48" i="120"/>
  <c r="BB48" i="120"/>
  <c r="BA48" i="120"/>
  <c r="AZ48" i="120"/>
  <c r="AV48" i="120"/>
  <c r="AU48" i="120"/>
  <c r="AK48" i="120"/>
  <c r="AY48" i="120" s="1"/>
  <c r="AH48" i="120"/>
  <c r="AG48" i="120"/>
  <c r="W48" i="120"/>
  <c r="V48" i="120"/>
  <c r="BM47" i="120"/>
  <c r="BL47" i="120"/>
  <c r="AK47" i="120"/>
  <c r="W47" i="120"/>
  <c r="U47" i="120"/>
  <c r="T47" i="120"/>
  <c r="S47" i="120"/>
  <c r="R47" i="120"/>
  <c r="BI47" i="120" s="1"/>
  <c r="Q47" i="120"/>
  <c r="BD47" i="120" s="1"/>
  <c r="P47" i="120"/>
  <c r="BC47" i="120" s="1"/>
  <c r="O47" i="120"/>
  <c r="BB47" i="120" s="1"/>
  <c r="N47" i="120"/>
  <c r="M47" i="120"/>
  <c r="J47" i="120"/>
  <c r="BM46" i="120"/>
  <c r="BL46" i="120"/>
  <c r="AK46" i="120"/>
  <c r="W46" i="120"/>
  <c r="U46" i="120"/>
  <c r="T46" i="120"/>
  <c r="S46" i="120"/>
  <c r="R46" i="120"/>
  <c r="BI46" i="120" s="1"/>
  <c r="Q46" i="120"/>
  <c r="BD46" i="120" s="1"/>
  <c r="P46" i="120"/>
  <c r="BC46" i="120" s="1"/>
  <c r="O46" i="120"/>
  <c r="BB46" i="120" s="1"/>
  <c r="N46" i="120"/>
  <c r="M46" i="120"/>
  <c r="J46" i="120"/>
  <c r="BM45" i="120"/>
  <c r="BL45" i="120"/>
  <c r="AK45" i="120"/>
  <c r="Z45" i="120"/>
  <c r="Y45" i="120"/>
  <c r="U45" i="120"/>
  <c r="T45" i="120"/>
  <c r="S45" i="120"/>
  <c r="R45" i="120"/>
  <c r="BI45" i="120" s="1"/>
  <c r="Q45" i="120"/>
  <c r="P45" i="120"/>
  <c r="BC45" i="120" s="1"/>
  <c r="O45" i="120"/>
  <c r="N45" i="120"/>
  <c r="BA45" i="120" s="1"/>
  <c r="M45" i="120"/>
  <c r="J45" i="120"/>
  <c r="BM44" i="120"/>
  <c r="BL44" i="120"/>
  <c r="AK44" i="120"/>
  <c r="W44" i="120"/>
  <c r="L44" i="120" s="1"/>
  <c r="U44" i="120"/>
  <c r="T44" i="120"/>
  <c r="S44" i="120"/>
  <c r="R44" i="120"/>
  <c r="BI44" i="120" s="1"/>
  <c r="Q44" i="120"/>
  <c r="BH44" i="120" s="1"/>
  <c r="P44" i="120"/>
  <c r="O44" i="120"/>
  <c r="BF44" i="120" s="1"/>
  <c r="N44" i="120"/>
  <c r="M44" i="120"/>
  <c r="J44" i="120"/>
  <c r="BM43" i="120"/>
  <c r="BL43" i="120"/>
  <c r="AK43" i="120"/>
  <c r="W43" i="120"/>
  <c r="U43" i="120"/>
  <c r="T43" i="120"/>
  <c r="S43" i="120"/>
  <c r="R43" i="120"/>
  <c r="BI43" i="120" s="1"/>
  <c r="Q43" i="120"/>
  <c r="P43" i="120"/>
  <c r="BC43" i="120" s="1"/>
  <c r="O43" i="120"/>
  <c r="BB43" i="120" s="1"/>
  <c r="N43" i="120"/>
  <c r="BE43" i="120" s="1"/>
  <c r="M43" i="120"/>
  <c r="J43" i="120"/>
  <c r="BM42" i="120"/>
  <c r="BL42" i="120"/>
  <c r="AK42" i="120"/>
  <c r="Z42" i="120"/>
  <c r="Y42" i="120"/>
  <c r="U42" i="120"/>
  <c r="T42" i="120"/>
  <c r="S42" i="120"/>
  <c r="R42" i="120"/>
  <c r="BI42" i="120" s="1"/>
  <c r="Q42" i="120"/>
  <c r="BH42" i="120" s="1"/>
  <c r="P42" i="120"/>
  <c r="BC42" i="120" s="1"/>
  <c r="O42" i="120"/>
  <c r="BB42" i="120" s="1"/>
  <c r="N42" i="120"/>
  <c r="M42" i="120"/>
  <c r="J42" i="120"/>
  <c r="BM41" i="120"/>
  <c r="BL41" i="120"/>
  <c r="AK41" i="120"/>
  <c r="W41" i="120"/>
  <c r="U41" i="120"/>
  <c r="T41" i="120"/>
  <c r="S41" i="120"/>
  <c r="R41" i="120"/>
  <c r="BI41" i="120" s="1"/>
  <c r="Q41" i="120"/>
  <c r="BD41" i="120" s="1"/>
  <c r="P41" i="120"/>
  <c r="BC41" i="120" s="1"/>
  <c r="O41" i="120"/>
  <c r="N41" i="120"/>
  <c r="BE41" i="120" s="1"/>
  <c r="M41" i="120"/>
  <c r="J41" i="120"/>
  <c r="AK40" i="120"/>
  <c r="W40" i="120"/>
  <c r="U40" i="120"/>
  <c r="T40" i="120"/>
  <c r="S40" i="120"/>
  <c r="R40" i="120"/>
  <c r="BI40" i="120" s="1"/>
  <c r="Q40" i="120"/>
  <c r="BD40" i="120" s="1"/>
  <c r="P40" i="120"/>
  <c r="O40" i="120"/>
  <c r="BB40" i="120" s="1"/>
  <c r="N40" i="120"/>
  <c r="M40" i="120"/>
  <c r="J40" i="120"/>
  <c r="BE39" i="120"/>
  <c r="AK39" i="120"/>
  <c r="W39" i="120"/>
  <c r="U39" i="120"/>
  <c r="T39" i="120"/>
  <c r="S39" i="120"/>
  <c r="R39" i="120"/>
  <c r="BI39" i="120" s="1"/>
  <c r="Q39" i="120"/>
  <c r="P39" i="120"/>
  <c r="BC39" i="120" s="1"/>
  <c r="O39" i="120"/>
  <c r="BB39" i="120" s="1"/>
  <c r="N39" i="120"/>
  <c r="M39" i="120"/>
  <c r="J39" i="120"/>
  <c r="AK38" i="120"/>
  <c r="W38" i="120"/>
  <c r="U38" i="120"/>
  <c r="T38" i="120"/>
  <c r="S38" i="120"/>
  <c r="R38" i="120"/>
  <c r="BI38" i="120" s="1"/>
  <c r="Q38" i="120"/>
  <c r="BD38" i="120" s="1"/>
  <c r="P38" i="120"/>
  <c r="O38" i="120"/>
  <c r="BB38" i="120" s="1"/>
  <c r="N38" i="120"/>
  <c r="M38" i="120"/>
  <c r="J38" i="120"/>
  <c r="L38" i="120" s="1"/>
  <c r="BK37" i="120"/>
  <c r="BJ37" i="120"/>
  <c r="BE37" i="120"/>
  <c r="AZ37" i="120"/>
  <c r="AY37" i="120"/>
  <c r="AK37" i="120"/>
  <c r="W37" i="120"/>
  <c r="U37" i="120"/>
  <c r="T37" i="120"/>
  <c r="S37" i="120"/>
  <c r="R37" i="120"/>
  <c r="BI37" i="120" s="1"/>
  <c r="Q37" i="120"/>
  <c r="P37" i="120"/>
  <c r="BC37" i="120" s="1"/>
  <c r="O37" i="120"/>
  <c r="N37" i="120"/>
  <c r="M37" i="120"/>
  <c r="J37" i="120"/>
  <c r="AK36" i="120"/>
  <c r="W36" i="120"/>
  <c r="L36" i="120" s="1"/>
  <c r="U36" i="120"/>
  <c r="T36" i="120"/>
  <c r="S36" i="120"/>
  <c r="R36" i="120"/>
  <c r="BI36" i="120" s="1"/>
  <c r="Q36" i="120"/>
  <c r="BD36" i="120" s="1"/>
  <c r="P36" i="120"/>
  <c r="BC36" i="120" s="1"/>
  <c r="O36" i="120"/>
  <c r="BB36" i="120" s="1"/>
  <c r="N36" i="120"/>
  <c r="M36" i="120"/>
  <c r="J36" i="120"/>
  <c r="AK35" i="120"/>
  <c r="W35" i="120"/>
  <c r="U35" i="120"/>
  <c r="T35" i="120"/>
  <c r="S35" i="120"/>
  <c r="R35" i="120"/>
  <c r="BI35" i="120" s="1"/>
  <c r="Q35" i="120"/>
  <c r="P35" i="120"/>
  <c r="BC35" i="120" s="1"/>
  <c r="O35" i="120"/>
  <c r="N35" i="120"/>
  <c r="BE35" i="120" s="1"/>
  <c r="M35" i="120"/>
  <c r="J35" i="120"/>
  <c r="AK34" i="120"/>
  <c r="W34" i="120"/>
  <c r="U34" i="120"/>
  <c r="T34" i="120"/>
  <c r="S34" i="120"/>
  <c r="R34" i="120"/>
  <c r="BI34" i="120" s="1"/>
  <c r="Q34" i="120"/>
  <c r="BD34" i="120" s="1"/>
  <c r="P34" i="120"/>
  <c r="O34" i="120"/>
  <c r="BB34" i="120" s="1"/>
  <c r="N34" i="120"/>
  <c r="M34" i="120"/>
  <c r="J34" i="120"/>
  <c r="AK33" i="120"/>
  <c r="W33" i="120"/>
  <c r="U33" i="120"/>
  <c r="T33" i="120"/>
  <c r="S33" i="120"/>
  <c r="R33" i="120"/>
  <c r="BI33" i="120" s="1"/>
  <c r="Q33" i="120"/>
  <c r="BD33" i="120" s="1"/>
  <c r="P33" i="120"/>
  <c r="BG33" i="120" s="1"/>
  <c r="O33" i="120"/>
  <c r="N33" i="120"/>
  <c r="BE33" i="120" s="1"/>
  <c r="M33" i="120"/>
  <c r="J33" i="120"/>
  <c r="AK32" i="120"/>
  <c r="W32" i="120"/>
  <c r="U32" i="120"/>
  <c r="T32" i="120"/>
  <c r="S32" i="120"/>
  <c r="R32" i="120"/>
  <c r="BI32" i="120" s="1"/>
  <c r="Q32" i="120"/>
  <c r="BD32" i="120" s="1"/>
  <c r="P32" i="120"/>
  <c r="O32" i="120"/>
  <c r="BB32" i="120" s="1"/>
  <c r="N32" i="120"/>
  <c r="M32" i="120"/>
  <c r="J32" i="120"/>
  <c r="BE31" i="120"/>
  <c r="AK31" i="120"/>
  <c r="W31" i="120"/>
  <c r="U31" i="120"/>
  <c r="T31" i="120"/>
  <c r="S31" i="120"/>
  <c r="R31" i="120"/>
  <c r="BI31" i="120" s="1"/>
  <c r="Q31" i="120"/>
  <c r="P31" i="120"/>
  <c r="BC31" i="120" s="1"/>
  <c r="O31" i="120"/>
  <c r="BB31" i="120" s="1"/>
  <c r="N31" i="120"/>
  <c r="M31" i="120"/>
  <c r="J31" i="120"/>
  <c r="AK30" i="120"/>
  <c r="W30" i="120"/>
  <c r="U30" i="120"/>
  <c r="T30" i="120"/>
  <c r="S30" i="120"/>
  <c r="R30" i="120"/>
  <c r="BI30" i="120" s="1"/>
  <c r="Q30" i="120"/>
  <c r="BD30" i="120" s="1"/>
  <c r="P30" i="120"/>
  <c r="O30" i="120"/>
  <c r="BB30" i="120" s="1"/>
  <c r="N30" i="120"/>
  <c r="M30" i="120"/>
  <c r="J30" i="120"/>
  <c r="L30" i="120" s="1"/>
  <c r="AK29" i="120"/>
  <c r="W29" i="120"/>
  <c r="U29" i="120"/>
  <c r="T29" i="120"/>
  <c r="S29" i="120"/>
  <c r="R29" i="120"/>
  <c r="BI29" i="120" s="1"/>
  <c r="Q29" i="120"/>
  <c r="P29" i="120"/>
  <c r="BC29" i="120" s="1"/>
  <c r="O29" i="120"/>
  <c r="N29" i="120"/>
  <c r="BE29" i="120" s="1"/>
  <c r="M29" i="120"/>
  <c r="J29" i="120"/>
  <c r="BK28" i="120"/>
  <c r="BJ28" i="120"/>
  <c r="BE28" i="120"/>
  <c r="AZ28" i="120"/>
  <c r="AY28" i="120"/>
  <c r="AK28" i="120"/>
  <c r="W28" i="120"/>
  <c r="U28" i="120"/>
  <c r="T28" i="120"/>
  <c r="S28" i="120"/>
  <c r="R28" i="120"/>
  <c r="BI28" i="120" s="1"/>
  <c r="Q28" i="120"/>
  <c r="BD28" i="120" s="1"/>
  <c r="P28" i="120"/>
  <c r="BC28" i="120" s="1"/>
  <c r="O28" i="120"/>
  <c r="BB28" i="120" s="1"/>
  <c r="N28" i="120"/>
  <c r="M28" i="120"/>
  <c r="AJ28" i="120" s="1"/>
  <c r="BM28" i="120" s="1"/>
  <c r="J28" i="120"/>
  <c r="AK27" i="120"/>
  <c r="W27" i="120"/>
  <c r="U27" i="120"/>
  <c r="T27" i="120"/>
  <c r="S27" i="120"/>
  <c r="R27" i="120"/>
  <c r="BI27" i="120" s="1"/>
  <c r="Q27" i="120"/>
  <c r="P27" i="120"/>
  <c r="BC27" i="120" s="1"/>
  <c r="O27" i="120"/>
  <c r="N27" i="120"/>
  <c r="BE27" i="120" s="1"/>
  <c r="M27" i="120"/>
  <c r="J27" i="120"/>
  <c r="BK26" i="120"/>
  <c r="BJ26" i="120"/>
  <c r="BE26" i="120"/>
  <c r="AZ26" i="120"/>
  <c r="AY26" i="120"/>
  <c r="AK26" i="120"/>
  <c r="W26" i="120"/>
  <c r="U26" i="120"/>
  <c r="T26" i="120"/>
  <c r="S26" i="120"/>
  <c r="R26" i="120"/>
  <c r="BI26" i="120" s="1"/>
  <c r="Q26" i="120"/>
  <c r="BD26" i="120" s="1"/>
  <c r="P26" i="120"/>
  <c r="O26" i="120"/>
  <c r="BB26" i="120" s="1"/>
  <c r="N26" i="120"/>
  <c r="M26" i="120"/>
  <c r="J26" i="120"/>
  <c r="AK25" i="120"/>
  <c r="W25" i="120"/>
  <c r="U25" i="120"/>
  <c r="T25" i="120"/>
  <c r="S25" i="120"/>
  <c r="R25" i="120"/>
  <c r="BI25" i="120" s="1"/>
  <c r="Q25" i="120"/>
  <c r="BD25" i="120" s="1"/>
  <c r="P25" i="120"/>
  <c r="BC25" i="120" s="1"/>
  <c r="O25" i="120"/>
  <c r="N25" i="120"/>
  <c r="BE25" i="120" s="1"/>
  <c r="M25" i="120"/>
  <c r="J25" i="120"/>
  <c r="BK24" i="120"/>
  <c r="BJ24" i="120"/>
  <c r="BE24" i="120"/>
  <c r="AZ24" i="120"/>
  <c r="AY24" i="120"/>
  <c r="AK24" i="120"/>
  <c r="W24" i="120"/>
  <c r="U24" i="120"/>
  <c r="T24" i="120"/>
  <c r="S24" i="120"/>
  <c r="R24" i="120"/>
  <c r="BI24" i="120" s="1"/>
  <c r="Q24" i="120"/>
  <c r="BD24" i="120" s="1"/>
  <c r="P24" i="120"/>
  <c r="O24" i="120"/>
  <c r="BB24" i="120" s="1"/>
  <c r="N24" i="120"/>
  <c r="M24" i="120"/>
  <c r="J24" i="120"/>
  <c r="AK23" i="120"/>
  <c r="W23" i="120"/>
  <c r="U23" i="120"/>
  <c r="T23" i="120"/>
  <c r="S23" i="120"/>
  <c r="R23" i="120"/>
  <c r="BI23" i="120" s="1"/>
  <c r="Q23" i="120"/>
  <c r="P23" i="120"/>
  <c r="BC23" i="120" s="1"/>
  <c r="O23" i="120"/>
  <c r="N23" i="120"/>
  <c r="BE23" i="120" s="1"/>
  <c r="M23" i="120"/>
  <c r="J23" i="120"/>
  <c r="AK22" i="120"/>
  <c r="W22" i="120"/>
  <c r="U22" i="120"/>
  <c r="T22" i="120"/>
  <c r="S22" i="120"/>
  <c r="R22" i="120"/>
  <c r="BI22" i="120" s="1"/>
  <c r="Q22" i="120"/>
  <c r="BD22" i="120" s="1"/>
  <c r="P22" i="120"/>
  <c r="O22" i="120"/>
  <c r="BB22" i="120" s="1"/>
  <c r="N22" i="120"/>
  <c r="M22" i="120"/>
  <c r="J22" i="120"/>
  <c r="AK21" i="120"/>
  <c r="W21" i="120"/>
  <c r="U21" i="120"/>
  <c r="T21" i="120"/>
  <c r="S21" i="120"/>
  <c r="R21" i="120"/>
  <c r="BI21" i="120" s="1"/>
  <c r="Q21" i="120"/>
  <c r="BD21" i="120" s="1"/>
  <c r="P21" i="120"/>
  <c r="O21" i="120"/>
  <c r="BB21" i="120" s="1"/>
  <c r="N21" i="120"/>
  <c r="M21" i="120"/>
  <c r="J21" i="120"/>
  <c r="L21" i="120" s="1"/>
  <c r="AK20" i="120"/>
  <c r="W20" i="120"/>
  <c r="U20" i="120"/>
  <c r="T20" i="120"/>
  <c r="S20" i="120"/>
  <c r="R20" i="120"/>
  <c r="BI20" i="120" s="1"/>
  <c r="Q20" i="120"/>
  <c r="BD20" i="120" s="1"/>
  <c r="P20" i="120"/>
  <c r="BC20" i="120" s="1"/>
  <c r="O20" i="120"/>
  <c r="BB20" i="120" s="1"/>
  <c r="N20" i="120"/>
  <c r="BE20" i="120" s="1"/>
  <c r="M20" i="120"/>
  <c r="AX20" i="120" s="1"/>
  <c r="J20" i="120"/>
  <c r="L20" i="120" s="1"/>
  <c r="AK19" i="120"/>
  <c r="W19" i="120"/>
  <c r="U19" i="120"/>
  <c r="T19" i="120"/>
  <c r="S19" i="120"/>
  <c r="R19" i="120"/>
  <c r="BI19" i="120" s="1"/>
  <c r="Q19" i="120"/>
  <c r="BD19" i="120" s="1"/>
  <c r="P19" i="120"/>
  <c r="BC19" i="120" s="1"/>
  <c r="O19" i="120"/>
  <c r="BB19" i="120" s="1"/>
  <c r="N19" i="120"/>
  <c r="M19" i="120"/>
  <c r="J19" i="120"/>
  <c r="AK18" i="120"/>
  <c r="W18" i="120"/>
  <c r="U18" i="120"/>
  <c r="T18" i="120"/>
  <c r="S18" i="120"/>
  <c r="R18" i="120"/>
  <c r="Q18" i="120"/>
  <c r="BD18" i="120" s="1"/>
  <c r="P18" i="120"/>
  <c r="BG18" i="120" s="1"/>
  <c r="O18" i="120"/>
  <c r="N18" i="120"/>
  <c r="M18" i="120"/>
  <c r="J18" i="120"/>
  <c r="AK17" i="120"/>
  <c r="W17" i="120"/>
  <c r="U17" i="120"/>
  <c r="T17" i="120"/>
  <c r="S17" i="120"/>
  <c r="R17" i="120"/>
  <c r="BI17" i="120" s="1"/>
  <c r="Q17" i="120"/>
  <c r="BD17" i="120" s="1"/>
  <c r="P17" i="120"/>
  <c r="O17" i="120"/>
  <c r="N17" i="120"/>
  <c r="BA17" i="120" s="1"/>
  <c r="M17" i="120"/>
  <c r="J17" i="120"/>
  <c r="AK16" i="120"/>
  <c r="W16" i="120"/>
  <c r="L16" i="120" s="1"/>
  <c r="U16" i="120"/>
  <c r="T16" i="120"/>
  <c r="S16" i="120"/>
  <c r="R16" i="120"/>
  <c r="BI16" i="120" s="1"/>
  <c r="Q16" i="120"/>
  <c r="BH16" i="120" s="1"/>
  <c r="P16" i="120"/>
  <c r="BG16" i="120" s="1"/>
  <c r="O16" i="120"/>
  <c r="BF16" i="120" s="1"/>
  <c r="N16" i="120"/>
  <c r="M16" i="120"/>
  <c r="J16" i="120"/>
  <c r="AK15" i="120"/>
  <c r="W15" i="120"/>
  <c r="U15" i="120"/>
  <c r="T15" i="120"/>
  <c r="S15" i="120"/>
  <c r="R15" i="120"/>
  <c r="BI15" i="120" s="1"/>
  <c r="Q15" i="120"/>
  <c r="P15" i="120"/>
  <c r="BC15" i="120" s="1"/>
  <c r="O15" i="120"/>
  <c r="N15" i="120"/>
  <c r="M15" i="120"/>
  <c r="J15" i="120"/>
  <c r="AK14" i="120"/>
  <c r="W14" i="120"/>
  <c r="U14" i="120"/>
  <c r="T14" i="120"/>
  <c r="S14" i="120"/>
  <c r="R14" i="120"/>
  <c r="BI14" i="120" s="1"/>
  <c r="Q14" i="120"/>
  <c r="BD14" i="120" s="1"/>
  <c r="P14" i="120"/>
  <c r="BC14" i="120" s="1"/>
  <c r="O14" i="120"/>
  <c r="BB14" i="120" s="1"/>
  <c r="N14" i="120"/>
  <c r="M14" i="120"/>
  <c r="J14" i="120"/>
  <c r="AK13" i="120"/>
  <c r="W13" i="120"/>
  <c r="U13" i="120"/>
  <c r="T13" i="120"/>
  <c r="S13" i="120"/>
  <c r="R13" i="120"/>
  <c r="BI13" i="120" s="1"/>
  <c r="Q13" i="120"/>
  <c r="BH13" i="120" s="1"/>
  <c r="P13" i="120"/>
  <c r="O13" i="120"/>
  <c r="BF13" i="120" s="1"/>
  <c r="N13" i="120"/>
  <c r="M13" i="120"/>
  <c r="J13" i="120"/>
  <c r="AK12" i="120"/>
  <c r="W12" i="120"/>
  <c r="U12" i="120"/>
  <c r="T12" i="120"/>
  <c r="S12" i="120"/>
  <c r="R12" i="120"/>
  <c r="BI12" i="120" s="1"/>
  <c r="Q12" i="120"/>
  <c r="BD12" i="120" s="1"/>
  <c r="P12" i="120"/>
  <c r="BC12" i="120" s="1"/>
  <c r="O12" i="120"/>
  <c r="BB12" i="120" s="1"/>
  <c r="N12" i="120"/>
  <c r="BE12" i="120" s="1"/>
  <c r="M12" i="120"/>
  <c r="J12" i="120"/>
  <c r="L12" i="120" s="1"/>
  <c r="BN10" i="120"/>
  <c r="T2" i="119"/>
  <c r="U2" i="119"/>
  <c r="V2" i="119"/>
  <c r="W2" i="119"/>
  <c r="T3" i="119"/>
  <c r="U3" i="119"/>
  <c r="V3" i="119"/>
  <c r="W3" i="119"/>
  <c r="T4" i="119"/>
  <c r="U4" i="119"/>
  <c r="V4" i="119"/>
  <c r="W4" i="119"/>
  <c r="T5" i="119"/>
  <c r="U5" i="119"/>
  <c r="V5" i="119"/>
  <c r="W5" i="119"/>
  <c r="T6" i="119"/>
  <c r="U6" i="119"/>
  <c r="V6" i="119"/>
  <c r="W6" i="119"/>
  <c r="T7" i="119"/>
  <c r="U7" i="119"/>
  <c r="V7" i="119"/>
  <c r="W7" i="119"/>
  <c r="X7" i="119"/>
  <c r="T8" i="119"/>
  <c r="U8" i="119"/>
  <c r="V8" i="119"/>
  <c r="W8" i="119"/>
  <c r="T9" i="119"/>
  <c r="U9" i="119"/>
  <c r="V9" i="119"/>
  <c r="W9" i="119"/>
  <c r="T10" i="119"/>
  <c r="U10" i="119"/>
  <c r="V10" i="119"/>
  <c r="W10" i="119"/>
  <c r="T11" i="119"/>
  <c r="U11" i="119"/>
  <c r="V11" i="119"/>
  <c r="W11" i="119"/>
  <c r="T12" i="119"/>
  <c r="U12" i="119"/>
  <c r="V12" i="119"/>
  <c r="W12" i="119"/>
  <c r="T13" i="119"/>
  <c r="U13" i="119"/>
  <c r="V13" i="119"/>
  <c r="W13" i="119"/>
  <c r="T14" i="119"/>
  <c r="U14" i="119"/>
  <c r="V14" i="119"/>
  <c r="W14" i="119"/>
  <c r="T15" i="119"/>
  <c r="U15" i="119"/>
  <c r="V15" i="119"/>
  <c r="W15" i="119"/>
  <c r="T16" i="119"/>
  <c r="U16" i="119"/>
  <c r="V16" i="119"/>
  <c r="W16" i="119"/>
  <c r="T17" i="119"/>
  <c r="U17" i="119"/>
  <c r="V17" i="119"/>
  <c r="W17" i="119"/>
  <c r="T18" i="119"/>
  <c r="U18" i="119"/>
  <c r="V18" i="119"/>
  <c r="W18" i="119"/>
  <c r="T19" i="119"/>
  <c r="U19" i="119"/>
  <c r="V19" i="119"/>
  <c r="W19" i="119"/>
  <c r="T20" i="119"/>
  <c r="U20" i="119"/>
  <c r="V20" i="119"/>
  <c r="W20" i="119"/>
  <c r="T21" i="119"/>
  <c r="U21" i="119"/>
  <c r="V21" i="119"/>
  <c r="W21" i="119"/>
  <c r="T22" i="119"/>
  <c r="U22" i="119"/>
  <c r="V22" i="119"/>
  <c r="W22" i="119"/>
  <c r="T23" i="119"/>
  <c r="U23" i="119"/>
  <c r="V23" i="119"/>
  <c r="W23" i="119"/>
  <c r="T24" i="119"/>
  <c r="U24" i="119"/>
  <c r="V24" i="119"/>
  <c r="W24" i="119"/>
  <c r="T25" i="119"/>
  <c r="U25" i="119"/>
  <c r="V25" i="119"/>
  <c r="W25" i="119"/>
  <c r="T26" i="119"/>
  <c r="U26" i="119"/>
  <c r="V26" i="119"/>
  <c r="W26" i="119"/>
  <c r="T27" i="119"/>
  <c r="U27" i="119"/>
  <c r="V27" i="119"/>
  <c r="W27" i="119"/>
  <c r="T28" i="119"/>
  <c r="U28" i="119"/>
  <c r="V28" i="119"/>
  <c r="W28" i="119"/>
  <c r="T29" i="119"/>
  <c r="U29" i="119"/>
  <c r="V29" i="119"/>
  <c r="W29" i="119"/>
  <c r="T30" i="119"/>
  <c r="U30" i="119"/>
  <c r="V30" i="119"/>
  <c r="W30" i="119"/>
  <c r="T31" i="119"/>
  <c r="U31" i="119"/>
  <c r="V31" i="119"/>
  <c r="W31" i="119"/>
  <c r="T32" i="119"/>
  <c r="U32" i="119"/>
  <c r="T33" i="119"/>
  <c r="U33" i="119"/>
  <c r="V33" i="119"/>
  <c r="W33" i="119"/>
  <c r="T34" i="119"/>
  <c r="U34" i="119"/>
  <c r="V34" i="119"/>
  <c r="W34" i="119"/>
  <c r="T35" i="119"/>
  <c r="U35" i="119"/>
  <c r="V35" i="119"/>
  <c r="W35" i="119"/>
  <c r="T36" i="119"/>
  <c r="U36" i="119"/>
  <c r="V36" i="119"/>
  <c r="W36" i="119"/>
  <c r="T37" i="119"/>
  <c r="U37" i="119"/>
  <c r="V37" i="119"/>
  <c r="W37" i="119"/>
  <c r="S3" i="119"/>
  <c r="S4" i="119"/>
  <c r="S5" i="119"/>
  <c r="S6" i="119"/>
  <c r="S7" i="119"/>
  <c r="S8" i="119"/>
  <c r="S9" i="119"/>
  <c r="S10" i="119"/>
  <c r="S11" i="119"/>
  <c r="S12" i="119"/>
  <c r="S13" i="119"/>
  <c r="S14" i="119"/>
  <c r="S15" i="119"/>
  <c r="S16" i="119"/>
  <c r="S17" i="119"/>
  <c r="S18" i="119"/>
  <c r="S19" i="119"/>
  <c r="S20" i="119"/>
  <c r="S21" i="119"/>
  <c r="S22" i="119"/>
  <c r="S23" i="119"/>
  <c r="S24" i="119"/>
  <c r="S25" i="119"/>
  <c r="S26" i="119"/>
  <c r="S27" i="119"/>
  <c r="S28" i="119"/>
  <c r="S29" i="119"/>
  <c r="S30" i="119"/>
  <c r="S31" i="119"/>
  <c r="S32" i="119"/>
  <c r="S33" i="119"/>
  <c r="S34" i="119"/>
  <c r="S35" i="119"/>
  <c r="S36" i="119"/>
  <c r="S37" i="119"/>
  <c r="S2" i="119"/>
  <c r="BI29" i="121" l="1"/>
  <c r="BI28" i="121"/>
  <c r="L13" i="120"/>
  <c r="L14" i="120"/>
  <c r="L24" i="120"/>
  <c r="L32" i="120"/>
  <c r="L34" i="120"/>
  <c r="L43" i="120"/>
  <c r="BB44" i="120"/>
  <c r="AU46" i="120"/>
  <c r="BH18" i="120"/>
  <c r="L22" i="120"/>
  <c r="AU25" i="120"/>
  <c r="L26" i="120"/>
  <c r="AV17" i="120"/>
  <c r="AX24" i="120"/>
  <c r="AJ29" i="120"/>
  <c r="BM29" i="120" s="1"/>
  <c r="AU30" i="120"/>
  <c r="AV36" i="120"/>
  <c r="AG43" i="120"/>
  <c r="L15" i="120"/>
  <c r="AH18" i="120"/>
  <c r="BK18" i="120" s="1"/>
  <c r="AU19" i="120"/>
  <c r="AI32" i="120"/>
  <c r="BL32" i="120" s="1"/>
  <c r="AU34" i="120"/>
  <c r="AU38" i="120"/>
  <c r="L40" i="120"/>
  <c r="AG42" i="120"/>
  <c r="AV14" i="120"/>
  <c r="BB16" i="120"/>
  <c r="AX22" i="120"/>
  <c r="L28" i="120"/>
  <c r="AU40" i="120"/>
  <c r="AV41" i="120"/>
  <c r="L46" i="120"/>
  <c r="AH47" i="120"/>
  <c r="AY7" i="121"/>
  <c r="BI33" i="121"/>
  <c r="BI26" i="121"/>
  <c r="AY6" i="121"/>
  <c r="BI32" i="121"/>
  <c r="BI12" i="121"/>
  <c r="BB5" i="121"/>
  <c r="AK5" i="121"/>
  <c r="AJ6" i="121" a="1"/>
  <c r="AJ6" i="121" s="1"/>
  <c r="AJ7" i="121" a="1"/>
  <c r="AJ7" i="121" s="1"/>
  <c r="AI7" i="121" a="1"/>
  <c r="AI7" i="121" s="1"/>
  <c r="BI24" i="121"/>
  <c r="BI22" i="121"/>
  <c r="BI20" i="121"/>
  <c r="BI18" i="121"/>
  <c r="BI16" i="121"/>
  <c r="BI13" i="121"/>
  <c r="AH6" i="121"/>
  <c r="AH7" i="121" a="1"/>
  <c r="AH7" i="121" s="1"/>
  <c r="AX12" i="120"/>
  <c r="AH13" i="120"/>
  <c r="BK13" i="120" s="1"/>
  <c r="AJ13" i="120"/>
  <c r="BM13" i="120" s="1"/>
  <c r="BB13" i="120"/>
  <c r="AU14" i="120"/>
  <c r="AX15" i="120"/>
  <c r="AH15" i="120"/>
  <c r="AJ16" i="120"/>
  <c r="BM16" i="120" s="1"/>
  <c r="BC16" i="120"/>
  <c r="AX18" i="120"/>
  <c r="L19" i="120"/>
  <c r="AV22" i="120"/>
  <c r="AW23" i="120"/>
  <c r="AU23" i="120"/>
  <c r="AV27" i="120"/>
  <c r="AH27" i="120"/>
  <c r="BK27" i="120" s="1"/>
  <c r="AH29" i="120"/>
  <c r="BK29" i="120" s="1"/>
  <c r="AV30" i="120"/>
  <c r="AG30" i="120"/>
  <c r="BJ30" i="120" s="1"/>
  <c r="AI34" i="120"/>
  <c r="BL34" i="120" s="1"/>
  <c r="AJ36" i="120"/>
  <c r="BM36" i="120" s="1"/>
  <c r="AG37" i="120"/>
  <c r="AH37" i="120"/>
  <c r="AJ37" i="120"/>
  <c r="BM37" i="120" s="1"/>
  <c r="AG40" i="120"/>
  <c r="BJ40" i="120" s="1"/>
  <c r="W42" i="120"/>
  <c r="L42" i="120" s="1"/>
  <c r="BD42" i="120"/>
  <c r="BD44" i="120"/>
  <c r="BE47" i="120"/>
  <c r="AW17" i="120"/>
  <c r="AI18" i="120"/>
  <c r="BL18" i="120" s="1"/>
  <c r="BA18" i="120"/>
  <c r="AJ21" i="120"/>
  <c r="BM21" i="120" s="1"/>
  <c r="AI22" i="120"/>
  <c r="BL22" i="120" s="1"/>
  <c r="L23" i="120"/>
  <c r="AI24" i="120"/>
  <c r="BL24" i="120" s="1"/>
  <c r="BC33" i="120"/>
  <c r="AH35" i="120"/>
  <c r="BK35" i="120" s="1"/>
  <c r="AG38" i="120"/>
  <c r="BJ38" i="120" s="1"/>
  <c r="AV42" i="120"/>
  <c r="AU43" i="120"/>
  <c r="AV45" i="120"/>
  <c r="W45" i="120"/>
  <c r="V14" i="120"/>
  <c r="BH14" i="120" s="1"/>
  <c r="AH12" i="120"/>
  <c r="BK12" i="120" s="1"/>
  <c r="AW14" i="120"/>
  <c r="BE14" i="120"/>
  <c r="AI15" i="120"/>
  <c r="BL15" i="120" s="1"/>
  <c r="AU16" i="120"/>
  <c r="AG17" i="120"/>
  <c r="AX17" i="120"/>
  <c r="AJ18" i="120"/>
  <c r="BM18" i="120" s="1"/>
  <c r="BI18" i="120"/>
  <c r="V19" i="120"/>
  <c r="BH19" i="120" s="1"/>
  <c r="AV19" i="120"/>
  <c r="AH20" i="120"/>
  <c r="BK20" i="120" s="1"/>
  <c r="BC21" i="120"/>
  <c r="L25" i="120"/>
  <c r="AI28" i="120"/>
  <c r="BL28" i="120" s="1"/>
  <c r="AH28" i="120"/>
  <c r="AG28" i="120"/>
  <c r="V28" i="120"/>
  <c r="BA28" i="120" s="1"/>
  <c r="AJ31" i="120"/>
  <c r="BM31" i="120" s="1"/>
  <c r="AI31" i="120"/>
  <c r="BL31" i="120" s="1"/>
  <c r="AG31" i="120"/>
  <c r="AV31" i="120"/>
  <c r="V31" i="120"/>
  <c r="BH31" i="120" s="1"/>
  <c r="BD45" i="120"/>
  <c r="AV46" i="120"/>
  <c r="BE46" i="120"/>
  <c r="AH46" i="120"/>
  <c r="BK46" i="120" s="1"/>
  <c r="AG46" i="120"/>
  <c r="BJ46" i="120" s="1"/>
  <c r="V46" i="120"/>
  <c r="AY46" i="120" s="1"/>
  <c r="AI12" i="120"/>
  <c r="BL12" i="120" s="1"/>
  <c r="AU13" i="120"/>
  <c r="BC13" i="120"/>
  <c r="AG14" i="120"/>
  <c r="BJ14" i="120" s="1"/>
  <c r="AX14" i="120"/>
  <c r="AJ15" i="120"/>
  <c r="BM15" i="120" s="1"/>
  <c r="BA15" i="120"/>
  <c r="V16" i="120"/>
  <c r="BA16" i="120" s="1"/>
  <c r="AV16" i="120"/>
  <c r="BD16" i="120"/>
  <c r="AH17" i="120"/>
  <c r="BK17" i="120" s="1"/>
  <c r="BG17" i="120"/>
  <c r="L18" i="120"/>
  <c r="BB18" i="120"/>
  <c r="AW19" i="120"/>
  <c r="BE19" i="120"/>
  <c r="AI20" i="120"/>
  <c r="BL20" i="120" s="1"/>
  <c r="AV21" i="120"/>
  <c r="AU21" i="120"/>
  <c r="BE21" i="120"/>
  <c r="BB25" i="120"/>
  <c r="AH25" i="120"/>
  <c r="BK25" i="120" s="1"/>
  <c r="AU26" i="120"/>
  <c r="BD27" i="120"/>
  <c r="BJ43" i="120"/>
  <c r="AU47" i="120"/>
  <c r="AG47" i="120"/>
  <c r="V47" i="120"/>
  <c r="AV47" i="120"/>
  <c r="AJ12" i="120"/>
  <c r="BM12" i="120" s="1"/>
  <c r="V13" i="120"/>
  <c r="BA13" i="120" s="1"/>
  <c r="AV13" i="120"/>
  <c r="BD13" i="120"/>
  <c r="AH14" i="120"/>
  <c r="BK14" i="120" s="1"/>
  <c r="BB15" i="120"/>
  <c r="AW16" i="120"/>
  <c r="BE16" i="120"/>
  <c r="AI17" i="120"/>
  <c r="BL17" i="120" s="1"/>
  <c r="BH17" i="120"/>
  <c r="AU18" i="120"/>
  <c r="BC18" i="120"/>
  <c r="AG19" i="120"/>
  <c r="BJ19" i="120" s="1"/>
  <c r="AX19" i="120"/>
  <c r="BF19" i="120"/>
  <c r="AJ20" i="120"/>
  <c r="BM20" i="120" s="1"/>
  <c r="V21" i="120"/>
  <c r="BA21" i="120" s="1"/>
  <c r="AW21" i="120"/>
  <c r="AV24" i="120"/>
  <c r="AI26" i="120"/>
  <c r="BL26" i="120" s="1"/>
  <c r="BC30" i="120"/>
  <c r="AU32" i="120"/>
  <c r="AU33" i="120"/>
  <c r="AJ39" i="120"/>
  <c r="BM39" i="120" s="1"/>
  <c r="AI39" i="120"/>
  <c r="BL39" i="120" s="1"/>
  <c r="AZ39" i="120"/>
  <c r="AG39" i="120"/>
  <c r="AV39" i="120"/>
  <c r="V39" i="120"/>
  <c r="BK47" i="120"/>
  <c r="BA47" i="120"/>
  <c r="AW13" i="120"/>
  <c r="BE13" i="120"/>
  <c r="AI14" i="120"/>
  <c r="BL14" i="120" s="1"/>
  <c r="AU15" i="120"/>
  <c r="AG16" i="120"/>
  <c r="BJ16" i="120" s="1"/>
  <c r="AX16" i="120"/>
  <c r="AJ17" i="120"/>
  <c r="BM17" i="120" s="1"/>
  <c r="V18" i="120"/>
  <c r="AZ18" i="120" s="1"/>
  <c r="AV18" i="120"/>
  <c r="AH19" i="120"/>
  <c r="BK19" i="120" s="1"/>
  <c r="AX21" i="120"/>
  <c r="BG21" i="120"/>
  <c r="AJ22" i="120"/>
  <c r="BM22" i="120" s="1"/>
  <c r="AW22" i="120"/>
  <c r="AU22" i="120"/>
  <c r="AV23" i="120"/>
  <c r="V23" i="120"/>
  <c r="AZ23" i="120" s="1"/>
  <c r="AI23" i="120"/>
  <c r="BL23" i="120" s="1"/>
  <c r="AX23" i="120"/>
  <c r="AG23" i="120"/>
  <c r="BJ23" i="120" s="1"/>
  <c r="BA23" i="120"/>
  <c r="AV28" i="120"/>
  <c r="AU31" i="120"/>
  <c r="AV32" i="120"/>
  <c r="L33" i="120"/>
  <c r="AV35" i="120"/>
  <c r="AV38" i="120"/>
  <c r="BA39" i="120"/>
  <c r="BG39" i="120"/>
  <c r="AU12" i="120"/>
  <c r="AG13" i="120"/>
  <c r="BJ13" i="120" s="1"/>
  <c r="AX13" i="120"/>
  <c r="AJ14" i="120"/>
  <c r="BM14" i="120" s="1"/>
  <c r="BA14" i="120"/>
  <c r="V15" i="120"/>
  <c r="BE15" i="120" s="1"/>
  <c r="AV15" i="120"/>
  <c r="BK15" i="120" s="1"/>
  <c r="BD15" i="120"/>
  <c r="AH16" i="120"/>
  <c r="BK16" i="120" s="1"/>
  <c r="L17" i="120"/>
  <c r="BB17" i="120"/>
  <c r="AW18" i="120"/>
  <c r="AI19" i="120"/>
  <c r="BL19" i="120" s="1"/>
  <c r="AZ19" i="120"/>
  <c r="AU20" i="120"/>
  <c r="AG21" i="120"/>
  <c r="AH22" i="120"/>
  <c r="BK22" i="120" s="1"/>
  <c r="BE22" i="120"/>
  <c r="V22" i="120"/>
  <c r="AW24" i="120"/>
  <c r="BB33" i="120"/>
  <c r="AH33" i="120"/>
  <c r="BK33" i="120" s="1"/>
  <c r="BF33" i="120"/>
  <c r="BJ48" i="120"/>
  <c r="V12" i="120"/>
  <c r="BH12" i="120" s="1"/>
  <c r="AV12" i="120"/>
  <c r="BG13" i="120"/>
  <c r="AW15" i="120"/>
  <c r="AI16" i="120"/>
  <c r="BL16" i="120" s="1"/>
  <c r="AU17" i="120"/>
  <c r="AG18" i="120"/>
  <c r="AJ19" i="120"/>
  <c r="BM19" i="120" s="1"/>
  <c r="V20" i="120"/>
  <c r="BA20" i="120" s="1"/>
  <c r="AV20" i="120"/>
  <c r="AH21" i="120"/>
  <c r="BK21" i="120" s="1"/>
  <c r="AZ21" i="120"/>
  <c r="BB23" i="120"/>
  <c r="BF23" i="120"/>
  <c r="AH23" i="120"/>
  <c r="BK23" i="120" s="1"/>
  <c r="AH24" i="120"/>
  <c r="V24" i="120"/>
  <c r="AG32" i="120"/>
  <c r="AI36" i="120"/>
  <c r="BL36" i="120" s="1"/>
  <c r="AH36" i="120"/>
  <c r="BK36" i="120" s="1"/>
  <c r="AG36" i="120"/>
  <c r="BE36" i="120"/>
  <c r="V36" i="120"/>
  <c r="AY36" i="120" s="1"/>
  <c r="BC38" i="120"/>
  <c r="AU39" i="120"/>
  <c r="AV40" i="120"/>
  <c r="L41" i="120"/>
  <c r="AH43" i="120"/>
  <c r="BK43" i="120" s="1"/>
  <c r="BK48" i="120"/>
  <c r="AW12" i="120"/>
  <c r="AI13" i="120"/>
  <c r="BL13" i="120" s="1"/>
  <c r="AG15" i="120"/>
  <c r="V17" i="120"/>
  <c r="BE17" i="120" s="1"/>
  <c r="AW20" i="120"/>
  <c r="AI21" i="120"/>
  <c r="BL21" i="120" s="1"/>
  <c r="BC22" i="120"/>
  <c r="AG22" i="120"/>
  <c r="AJ23" i="120"/>
  <c r="BM23" i="120" s="1"/>
  <c r="L37" i="120"/>
  <c r="BH39" i="120"/>
  <c r="AI40" i="120"/>
  <c r="BL40" i="120" s="1"/>
  <c r="AH41" i="120"/>
  <c r="BK41" i="120" s="1"/>
  <c r="BB41" i="120"/>
  <c r="AH42" i="120"/>
  <c r="BK42" i="120" s="1"/>
  <c r="BA42" i="120"/>
  <c r="V42" i="120"/>
  <c r="AG44" i="120"/>
  <c r="BJ44" i="120" s="1"/>
  <c r="L45" i="120"/>
  <c r="AG12" i="120"/>
  <c r="AG20" i="120"/>
  <c r="BD23" i="120"/>
  <c r="BH23" i="120"/>
  <c r="BG24" i="120"/>
  <c r="BC24" i="120"/>
  <c r="AG24" i="120"/>
  <c r="BD35" i="120"/>
  <c r="AZ42" i="120"/>
  <c r="AJ24" i="120"/>
  <c r="BM24" i="120" s="1"/>
  <c r="V25" i="120"/>
  <c r="BA25" i="120" s="1"/>
  <c r="AV25" i="120"/>
  <c r="AJ26" i="120"/>
  <c r="BM26" i="120" s="1"/>
  <c r="BC26" i="120"/>
  <c r="AG27" i="120"/>
  <c r="AU28" i="120"/>
  <c r="AI29" i="120"/>
  <c r="BL29" i="120" s="1"/>
  <c r="BB29" i="120"/>
  <c r="L31" i="120"/>
  <c r="BD31" i="120"/>
  <c r="AH32" i="120"/>
  <c r="BK32" i="120" s="1"/>
  <c r="V33" i="120"/>
  <c r="AY33" i="120" s="1"/>
  <c r="AV33" i="120"/>
  <c r="AJ34" i="120"/>
  <c r="BM34" i="120" s="1"/>
  <c r="BC34" i="120"/>
  <c r="AG35" i="120"/>
  <c r="AU36" i="120"/>
  <c r="AI37" i="120"/>
  <c r="BL37" i="120" s="1"/>
  <c r="BB37" i="120"/>
  <c r="L39" i="120"/>
  <c r="BD39" i="120"/>
  <c r="AH40" i="120"/>
  <c r="BK40" i="120" s="1"/>
  <c r="V41" i="120"/>
  <c r="BA41" i="120" s="1"/>
  <c r="AU42" i="120"/>
  <c r="BJ42" i="120" s="1"/>
  <c r="BD43" i="120"/>
  <c r="AH44" i="120"/>
  <c r="BK44" i="120" s="1"/>
  <c r="BC44" i="120"/>
  <c r="L47" i="120"/>
  <c r="AU24" i="120"/>
  <c r="AG25" i="120"/>
  <c r="BJ25" i="120" s="1"/>
  <c r="BH25" i="120"/>
  <c r="AI27" i="120"/>
  <c r="BL27" i="120" s="1"/>
  <c r="BB27" i="120"/>
  <c r="BG28" i="120"/>
  <c r="L29" i="120"/>
  <c r="BD29" i="120"/>
  <c r="AH30" i="120"/>
  <c r="BK30" i="120" s="1"/>
  <c r="AJ32" i="120"/>
  <c r="BM32" i="120" s="1"/>
  <c r="BC32" i="120"/>
  <c r="AG33" i="120"/>
  <c r="BJ33" i="120" s="1"/>
  <c r="BH33" i="120"/>
  <c r="BE34" i="120"/>
  <c r="AI35" i="120"/>
  <c r="BL35" i="120" s="1"/>
  <c r="BB35" i="120"/>
  <c r="BG36" i="120"/>
  <c r="BD37" i="120"/>
  <c r="AH38" i="120"/>
  <c r="BK38" i="120" s="1"/>
  <c r="BF39" i="120"/>
  <c r="AJ40" i="120"/>
  <c r="BM40" i="120" s="1"/>
  <c r="BC40" i="120"/>
  <c r="AG41" i="120"/>
  <c r="BG42" i="120"/>
  <c r="AV43" i="120"/>
  <c r="AU44" i="120"/>
  <c r="BE44" i="120"/>
  <c r="AG45" i="120"/>
  <c r="BB45" i="120"/>
  <c r="BH47" i="120"/>
  <c r="V26" i="120"/>
  <c r="BG26" i="120" s="1"/>
  <c r="AV26" i="120"/>
  <c r="AJ27" i="120"/>
  <c r="BM27" i="120" s="1"/>
  <c r="AU29" i="120"/>
  <c r="AI30" i="120"/>
  <c r="BL30" i="120" s="1"/>
  <c r="V34" i="120"/>
  <c r="BH34" i="120" s="1"/>
  <c r="AV34" i="120"/>
  <c r="AJ35" i="120"/>
  <c r="BM35" i="120" s="1"/>
  <c r="AU37" i="120"/>
  <c r="AI38" i="120"/>
  <c r="BL38" i="120" s="1"/>
  <c r="AY39" i="120"/>
  <c r="AV44" i="120"/>
  <c r="AH45" i="120"/>
  <c r="AI25" i="120"/>
  <c r="BL25" i="120" s="1"/>
  <c r="L27" i="120"/>
  <c r="V29" i="120"/>
  <c r="BA29" i="120" s="1"/>
  <c r="AV29" i="120"/>
  <c r="AJ30" i="120"/>
  <c r="BM30" i="120" s="1"/>
  <c r="BE32" i="120"/>
  <c r="AI33" i="120"/>
  <c r="BL33" i="120" s="1"/>
  <c r="L35" i="120"/>
  <c r="V37" i="120"/>
  <c r="BA37" i="120" s="1"/>
  <c r="AV37" i="120"/>
  <c r="AJ38" i="120"/>
  <c r="BM38" i="120" s="1"/>
  <c r="BE40" i="120"/>
  <c r="V43" i="120"/>
  <c r="AZ43" i="120" s="1"/>
  <c r="BH43" i="120"/>
  <c r="BG44" i="120"/>
  <c r="AJ25" i="120"/>
  <c r="BM25" i="120" s="1"/>
  <c r="AG26" i="120"/>
  <c r="AU27" i="120"/>
  <c r="AH31" i="120"/>
  <c r="BK31" i="120" s="1"/>
  <c r="V32" i="120"/>
  <c r="AY32" i="120" s="1"/>
  <c r="AJ33" i="120"/>
  <c r="BM33" i="120" s="1"/>
  <c r="AG34" i="120"/>
  <c r="AU35" i="120"/>
  <c r="AH39" i="120"/>
  <c r="BK39" i="120" s="1"/>
  <c r="V40" i="120"/>
  <c r="BG40" i="120" s="1"/>
  <c r="AU41" i="120"/>
  <c r="V44" i="120"/>
  <c r="AY44" i="120" s="1"/>
  <c r="AU45" i="120"/>
  <c r="AH26" i="120"/>
  <c r="BA26" i="120"/>
  <c r="V27" i="120"/>
  <c r="BA27" i="120" s="1"/>
  <c r="AG29" i="120"/>
  <c r="BJ29" i="120" s="1"/>
  <c r="BE30" i="120"/>
  <c r="AH34" i="120"/>
  <c r="BK34" i="120" s="1"/>
  <c r="V35" i="120"/>
  <c r="BA35" i="120" s="1"/>
  <c r="BE38" i="120"/>
  <c r="V45" i="120"/>
  <c r="BH45" i="120" s="1"/>
  <c r="V30" i="120"/>
  <c r="BG30" i="120" s="1"/>
  <c r="AY35" i="120"/>
  <c r="V38" i="120"/>
  <c r="BG38" i="120" s="1"/>
  <c r="C7" i="115"/>
  <c r="Z42" i="113"/>
  <c r="Y42" i="113"/>
  <c r="Y45" i="113"/>
  <c r="BK45" i="120" l="1"/>
  <c r="BG46" i="120"/>
  <c r="BJ34" i="120"/>
  <c r="AZ16" i="120"/>
  <c r="BH29" i="120"/>
  <c r="BJ15" i="120"/>
  <c r="BG19" i="120"/>
  <c r="BF31" i="120"/>
  <c r="BA31" i="120"/>
  <c r="AI5" i="120" a="1"/>
  <c r="AI5" i="120" s="1"/>
  <c r="AY31" i="120"/>
  <c r="BJ18" i="120"/>
  <c r="AY19" i="120"/>
  <c r="BB6" i="121"/>
  <c r="BJ20" i="120"/>
  <c r="AY42" i="120"/>
  <c r="BJ32" i="120"/>
  <c r="AK7" i="121" a="1"/>
  <c r="AK7" i="121" s="1"/>
  <c r="BB7" i="121" a="1"/>
  <c r="BB7" i="121" s="1"/>
  <c r="AK6" i="121" a="1"/>
  <c r="AK6" i="121" s="1"/>
  <c r="BF43" i="120"/>
  <c r="BJ35" i="120"/>
  <c r="BF37" i="120"/>
  <c r="BH35" i="120"/>
  <c r="BG27" i="120"/>
  <c r="BF35" i="120"/>
  <c r="BA44" i="120"/>
  <c r="BG35" i="120"/>
  <c r="BA43" i="120"/>
  <c r="BH27" i="120"/>
  <c r="BH37" i="120"/>
  <c r="BA34" i="120"/>
  <c r="AY29" i="120"/>
  <c r="BJ45" i="120"/>
  <c r="AZ41" i="120"/>
  <c r="AZ35" i="120"/>
  <c r="AZ27" i="120"/>
  <c r="BE42" i="120"/>
  <c r="BG29" i="120"/>
  <c r="BG23" i="120"/>
  <c r="AH5" i="120"/>
  <c r="AZ44" i="120"/>
  <c r="AY25" i="120"/>
  <c r="AY23" i="120"/>
  <c r="AZ12" i="120"/>
  <c r="BG20" i="120"/>
  <c r="BA46" i="120"/>
  <c r="BG37" i="120"/>
  <c r="BF42" i="120"/>
  <c r="BH40" i="120"/>
  <c r="AZ40" i="120"/>
  <c r="BJ17" i="120"/>
  <c r="BH26" i="120"/>
  <c r="BF26" i="120"/>
  <c r="AZ45" i="120"/>
  <c r="BH36" i="120"/>
  <c r="AZ36" i="120"/>
  <c r="BF36" i="120"/>
  <c r="BH22" i="120"/>
  <c r="BF22" i="120"/>
  <c r="BG14" i="120"/>
  <c r="BG47" i="120"/>
  <c r="AY47" i="120"/>
  <c r="BH20" i="120"/>
  <c r="AY18" i="120"/>
  <c r="BF18" i="120"/>
  <c r="BF45" i="120"/>
  <c r="BF41" i="120"/>
  <c r="AZ34" i="120"/>
  <c r="BF34" i="120"/>
  <c r="AY41" i="120"/>
  <c r="AZ29" i="120"/>
  <c r="AZ47" i="120"/>
  <c r="AZ20" i="120"/>
  <c r="BH15" i="120"/>
  <c r="AJ5" i="120" a="1"/>
  <c r="AJ5" i="120" s="1"/>
  <c r="AY17" i="120"/>
  <c r="BA40" i="120"/>
  <c r="BJ41" i="120"/>
  <c r="BA33" i="120"/>
  <c r="BE18" i="120"/>
  <c r="BC17" i="120"/>
  <c r="BF38" i="120"/>
  <c r="AZ38" i="120"/>
  <c r="BH38" i="120"/>
  <c r="BG31" i="120"/>
  <c r="BA30" i="120"/>
  <c r="AZ25" i="120"/>
  <c r="BG34" i="120"/>
  <c r="BF40" i="120"/>
  <c r="BJ22" i="120"/>
  <c r="BG41" i="120"/>
  <c r="BJ36" i="120"/>
  <c r="BG25" i="120"/>
  <c r="AY30" i="120"/>
  <c r="BH21" i="120"/>
  <c r="AY21" i="120"/>
  <c r="BJ47" i="120"/>
  <c r="BF25" i="120"/>
  <c r="BJ31" i="120"/>
  <c r="BA19" i="120"/>
  <c r="AY16" i="120"/>
  <c r="AY14" i="120"/>
  <c r="BF29" i="120"/>
  <c r="BH24" i="120"/>
  <c r="BF24" i="120"/>
  <c r="BA22" i="120"/>
  <c r="AZ17" i="120"/>
  <c r="AZ31" i="120"/>
  <c r="BF15" i="120"/>
  <c r="AZ13" i="120"/>
  <c r="AY45" i="120"/>
  <c r="BF30" i="120"/>
  <c r="BH30" i="120"/>
  <c r="AZ30" i="120"/>
  <c r="BH32" i="120"/>
  <c r="AZ32" i="120"/>
  <c r="BF32" i="120"/>
  <c r="BJ12" i="120"/>
  <c r="BE45" i="120"/>
  <c r="BJ21" i="120"/>
  <c r="BF21" i="120"/>
  <c r="BG45" i="120"/>
  <c r="BG22" i="120"/>
  <c r="BA36" i="120"/>
  <c r="BA24" i="120"/>
  <c r="BF20" i="120"/>
  <c r="AY20" i="120"/>
  <c r="BJ39" i="120"/>
  <c r="AZ14" i="120"/>
  <c r="AY27" i="120"/>
  <c r="BG32" i="120"/>
  <c r="BG43" i="120"/>
  <c r="AY43" i="120"/>
  <c r="BA38" i="120"/>
  <c r="AZ33" i="120"/>
  <c r="BF47" i="120"/>
  <c r="BH41" i="120"/>
  <c r="BA32" i="120"/>
  <c r="BJ27" i="120"/>
  <c r="AY40" i="120"/>
  <c r="BF27" i="120"/>
  <c r="AY34" i="120"/>
  <c r="AY38" i="120"/>
  <c r="BF12" i="120"/>
  <c r="AY12" i="120"/>
  <c r="AZ22" i="120"/>
  <c r="BA12" i="120"/>
  <c r="AJ6" i="120" s="1" a="1"/>
  <c r="AJ6" i="120" s="1"/>
  <c r="AY22" i="120"/>
  <c r="BF17" i="120"/>
  <c r="BG12" i="120"/>
  <c r="BG15" i="120"/>
  <c r="AZ15" i="120"/>
  <c r="AY15" i="120"/>
  <c r="BF14" i="120"/>
  <c r="BF46" i="120"/>
  <c r="BH46" i="120"/>
  <c r="AZ46" i="120"/>
  <c r="BH28" i="120"/>
  <c r="BF28" i="120"/>
  <c r="AK5" i="120" a="1"/>
  <c r="AK5" i="120" s="1"/>
  <c r="AY13" i="120"/>
  <c r="Z45" i="113"/>
  <c r="V48" i="113"/>
  <c r="W48" i="113"/>
  <c r="AK48" i="113"/>
  <c r="AY48" i="113" s="1"/>
  <c r="AG48" i="113"/>
  <c r="AH48" i="113"/>
  <c r="AU48" i="113"/>
  <c r="AV48" i="113"/>
  <c r="AZ48" i="113"/>
  <c r="BA48" i="113"/>
  <c r="BB48" i="113"/>
  <c r="BC48" i="113"/>
  <c r="BD48" i="113"/>
  <c r="BE48" i="113"/>
  <c r="BF48" i="113"/>
  <c r="BG48" i="113"/>
  <c r="BH48" i="113"/>
  <c r="BI48" i="113"/>
  <c r="BN10" i="113"/>
  <c r="AV48" i="117"/>
  <c r="AU48" i="117"/>
  <c r="AH48" i="117"/>
  <c r="BM47" i="117"/>
  <c r="BL47" i="117"/>
  <c r="AK47" i="117"/>
  <c r="W47" i="117"/>
  <c r="AY47" i="117" s="1"/>
  <c r="U47" i="117"/>
  <c r="T47" i="117"/>
  <c r="S47" i="117"/>
  <c r="R47" i="117"/>
  <c r="BI47" i="117" s="1"/>
  <c r="Q47" i="117"/>
  <c r="BD47" i="117" s="1"/>
  <c r="P47" i="117"/>
  <c r="BC47" i="117" s="1"/>
  <c r="O47" i="117"/>
  <c r="BB47" i="117" s="1"/>
  <c r="N47" i="117"/>
  <c r="M47" i="117"/>
  <c r="J47" i="117"/>
  <c r="BM46" i="117"/>
  <c r="BL46" i="117"/>
  <c r="AK46" i="117"/>
  <c r="W46" i="117"/>
  <c r="U46" i="117"/>
  <c r="T46" i="117"/>
  <c r="S46" i="117"/>
  <c r="R46" i="117"/>
  <c r="BI46" i="117" s="1"/>
  <c r="Q46" i="117"/>
  <c r="BD46" i="117" s="1"/>
  <c r="P46" i="117"/>
  <c r="BC46" i="117" s="1"/>
  <c r="O46" i="117"/>
  <c r="BB46" i="117" s="1"/>
  <c r="N46" i="117"/>
  <c r="BE46" i="117" s="1"/>
  <c r="M46" i="117"/>
  <c r="J46" i="117"/>
  <c r="L46" i="117" s="1"/>
  <c r="BM45" i="117"/>
  <c r="BL45" i="117"/>
  <c r="AK45" i="117"/>
  <c r="W45" i="117"/>
  <c r="U45" i="117"/>
  <c r="T45" i="117"/>
  <c r="S45" i="117"/>
  <c r="R45" i="117"/>
  <c r="BI45" i="117" s="1"/>
  <c r="Q45" i="117"/>
  <c r="P45" i="117"/>
  <c r="O45" i="117"/>
  <c r="N45" i="117"/>
  <c r="M45" i="117"/>
  <c r="J45" i="117"/>
  <c r="BM44" i="117"/>
  <c r="BL44" i="117"/>
  <c r="AK44" i="117"/>
  <c r="W44" i="117"/>
  <c r="U44" i="117"/>
  <c r="T44" i="117"/>
  <c r="S44" i="117"/>
  <c r="R44" i="117"/>
  <c r="BI44" i="117" s="1"/>
  <c r="Q44" i="117"/>
  <c r="P44" i="117"/>
  <c r="BC44" i="117" s="1"/>
  <c r="O44" i="117"/>
  <c r="BB44" i="117" s="1"/>
  <c r="N44" i="117"/>
  <c r="M44" i="117"/>
  <c r="J44" i="117"/>
  <c r="L44" i="117" s="1"/>
  <c r="BM43" i="117"/>
  <c r="BL43" i="117"/>
  <c r="AK43" i="117"/>
  <c r="W43" i="117"/>
  <c r="U43" i="117"/>
  <c r="T43" i="117"/>
  <c r="S43" i="117"/>
  <c r="R43" i="117"/>
  <c r="BI43" i="117" s="1"/>
  <c r="Q43" i="117"/>
  <c r="BD43" i="117" s="1"/>
  <c r="P43" i="117"/>
  <c r="BC43" i="117" s="1"/>
  <c r="O43" i="117"/>
  <c r="N43" i="117"/>
  <c r="BE43" i="117" s="1"/>
  <c r="M43" i="117"/>
  <c r="J43" i="117"/>
  <c r="BM42" i="117"/>
  <c r="BL42" i="117"/>
  <c r="AK42" i="117"/>
  <c r="W42" i="117"/>
  <c r="U42" i="117"/>
  <c r="T42" i="117"/>
  <c r="S42" i="117"/>
  <c r="R42" i="117"/>
  <c r="BI42" i="117" s="1"/>
  <c r="Q42" i="117"/>
  <c r="BH42" i="117" s="1"/>
  <c r="P42" i="117"/>
  <c r="BC42" i="117" s="1"/>
  <c r="O42" i="117"/>
  <c r="N42" i="117"/>
  <c r="BA42" i="117" s="1"/>
  <c r="M42" i="117"/>
  <c r="J42" i="117"/>
  <c r="L42" i="117" s="1"/>
  <c r="BM41" i="117"/>
  <c r="BL41" i="117"/>
  <c r="AK41" i="117"/>
  <c r="W41" i="117"/>
  <c r="U41" i="117"/>
  <c r="T41" i="117"/>
  <c r="S41" i="117"/>
  <c r="R41" i="117"/>
  <c r="BI41" i="117" s="1"/>
  <c r="Q41" i="117"/>
  <c r="BD41" i="117" s="1"/>
  <c r="P41" i="117"/>
  <c r="BC41" i="117" s="1"/>
  <c r="O41" i="117"/>
  <c r="BB41" i="117" s="1"/>
  <c r="N41" i="117"/>
  <c r="M41" i="117"/>
  <c r="J41" i="117"/>
  <c r="AK40" i="117"/>
  <c r="W40" i="117"/>
  <c r="U40" i="117"/>
  <c r="T40" i="117"/>
  <c r="S40" i="117"/>
  <c r="R40" i="117"/>
  <c r="BI40" i="117" s="1"/>
  <c r="Q40" i="117"/>
  <c r="BD40" i="117" s="1"/>
  <c r="P40" i="117"/>
  <c r="O40" i="117"/>
  <c r="N40" i="117"/>
  <c r="AH40" i="117" s="1"/>
  <c r="M40" i="117"/>
  <c r="J40" i="117"/>
  <c r="AK39" i="117"/>
  <c r="W39" i="117"/>
  <c r="U39" i="117"/>
  <c r="T39" i="117"/>
  <c r="S39" i="117"/>
  <c r="R39" i="117"/>
  <c r="BI39" i="117" s="1"/>
  <c r="Q39" i="117"/>
  <c r="BD39" i="117" s="1"/>
  <c r="P39" i="117"/>
  <c r="BC39" i="117" s="1"/>
  <c r="O39" i="117"/>
  <c r="BB39" i="117" s="1"/>
  <c r="N39" i="117"/>
  <c r="M39" i="117"/>
  <c r="J39" i="117"/>
  <c r="AK38" i="117"/>
  <c r="W38" i="117"/>
  <c r="U38" i="117"/>
  <c r="T38" i="117"/>
  <c r="S38" i="117"/>
  <c r="R38" i="117"/>
  <c r="BI38" i="117" s="1"/>
  <c r="Q38" i="117"/>
  <c r="BD38" i="117" s="1"/>
  <c r="P38" i="117"/>
  <c r="O38" i="117"/>
  <c r="N38" i="117"/>
  <c r="M38" i="117"/>
  <c r="J38" i="117"/>
  <c r="AK37" i="117"/>
  <c r="W37" i="117"/>
  <c r="U37" i="117"/>
  <c r="T37" i="117"/>
  <c r="S37" i="117"/>
  <c r="R37" i="117"/>
  <c r="BI37" i="117" s="1"/>
  <c r="Q37" i="117"/>
  <c r="BD37" i="117" s="1"/>
  <c r="P37" i="117"/>
  <c r="BC37" i="117" s="1"/>
  <c r="O37" i="117"/>
  <c r="BB37" i="117" s="1"/>
  <c r="N37" i="117"/>
  <c r="BE37" i="117" s="1"/>
  <c r="M37" i="117"/>
  <c r="J37" i="117"/>
  <c r="AK36" i="117"/>
  <c r="W36" i="117"/>
  <c r="U36" i="117"/>
  <c r="T36" i="117"/>
  <c r="S36" i="117"/>
  <c r="R36" i="117"/>
  <c r="BI36" i="117" s="1"/>
  <c r="Q36" i="117"/>
  <c r="P36" i="117"/>
  <c r="BC36" i="117" s="1"/>
  <c r="O36" i="117"/>
  <c r="BB36" i="117" s="1"/>
  <c r="N36" i="117"/>
  <c r="M36" i="117"/>
  <c r="J36" i="117"/>
  <c r="AK35" i="117"/>
  <c r="W35" i="117"/>
  <c r="L35" i="117" s="1"/>
  <c r="U35" i="117"/>
  <c r="T35" i="117"/>
  <c r="S35" i="117"/>
  <c r="R35" i="117"/>
  <c r="BI35" i="117" s="1"/>
  <c r="Q35" i="117"/>
  <c r="P35" i="117"/>
  <c r="BC35" i="117" s="1"/>
  <c r="O35" i="117"/>
  <c r="N35" i="117"/>
  <c r="AH35" i="117" s="1"/>
  <c r="M35" i="117"/>
  <c r="J35" i="117"/>
  <c r="AK34" i="117"/>
  <c r="W34" i="117"/>
  <c r="U34" i="117"/>
  <c r="T34" i="117"/>
  <c r="S34" i="117"/>
  <c r="R34" i="117"/>
  <c r="BI34" i="117" s="1"/>
  <c r="Q34" i="117"/>
  <c r="BD34" i="117" s="1"/>
  <c r="P34" i="117"/>
  <c r="BC34" i="117" s="1"/>
  <c r="O34" i="117"/>
  <c r="BB34" i="117" s="1"/>
  <c r="N34" i="117"/>
  <c r="BE34" i="117" s="1"/>
  <c r="M34" i="117"/>
  <c r="J34" i="117"/>
  <c r="AK33" i="117"/>
  <c r="W33" i="117"/>
  <c r="U33" i="117"/>
  <c r="T33" i="117"/>
  <c r="S33" i="117"/>
  <c r="R33" i="117"/>
  <c r="BI33" i="117" s="1"/>
  <c r="Q33" i="117"/>
  <c r="P33" i="117"/>
  <c r="O33" i="117"/>
  <c r="BB33" i="117" s="1"/>
  <c r="N33" i="117"/>
  <c r="M33" i="117"/>
  <c r="J33" i="117"/>
  <c r="AK32" i="117"/>
  <c r="W32" i="117"/>
  <c r="U32" i="117"/>
  <c r="T32" i="117"/>
  <c r="S32" i="117"/>
  <c r="R32" i="117"/>
  <c r="BI32" i="117" s="1"/>
  <c r="Q32" i="117"/>
  <c r="BD32" i="117" s="1"/>
  <c r="P32" i="117"/>
  <c r="O32" i="117"/>
  <c r="N32" i="117"/>
  <c r="M32" i="117"/>
  <c r="J32" i="117"/>
  <c r="AK31" i="117"/>
  <c r="W31" i="117"/>
  <c r="U31" i="117"/>
  <c r="T31" i="117"/>
  <c r="S31" i="117"/>
  <c r="R31" i="117"/>
  <c r="BI31" i="117" s="1"/>
  <c r="Q31" i="117"/>
  <c r="BD31" i="117" s="1"/>
  <c r="P31" i="117"/>
  <c r="BC31" i="117" s="1"/>
  <c r="O31" i="117"/>
  <c r="BB31" i="117" s="1"/>
  <c r="N31" i="117"/>
  <c r="M31" i="117"/>
  <c r="J31" i="117"/>
  <c r="AK30" i="117"/>
  <c r="W30" i="117"/>
  <c r="U30" i="117"/>
  <c r="T30" i="117"/>
  <c r="S30" i="117"/>
  <c r="R30" i="117"/>
  <c r="BI30" i="117" s="1"/>
  <c r="Q30" i="117"/>
  <c r="BD30" i="117" s="1"/>
  <c r="P30" i="117"/>
  <c r="O30" i="117"/>
  <c r="N30" i="117"/>
  <c r="M30" i="117"/>
  <c r="J30" i="117"/>
  <c r="AK29" i="117"/>
  <c r="W29" i="117"/>
  <c r="U29" i="117"/>
  <c r="T29" i="117"/>
  <c r="S29" i="117"/>
  <c r="R29" i="117"/>
  <c r="BI29" i="117" s="1"/>
  <c r="Q29" i="117"/>
  <c r="BD29" i="117" s="1"/>
  <c r="P29" i="117"/>
  <c r="BC29" i="117" s="1"/>
  <c r="O29" i="117"/>
  <c r="N29" i="117"/>
  <c r="BE29" i="117" s="1"/>
  <c r="M29" i="117"/>
  <c r="J29" i="117"/>
  <c r="AK28" i="117"/>
  <c r="W28" i="117"/>
  <c r="U28" i="117"/>
  <c r="T28" i="117"/>
  <c r="S28" i="117"/>
  <c r="R28" i="117"/>
  <c r="BI28" i="117" s="1"/>
  <c r="Q28" i="117"/>
  <c r="P28" i="117"/>
  <c r="BC28" i="117" s="1"/>
  <c r="O28" i="117"/>
  <c r="BB28" i="117" s="1"/>
  <c r="N28" i="117"/>
  <c r="M28" i="117"/>
  <c r="J28" i="117"/>
  <c r="AK27" i="117"/>
  <c r="W27" i="117"/>
  <c r="U27" i="117"/>
  <c r="T27" i="117"/>
  <c r="S27" i="117"/>
  <c r="R27" i="117"/>
  <c r="BI27" i="117" s="1"/>
  <c r="Q27" i="117"/>
  <c r="P27" i="117"/>
  <c r="BC27" i="117" s="1"/>
  <c r="O27" i="117"/>
  <c r="N27" i="117"/>
  <c r="M27" i="117"/>
  <c r="J27" i="117"/>
  <c r="AK26" i="117"/>
  <c r="W26" i="117"/>
  <c r="U26" i="117"/>
  <c r="T26" i="117"/>
  <c r="S26" i="117"/>
  <c r="R26" i="117"/>
  <c r="BI26" i="117" s="1"/>
  <c r="Q26" i="117"/>
  <c r="BD26" i="117" s="1"/>
  <c r="P26" i="117"/>
  <c r="BC26" i="117" s="1"/>
  <c r="O26" i="117"/>
  <c r="BB26" i="117" s="1"/>
  <c r="N26" i="117"/>
  <c r="M26" i="117"/>
  <c r="J26" i="117"/>
  <c r="AK25" i="117"/>
  <c r="W25" i="117"/>
  <c r="U25" i="117"/>
  <c r="T25" i="117"/>
  <c r="S25" i="117"/>
  <c r="R25" i="117"/>
  <c r="BI25" i="117" s="1"/>
  <c r="Q25" i="117"/>
  <c r="P25" i="117"/>
  <c r="O25" i="117"/>
  <c r="BB25" i="117" s="1"/>
  <c r="N25" i="117"/>
  <c r="M25" i="117"/>
  <c r="J25" i="117"/>
  <c r="BB24" i="117"/>
  <c r="AK24" i="117"/>
  <c r="W24" i="117"/>
  <c r="U24" i="117"/>
  <c r="T24" i="117"/>
  <c r="S24" i="117"/>
  <c r="R24" i="117"/>
  <c r="BI24" i="117" s="1"/>
  <c r="Q24" i="117"/>
  <c r="BD24" i="117" s="1"/>
  <c r="P24" i="117"/>
  <c r="O24" i="117"/>
  <c r="N24" i="117"/>
  <c r="BE24" i="117" s="1"/>
  <c r="M24" i="117"/>
  <c r="J24" i="117"/>
  <c r="L24" i="117" s="1"/>
  <c r="AK23" i="117"/>
  <c r="W23" i="117"/>
  <c r="U23" i="117"/>
  <c r="T23" i="117"/>
  <c r="S23" i="117"/>
  <c r="R23" i="117"/>
  <c r="BI23" i="117" s="1"/>
  <c r="Q23" i="117"/>
  <c r="BD23" i="117" s="1"/>
  <c r="P23" i="117"/>
  <c r="BC23" i="117" s="1"/>
  <c r="O23" i="117"/>
  <c r="N23" i="117"/>
  <c r="BE23" i="117" s="1"/>
  <c r="M23" i="117"/>
  <c r="J23" i="117"/>
  <c r="L23" i="117" s="1"/>
  <c r="AK22" i="117"/>
  <c r="W22" i="117"/>
  <c r="U22" i="117"/>
  <c r="T22" i="117"/>
  <c r="S22" i="117"/>
  <c r="R22" i="117"/>
  <c r="BI22" i="117" s="1"/>
  <c r="Q22" i="117"/>
  <c r="BD22" i="117" s="1"/>
  <c r="P22" i="117"/>
  <c r="BC22" i="117" s="1"/>
  <c r="O22" i="117"/>
  <c r="BB22" i="117" s="1"/>
  <c r="N22" i="117"/>
  <c r="BE22" i="117" s="1"/>
  <c r="M22" i="117"/>
  <c r="J22" i="117"/>
  <c r="AK21" i="117"/>
  <c r="W21" i="117"/>
  <c r="U21" i="117"/>
  <c r="T21" i="117"/>
  <c r="S21" i="117"/>
  <c r="R21" i="117"/>
  <c r="BI21" i="117" s="1"/>
  <c r="Q21" i="117"/>
  <c r="BD21" i="117" s="1"/>
  <c r="P21" i="117"/>
  <c r="BC21" i="117" s="1"/>
  <c r="O21" i="117"/>
  <c r="BB21" i="117" s="1"/>
  <c r="N21" i="117"/>
  <c r="M21" i="117"/>
  <c r="J21" i="117"/>
  <c r="AK20" i="117"/>
  <c r="W20" i="117"/>
  <c r="L20" i="117" s="1"/>
  <c r="U20" i="117"/>
  <c r="T20" i="117"/>
  <c r="S20" i="117"/>
  <c r="R20" i="117"/>
  <c r="BI20" i="117" s="1"/>
  <c r="Q20" i="117"/>
  <c r="P20" i="117"/>
  <c r="O20" i="117"/>
  <c r="BB20" i="117" s="1"/>
  <c r="N20" i="117"/>
  <c r="AW20" i="117" s="1"/>
  <c r="M20" i="117"/>
  <c r="J20" i="117"/>
  <c r="AK19" i="117"/>
  <c r="W19" i="117"/>
  <c r="U19" i="117"/>
  <c r="T19" i="117"/>
  <c r="S19" i="117"/>
  <c r="R19" i="117"/>
  <c r="BI19" i="117" s="1"/>
  <c r="Q19" i="117"/>
  <c r="BD19" i="117" s="1"/>
  <c r="P19" i="117"/>
  <c r="BC19" i="117" s="1"/>
  <c r="O19" i="117"/>
  <c r="N19" i="117"/>
  <c r="BE19" i="117" s="1"/>
  <c r="M19" i="117"/>
  <c r="J19" i="117"/>
  <c r="AK18" i="117"/>
  <c r="W18" i="117"/>
  <c r="U18" i="117"/>
  <c r="T18" i="117"/>
  <c r="S18" i="117"/>
  <c r="R18" i="117"/>
  <c r="BI18" i="117" s="1"/>
  <c r="Q18" i="117"/>
  <c r="BD18" i="117" s="1"/>
  <c r="P18" i="117"/>
  <c r="BC18" i="117" s="1"/>
  <c r="O18" i="117"/>
  <c r="BB18" i="117" s="1"/>
  <c r="N18" i="117"/>
  <c r="M18" i="117"/>
  <c r="J18" i="117"/>
  <c r="AK17" i="117"/>
  <c r="W17" i="117"/>
  <c r="U17" i="117"/>
  <c r="T17" i="117"/>
  <c r="S17" i="117"/>
  <c r="R17" i="117"/>
  <c r="Q17" i="117"/>
  <c r="BD17" i="117" s="1"/>
  <c r="P17" i="117"/>
  <c r="O17" i="117"/>
  <c r="BB17" i="117" s="1"/>
  <c r="N17" i="117"/>
  <c r="BA17" i="117" s="1"/>
  <c r="M17" i="117"/>
  <c r="J17" i="117"/>
  <c r="AK16" i="117"/>
  <c r="W16" i="117"/>
  <c r="U16" i="117"/>
  <c r="T16" i="117"/>
  <c r="S16" i="117"/>
  <c r="R16" i="117"/>
  <c r="BI16" i="117" s="1"/>
  <c r="Q16" i="117"/>
  <c r="P16" i="117"/>
  <c r="BG16" i="117" s="1"/>
  <c r="O16" i="117"/>
  <c r="BB16" i="117" s="1"/>
  <c r="N16" i="117"/>
  <c r="M16" i="117"/>
  <c r="J16" i="117"/>
  <c r="AK15" i="117"/>
  <c r="W15" i="117"/>
  <c r="U15" i="117"/>
  <c r="T15" i="117"/>
  <c r="S15" i="117"/>
  <c r="R15" i="117"/>
  <c r="BI15" i="117" s="1"/>
  <c r="Q15" i="117"/>
  <c r="BD15" i="117" s="1"/>
  <c r="P15" i="117"/>
  <c r="O15" i="117"/>
  <c r="BB15" i="117" s="1"/>
  <c r="N15" i="117"/>
  <c r="BA15" i="117" s="1"/>
  <c r="M15" i="117"/>
  <c r="J15" i="117"/>
  <c r="AK14" i="117"/>
  <c r="W14" i="117"/>
  <c r="U14" i="117"/>
  <c r="T14" i="117"/>
  <c r="S14" i="117"/>
  <c r="R14" i="117"/>
  <c r="BI14" i="117" s="1"/>
  <c r="Q14" i="117"/>
  <c r="P14" i="117"/>
  <c r="BC14" i="117" s="1"/>
  <c r="O14" i="117"/>
  <c r="N14" i="117"/>
  <c r="M14" i="117"/>
  <c r="J14" i="117"/>
  <c r="AK13" i="117"/>
  <c r="W13" i="117"/>
  <c r="U13" i="117"/>
  <c r="T13" i="117"/>
  <c r="S13" i="117"/>
  <c r="R13" i="117"/>
  <c r="BI13" i="117" s="1"/>
  <c r="Q13" i="117"/>
  <c r="BD13" i="117" s="1"/>
  <c r="P13" i="117"/>
  <c r="O13" i="117"/>
  <c r="BF13" i="117" s="1"/>
  <c r="N13" i="117"/>
  <c r="BE13" i="117" s="1"/>
  <c r="M13" i="117"/>
  <c r="J13" i="117"/>
  <c r="AK12" i="117"/>
  <c r="W12" i="117"/>
  <c r="L12" i="117" s="1"/>
  <c r="U12" i="117"/>
  <c r="T12" i="117"/>
  <c r="S12" i="117"/>
  <c r="R12" i="117"/>
  <c r="Q12" i="117"/>
  <c r="BD12" i="117" s="1"/>
  <c r="P12" i="117"/>
  <c r="O12" i="117"/>
  <c r="N12" i="117"/>
  <c r="BE12" i="117" s="1"/>
  <c r="M12" i="117"/>
  <c r="J12" i="117"/>
  <c r="BN10" i="117"/>
  <c r="BM47" i="116"/>
  <c r="BL47" i="116"/>
  <c r="AK47" i="116"/>
  <c r="W47" i="116"/>
  <c r="AY47" i="116" s="1"/>
  <c r="U47" i="116"/>
  <c r="T47" i="116"/>
  <c r="S47" i="116"/>
  <c r="R47" i="116"/>
  <c r="BI47" i="116" s="1"/>
  <c r="Q47" i="116"/>
  <c r="BD47" i="116" s="1"/>
  <c r="P47" i="116"/>
  <c r="O47" i="116"/>
  <c r="BB47" i="116" s="1"/>
  <c r="N47" i="116"/>
  <c r="M47" i="116"/>
  <c r="AZ47" i="116" s="1"/>
  <c r="J47" i="116"/>
  <c r="BM46" i="116"/>
  <c r="BL46" i="116"/>
  <c r="W46" i="116"/>
  <c r="U46" i="116"/>
  <c r="T46" i="116"/>
  <c r="S46" i="116"/>
  <c r="R46" i="116"/>
  <c r="BI46" i="116" s="1"/>
  <c r="Q46" i="116"/>
  <c r="BD46" i="116" s="1"/>
  <c r="P46" i="116"/>
  <c r="BC46" i="116" s="1"/>
  <c r="O46" i="116"/>
  <c r="BB46" i="116" s="1"/>
  <c r="N46" i="116"/>
  <c r="M46" i="116"/>
  <c r="J46" i="116"/>
  <c r="L46" i="116" s="1"/>
  <c r="BM45" i="116"/>
  <c r="BL45" i="116"/>
  <c r="W45" i="116"/>
  <c r="U45" i="116"/>
  <c r="T45" i="116"/>
  <c r="S45" i="116"/>
  <c r="R45" i="116"/>
  <c r="BI45" i="116" s="1"/>
  <c r="Q45" i="116"/>
  <c r="BD45" i="116" s="1"/>
  <c r="P45" i="116"/>
  <c r="BC45" i="116" s="1"/>
  <c r="O45" i="116"/>
  <c r="BB45" i="116" s="1"/>
  <c r="N45" i="116"/>
  <c r="BA45" i="116" s="1"/>
  <c r="M45" i="116"/>
  <c r="J45" i="116"/>
  <c r="L45" i="116" s="1"/>
  <c r="BM44" i="116"/>
  <c r="BL44" i="116"/>
  <c r="W44" i="116"/>
  <c r="U44" i="116"/>
  <c r="T44" i="116"/>
  <c r="S44" i="116"/>
  <c r="R44" i="116"/>
  <c r="BI44" i="116" s="1"/>
  <c r="Q44" i="116"/>
  <c r="BD44" i="116" s="1"/>
  <c r="P44" i="116"/>
  <c r="BC44" i="116" s="1"/>
  <c r="O44" i="116"/>
  <c r="BB44" i="116" s="1"/>
  <c r="N44" i="116"/>
  <c r="M44" i="116"/>
  <c r="J44" i="116"/>
  <c r="BM43" i="116"/>
  <c r="BL43" i="116"/>
  <c r="W43" i="116"/>
  <c r="U43" i="116"/>
  <c r="T43" i="116"/>
  <c r="S43" i="116"/>
  <c r="R43" i="116"/>
  <c r="BI43" i="116" s="1"/>
  <c r="Q43" i="116"/>
  <c r="BD43" i="116" s="1"/>
  <c r="P43" i="116"/>
  <c r="BC43" i="116" s="1"/>
  <c r="O43" i="116"/>
  <c r="BB43" i="116" s="1"/>
  <c r="N43" i="116"/>
  <c r="M43" i="116"/>
  <c r="J43" i="116"/>
  <c r="BM42" i="116"/>
  <c r="BL42" i="116"/>
  <c r="W42" i="116"/>
  <c r="U42" i="116"/>
  <c r="T42" i="116"/>
  <c r="S42" i="116"/>
  <c r="R42" i="116"/>
  <c r="BI42" i="116" s="1"/>
  <c r="Q42" i="116"/>
  <c r="BD42" i="116" s="1"/>
  <c r="P42" i="116"/>
  <c r="BC42" i="116" s="1"/>
  <c r="O42" i="116"/>
  <c r="BB42" i="116" s="1"/>
  <c r="N42" i="116"/>
  <c r="BA42" i="116" s="1"/>
  <c r="M42" i="116"/>
  <c r="J42" i="116"/>
  <c r="L42" i="116" s="1"/>
  <c r="BM41" i="116"/>
  <c r="BL41" i="116"/>
  <c r="W41" i="116"/>
  <c r="U41" i="116"/>
  <c r="T41" i="116"/>
  <c r="S41" i="116"/>
  <c r="R41" i="116"/>
  <c r="BI41" i="116" s="1"/>
  <c r="Q41" i="116"/>
  <c r="BD41" i="116" s="1"/>
  <c r="P41" i="116"/>
  <c r="BC41" i="116" s="1"/>
  <c r="O41" i="116"/>
  <c r="BB41" i="116" s="1"/>
  <c r="N41" i="116"/>
  <c r="M41" i="116"/>
  <c r="J41" i="116"/>
  <c r="L41" i="116" s="1"/>
  <c r="W40" i="116"/>
  <c r="U40" i="116"/>
  <c r="T40" i="116"/>
  <c r="S40" i="116"/>
  <c r="R40" i="116"/>
  <c r="BI40" i="116" s="1"/>
  <c r="Q40" i="116"/>
  <c r="BD40" i="116" s="1"/>
  <c r="P40" i="116"/>
  <c r="BC40" i="116" s="1"/>
  <c r="O40" i="116"/>
  <c r="BB40" i="116" s="1"/>
  <c r="N40" i="116"/>
  <c r="M40" i="116"/>
  <c r="J40" i="116"/>
  <c r="L40" i="116" s="1"/>
  <c r="W39" i="116"/>
  <c r="U39" i="116"/>
  <c r="T39" i="116"/>
  <c r="S39" i="116"/>
  <c r="R39" i="116"/>
  <c r="BI39" i="116" s="1"/>
  <c r="Q39" i="116"/>
  <c r="BD39" i="116" s="1"/>
  <c r="P39" i="116"/>
  <c r="BC39" i="116" s="1"/>
  <c r="O39" i="116"/>
  <c r="BB39" i="116" s="1"/>
  <c r="N39" i="116"/>
  <c r="M39" i="116"/>
  <c r="J39" i="116"/>
  <c r="W38" i="116"/>
  <c r="U38" i="116"/>
  <c r="T38" i="116"/>
  <c r="S38" i="116"/>
  <c r="R38" i="116"/>
  <c r="BI38" i="116" s="1"/>
  <c r="Q38" i="116"/>
  <c r="BD38" i="116" s="1"/>
  <c r="P38" i="116"/>
  <c r="BC38" i="116" s="1"/>
  <c r="O38" i="116"/>
  <c r="BB38" i="116" s="1"/>
  <c r="N38" i="116"/>
  <c r="M38" i="116"/>
  <c r="J38" i="116"/>
  <c r="W37" i="116"/>
  <c r="U37" i="116"/>
  <c r="T37" i="116"/>
  <c r="S37" i="116"/>
  <c r="R37" i="116"/>
  <c r="BI37" i="116" s="1"/>
  <c r="Q37" i="116"/>
  <c r="BD37" i="116" s="1"/>
  <c r="P37" i="116"/>
  <c r="BC37" i="116" s="1"/>
  <c r="O37" i="116"/>
  <c r="BB37" i="116" s="1"/>
  <c r="N37" i="116"/>
  <c r="M37" i="116"/>
  <c r="J37" i="116"/>
  <c r="L37" i="116" s="1"/>
  <c r="W36" i="116"/>
  <c r="U36" i="116"/>
  <c r="T36" i="116"/>
  <c r="S36" i="116"/>
  <c r="R36" i="116"/>
  <c r="BI36" i="116" s="1"/>
  <c r="Q36" i="116"/>
  <c r="BD36" i="116" s="1"/>
  <c r="P36" i="116"/>
  <c r="BC36" i="116" s="1"/>
  <c r="O36" i="116"/>
  <c r="BB36" i="116" s="1"/>
  <c r="N36" i="116"/>
  <c r="M36" i="116"/>
  <c r="J36" i="116"/>
  <c r="L36" i="116" s="1"/>
  <c r="W35" i="116"/>
  <c r="U35" i="116"/>
  <c r="T35" i="116"/>
  <c r="S35" i="116"/>
  <c r="R35" i="116"/>
  <c r="BI35" i="116" s="1"/>
  <c r="Q35" i="116"/>
  <c r="BD35" i="116" s="1"/>
  <c r="P35" i="116"/>
  <c r="BC35" i="116" s="1"/>
  <c r="O35" i="116"/>
  <c r="BB35" i="116" s="1"/>
  <c r="N35" i="116"/>
  <c r="M35" i="116"/>
  <c r="J35" i="116"/>
  <c r="W34" i="116"/>
  <c r="U34" i="116"/>
  <c r="T34" i="116"/>
  <c r="S34" i="116"/>
  <c r="R34" i="116"/>
  <c r="BI34" i="116" s="1"/>
  <c r="Q34" i="116"/>
  <c r="BD34" i="116" s="1"/>
  <c r="P34" i="116"/>
  <c r="BC34" i="116" s="1"/>
  <c r="O34" i="116"/>
  <c r="BB34" i="116" s="1"/>
  <c r="N34" i="116"/>
  <c r="M34" i="116"/>
  <c r="J34" i="116"/>
  <c r="W33" i="116"/>
  <c r="AY33" i="116" s="1"/>
  <c r="U33" i="116"/>
  <c r="T33" i="116"/>
  <c r="S33" i="116"/>
  <c r="R33" i="116"/>
  <c r="BI33" i="116" s="1"/>
  <c r="Q33" i="116"/>
  <c r="BD33" i="116" s="1"/>
  <c r="P33" i="116"/>
  <c r="BC33" i="116" s="1"/>
  <c r="O33" i="116"/>
  <c r="BB33" i="116" s="1"/>
  <c r="N33" i="116"/>
  <c r="M33" i="116"/>
  <c r="AH33" i="116" s="1"/>
  <c r="J33" i="116"/>
  <c r="L33" i="116" s="1"/>
  <c r="W32" i="116"/>
  <c r="U32" i="116"/>
  <c r="T32" i="116"/>
  <c r="S32" i="116"/>
  <c r="R32" i="116"/>
  <c r="BI32" i="116" s="1"/>
  <c r="Q32" i="116"/>
  <c r="BD32" i="116" s="1"/>
  <c r="P32" i="116"/>
  <c r="BC32" i="116" s="1"/>
  <c r="O32" i="116"/>
  <c r="BB32" i="116" s="1"/>
  <c r="N32" i="116"/>
  <c r="M32" i="116"/>
  <c r="J32" i="116"/>
  <c r="L32" i="116" s="1"/>
  <c r="W31" i="116"/>
  <c r="U31" i="116"/>
  <c r="T31" i="116"/>
  <c r="S31" i="116"/>
  <c r="R31" i="116"/>
  <c r="BI31" i="116" s="1"/>
  <c r="Q31" i="116"/>
  <c r="BD31" i="116" s="1"/>
  <c r="P31" i="116"/>
  <c r="BC31" i="116" s="1"/>
  <c r="O31" i="116"/>
  <c r="BB31" i="116" s="1"/>
  <c r="N31" i="116"/>
  <c r="M31" i="116"/>
  <c r="J31" i="116"/>
  <c r="W30" i="116"/>
  <c r="U30" i="116"/>
  <c r="T30" i="116"/>
  <c r="S30" i="116"/>
  <c r="R30" i="116"/>
  <c r="BI30" i="116" s="1"/>
  <c r="Q30" i="116"/>
  <c r="BD30" i="116" s="1"/>
  <c r="P30" i="116"/>
  <c r="BC30" i="116" s="1"/>
  <c r="O30" i="116"/>
  <c r="BB30" i="116" s="1"/>
  <c r="N30" i="116"/>
  <c r="M30" i="116"/>
  <c r="J30" i="116"/>
  <c r="W29" i="116"/>
  <c r="U29" i="116"/>
  <c r="T29" i="116"/>
  <c r="S29" i="116"/>
  <c r="R29" i="116"/>
  <c r="BI29" i="116" s="1"/>
  <c r="Q29" i="116"/>
  <c r="BD29" i="116" s="1"/>
  <c r="P29" i="116"/>
  <c r="BC29" i="116" s="1"/>
  <c r="O29" i="116"/>
  <c r="BB29" i="116" s="1"/>
  <c r="N29" i="116"/>
  <c r="M29" i="116"/>
  <c r="J29" i="116"/>
  <c r="L29" i="116" s="1"/>
  <c r="W28" i="116"/>
  <c r="U28" i="116"/>
  <c r="T28" i="116"/>
  <c r="S28" i="116"/>
  <c r="R28" i="116"/>
  <c r="BI28" i="116" s="1"/>
  <c r="Q28" i="116"/>
  <c r="BD28" i="116" s="1"/>
  <c r="P28" i="116"/>
  <c r="BC28" i="116" s="1"/>
  <c r="O28" i="116"/>
  <c r="BB28" i="116" s="1"/>
  <c r="N28" i="116"/>
  <c r="M28" i="116"/>
  <c r="J28" i="116"/>
  <c r="L28" i="116" s="1"/>
  <c r="W27" i="116"/>
  <c r="U27" i="116"/>
  <c r="T27" i="116"/>
  <c r="S27" i="116"/>
  <c r="R27" i="116"/>
  <c r="BI27" i="116" s="1"/>
  <c r="Q27" i="116"/>
  <c r="BD27" i="116" s="1"/>
  <c r="P27" i="116"/>
  <c r="BC27" i="116" s="1"/>
  <c r="O27" i="116"/>
  <c r="BB27" i="116" s="1"/>
  <c r="N27" i="116"/>
  <c r="M27" i="116"/>
  <c r="J27" i="116"/>
  <c r="W26" i="116"/>
  <c r="U26" i="116"/>
  <c r="T26" i="116"/>
  <c r="S26" i="116"/>
  <c r="R26" i="116"/>
  <c r="BI26" i="116" s="1"/>
  <c r="Q26" i="116"/>
  <c r="BD26" i="116" s="1"/>
  <c r="P26" i="116"/>
  <c r="BC26" i="116" s="1"/>
  <c r="O26" i="116"/>
  <c r="BB26" i="116" s="1"/>
  <c r="N26" i="116"/>
  <c r="BA26" i="116" s="1"/>
  <c r="M26" i="116"/>
  <c r="J26" i="116"/>
  <c r="W25" i="116"/>
  <c r="U25" i="116"/>
  <c r="T25" i="116"/>
  <c r="S25" i="116"/>
  <c r="R25" i="116"/>
  <c r="BI25" i="116" s="1"/>
  <c r="Q25" i="116"/>
  <c r="BD25" i="116" s="1"/>
  <c r="P25" i="116"/>
  <c r="BC25" i="116" s="1"/>
  <c r="O25" i="116"/>
  <c r="BB25" i="116" s="1"/>
  <c r="N25" i="116"/>
  <c r="M25" i="116"/>
  <c r="AH25" i="116" s="1"/>
  <c r="J25" i="116"/>
  <c r="L25" i="116" s="1"/>
  <c r="W24" i="116"/>
  <c r="U24" i="116"/>
  <c r="T24" i="116"/>
  <c r="S24" i="116"/>
  <c r="R24" i="116"/>
  <c r="BI24" i="116" s="1"/>
  <c r="Q24" i="116"/>
  <c r="BD24" i="116" s="1"/>
  <c r="P24" i="116"/>
  <c r="BC24" i="116" s="1"/>
  <c r="O24" i="116"/>
  <c r="BB24" i="116" s="1"/>
  <c r="N24" i="116"/>
  <c r="M24" i="116"/>
  <c r="J24" i="116"/>
  <c r="L24" i="116" s="1"/>
  <c r="W23" i="116"/>
  <c r="U23" i="116"/>
  <c r="T23" i="116"/>
  <c r="S23" i="116"/>
  <c r="R23" i="116"/>
  <c r="BI23" i="116" s="1"/>
  <c r="Q23" i="116"/>
  <c r="BD23" i="116" s="1"/>
  <c r="P23" i="116"/>
  <c r="BC23" i="116" s="1"/>
  <c r="O23" i="116"/>
  <c r="BB23" i="116" s="1"/>
  <c r="N23" i="116"/>
  <c r="M23" i="116"/>
  <c r="J23" i="116"/>
  <c r="W22" i="116"/>
  <c r="U22" i="116"/>
  <c r="T22" i="116"/>
  <c r="S22" i="116"/>
  <c r="R22" i="116"/>
  <c r="BI22" i="116" s="1"/>
  <c r="Q22" i="116"/>
  <c r="BD22" i="116" s="1"/>
  <c r="P22" i="116"/>
  <c r="BC22" i="116" s="1"/>
  <c r="O22" i="116"/>
  <c r="BB22" i="116" s="1"/>
  <c r="N22" i="116"/>
  <c r="M22" i="116"/>
  <c r="J22" i="116"/>
  <c r="W21" i="116"/>
  <c r="U21" i="116"/>
  <c r="T21" i="116"/>
  <c r="S21" i="116"/>
  <c r="R21" i="116"/>
  <c r="BI21" i="116" s="1"/>
  <c r="Q21" i="116"/>
  <c r="BD21" i="116" s="1"/>
  <c r="P21" i="116"/>
  <c r="BC21" i="116" s="1"/>
  <c r="O21" i="116"/>
  <c r="BB21" i="116" s="1"/>
  <c r="N21" i="116"/>
  <c r="M21" i="116"/>
  <c r="J21" i="116"/>
  <c r="L21" i="116" s="1"/>
  <c r="W20" i="116"/>
  <c r="U20" i="116"/>
  <c r="T20" i="116"/>
  <c r="S20" i="116"/>
  <c r="R20" i="116"/>
  <c r="BI20" i="116" s="1"/>
  <c r="Q20" i="116"/>
  <c r="BD20" i="116" s="1"/>
  <c r="P20" i="116"/>
  <c r="O20" i="116"/>
  <c r="BB20" i="116" s="1"/>
  <c r="N20" i="116"/>
  <c r="M20" i="116"/>
  <c r="J20" i="116"/>
  <c r="L20" i="116" s="1"/>
  <c r="W19" i="116"/>
  <c r="U19" i="116"/>
  <c r="T19" i="116"/>
  <c r="S19" i="116"/>
  <c r="R19" i="116"/>
  <c r="BI19" i="116" s="1"/>
  <c r="Q19" i="116"/>
  <c r="BD19" i="116" s="1"/>
  <c r="P19" i="116"/>
  <c r="BC19" i="116" s="1"/>
  <c r="O19" i="116"/>
  <c r="N19" i="116"/>
  <c r="M19" i="116"/>
  <c r="J19" i="116"/>
  <c r="W18" i="116"/>
  <c r="U18" i="116"/>
  <c r="T18" i="116"/>
  <c r="S18" i="116"/>
  <c r="R18" i="116"/>
  <c r="BI18" i="116" s="1"/>
  <c r="Q18" i="116"/>
  <c r="BD18" i="116" s="1"/>
  <c r="P18" i="116"/>
  <c r="BC18" i="116" s="1"/>
  <c r="O18" i="116"/>
  <c r="BB18" i="116" s="1"/>
  <c r="N18" i="116"/>
  <c r="AV18" i="116" s="1"/>
  <c r="M18" i="116"/>
  <c r="J18" i="116"/>
  <c r="AU17" i="116"/>
  <c r="BO17" i="116" s="1"/>
  <c r="AG17" i="116"/>
  <c r="W17" i="116"/>
  <c r="U17" i="116"/>
  <c r="T17" i="116"/>
  <c r="S17" i="116"/>
  <c r="R17" i="116"/>
  <c r="BI17" i="116" s="1"/>
  <c r="Q17" i="116"/>
  <c r="BD17" i="116" s="1"/>
  <c r="P17" i="116"/>
  <c r="O17" i="116"/>
  <c r="BB17" i="116" s="1"/>
  <c r="N17" i="116"/>
  <c r="BA17" i="116" s="1"/>
  <c r="M17" i="116"/>
  <c r="J17" i="116"/>
  <c r="W16" i="116"/>
  <c r="AY16" i="116" s="1"/>
  <c r="U16" i="116"/>
  <c r="T16" i="116"/>
  <c r="S16" i="116"/>
  <c r="R16" i="116"/>
  <c r="BI16" i="116" s="1"/>
  <c r="Q16" i="116"/>
  <c r="BD16" i="116" s="1"/>
  <c r="P16" i="116"/>
  <c r="O16" i="116"/>
  <c r="BB16" i="116" s="1"/>
  <c r="N16" i="116"/>
  <c r="M16" i="116"/>
  <c r="J16" i="116"/>
  <c r="W15" i="116"/>
  <c r="U15" i="116"/>
  <c r="T15" i="116"/>
  <c r="S15" i="116"/>
  <c r="R15" i="116"/>
  <c r="BI15" i="116" s="1"/>
  <c r="Q15" i="116"/>
  <c r="P15" i="116"/>
  <c r="BC15" i="116" s="1"/>
  <c r="O15" i="116"/>
  <c r="N15" i="116"/>
  <c r="BA15" i="116" s="1"/>
  <c r="M15" i="116"/>
  <c r="J15" i="116"/>
  <c r="W14" i="116"/>
  <c r="U14" i="116"/>
  <c r="T14" i="116"/>
  <c r="S14" i="116"/>
  <c r="R14" i="116"/>
  <c r="Q14" i="116"/>
  <c r="BD14" i="116" s="1"/>
  <c r="P14" i="116"/>
  <c r="O14" i="116"/>
  <c r="BB14" i="116" s="1"/>
  <c r="N14" i="116"/>
  <c r="M14" i="116"/>
  <c r="J14" i="116"/>
  <c r="L14" i="116" s="1"/>
  <c r="AU13" i="116"/>
  <c r="BO13" i="116" s="1"/>
  <c r="W13" i="116"/>
  <c r="AY13" i="116" s="1"/>
  <c r="U13" i="116"/>
  <c r="T13" i="116"/>
  <c r="S13" i="116"/>
  <c r="R13" i="116"/>
  <c r="BI13" i="116" s="1"/>
  <c r="Q13" i="116"/>
  <c r="P13" i="116"/>
  <c r="BC13" i="116" s="1"/>
  <c r="O13" i="116"/>
  <c r="N13" i="116"/>
  <c r="M13" i="116"/>
  <c r="J13" i="116"/>
  <c r="L13" i="116" s="1"/>
  <c r="W12" i="116"/>
  <c r="U12" i="116"/>
  <c r="T12" i="116"/>
  <c r="S12" i="116"/>
  <c r="R12" i="116"/>
  <c r="BI12" i="116" s="1"/>
  <c r="Q12" i="116"/>
  <c r="P12" i="116"/>
  <c r="O12" i="116"/>
  <c r="N12" i="116"/>
  <c r="M12" i="116"/>
  <c r="J12" i="116"/>
  <c r="L12" i="116" s="1"/>
  <c r="BN10" i="116"/>
  <c r="AK43" i="113"/>
  <c r="AK44" i="113"/>
  <c r="AK47" i="113"/>
  <c r="BM47" i="113"/>
  <c r="BL47" i="113"/>
  <c r="W47" i="113"/>
  <c r="U47" i="113"/>
  <c r="T47" i="113"/>
  <c r="S47" i="113"/>
  <c r="R47" i="113"/>
  <c r="BI47" i="113" s="1"/>
  <c r="Q47" i="113"/>
  <c r="P47" i="113"/>
  <c r="O47" i="113"/>
  <c r="N47" i="113"/>
  <c r="M47" i="113"/>
  <c r="J47" i="113"/>
  <c r="BM46" i="113"/>
  <c r="BL46" i="113"/>
  <c r="W46" i="113"/>
  <c r="U46" i="113"/>
  <c r="T46" i="113"/>
  <c r="S46" i="113"/>
  <c r="R46" i="113"/>
  <c r="BI46" i="113" s="1"/>
  <c r="Q46" i="113"/>
  <c r="P46" i="113"/>
  <c r="O46" i="113"/>
  <c r="N46" i="113"/>
  <c r="M46" i="113"/>
  <c r="J46" i="113"/>
  <c r="BM45" i="113"/>
  <c r="BL45" i="113"/>
  <c r="U45" i="113"/>
  <c r="T45" i="113"/>
  <c r="S45" i="113"/>
  <c r="R45" i="113"/>
  <c r="BI45" i="113" s="1"/>
  <c r="Q45" i="113"/>
  <c r="P45" i="113"/>
  <c r="O45" i="113"/>
  <c r="N45" i="113"/>
  <c r="M45" i="113"/>
  <c r="J45" i="113"/>
  <c r="BM44" i="113"/>
  <c r="BL44" i="113"/>
  <c r="W44" i="113"/>
  <c r="U44" i="113"/>
  <c r="T44" i="113"/>
  <c r="S44" i="113"/>
  <c r="R44" i="113"/>
  <c r="BI44" i="113" s="1"/>
  <c r="Q44" i="113"/>
  <c r="P44" i="113"/>
  <c r="O44" i="113"/>
  <c r="N44" i="113"/>
  <c r="M44" i="113"/>
  <c r="J44" i="113"/>
  <c r="BM43" i="113"/>
  <c r="BL43" i="113"/>
  <c r="W43" i="113"/>
  <c r="U43" i="113"/>
  <c r="T43" i="113"/>
  <c r="S43" i="113"/>
  <c r="R43" i="113"/>
  <c r="BI43" i="113" s="1"/>
  <c r="Q43" i="113"/>
  <c r="P43" i="113"/>
  <c r="O43" i="113"/>
  <c r="N43" i="113"/>
  <c r="M43" i="113"/>
  <c r="J43" i="113"/>
  <c r="BM42" i="113"/>
  <c r="BL42" i="113"/>
  <c r="W42" i="113"/>
  <c r="U42" i="113"/>
  <c r="T42" i="113"/>
  <c r="S42" i="113"/>
  <c r="R42" i="113"/>
  <c r="BI42" i="113" s="1"/>
  <c r="Q42" i="113"/>
  <c r="P42" i="113"/>
  <c r="O42" i="113"/>
  <c r="N42" i="113"/>
  <c r="M42" i="113"/>
  <c r="J42" i="113"/>
  <c r="BM41" i="113"/>
  <c r="BL41" i="113"/>
  <c r="W41" i="113"/>
  <c r="U41" i="113"/>
  <c r="T41" i="113"/>
  <c r="S41" i="113"/>
  <c r="R41" i="113"/>
  <c r="BI41" i="113" s="1"/>
  <c r="Q41" i="113"/>
  <c r="P41" i="113"/>
  <c r="O41" i="113"/>
  <c r="N41" i="113"/>
  <c r="M41" i="113"/>
  <c r="J41" i="113"/>
  <c r="W40" i="113"/>
  <c r="U40" i="113"/>
  <c r="T40" i="113"/>
  <c r="S40" i="113"/>
  <c r="R40" i="113"/>
  <c r="BI40" i="113" s="1"/>
  <c r="Q40" i="113"/>
  <c r="P40" i="113"/>
  <c r="O40" i="113"/>
  <c r="N40" i="113"/>
  <c r="M40" i="113"/>
  <c r="J40" i="113"/>
  <c r="AK39" i="113"/>
  <c r="W39" i="113"/>
  <c r="U39" i="113"/>
  <c r="T39" i="113"/>
  <c r="S39" i="113"/>
  <c r="R39" i="113"/>
  <c r="BI39" i="113" s="1"/>
  <c r="Q39" i="113"/>
  <c r="P39" i="113"/>
  <c r="O39" i="113"/>
  <c r="N39" i="113"/>
  <c r="M39" i="113"/>
  <c r="J39" i="113"/>
  <c r="W38" i="113"/>
  <c r="U38" i="113"/>
  <c r="T38" i="113"/>
  <c r="S38" i="113"/>
  <c r="R38" i="113"/>
  <c r="BI38" i="113" s="1"/>
  <c r="Q38" i="113"/>
  <c r="P38" i="113"/>
  <c r="O38" i="113"/>
  <c r="N38" i="113"/>
  <c r="M38" i="113"/>
  <c r="J38" i="113"/>
  <c r="W37" i="113"/>
  <c r="U37" i="113"/>
  <c r="T37" i="113"/>
  <c r="S37" i="113"/>
  <c r="R37" i="113"/>
  <c r="BI37" i="113" s="1"/>
  <c r="Q37" i="113"/>
  <c r="P37" i="113"/>
  <c r="O37" i="113"/>
  <c r="N37" i="113"/>
  <c r="M37" i="113"/>
  <c r="J37" i="113"/>
  <c r="AK36" i="113"/>
  <c r="W36" i="113"/>
  <c r="U36" i="113"/>
  <c r="T36" i="113"/>
  <c r="S36" i="113"/>
  <c r="R36" i="113"/>
  <c r="BI36" i="113" s="1"/>
  <c r="Q36" i="113"/>
  <c r="P36" i="113"/>
  <c r="O36" i="113"/>
  <c r="N36" i="113"/>
  <c r="M36" i="113"/>
  <c r="J36" i="113"/>
  <c r="AK13" i="113"/>
  <c r="AK15" i="113"/>
  <c r="AK16" i="113"/>
  <c r="AK19" i="113"/>
  <c r="AK23" i="113"/>
  <c r="AK24" i="113"/>
  <c r="AK27" i="113"/>
  <c r="AK35" i="113"/>
  <c r="W35" i="113"/>
  <c r="U35" i="113"/>
  <c r="T35" i="113"/>
  <c r="S35" i="113"/>
  <c r="R35" i="113"/>
  <c r="BI35" i="113" s="1"/>
  <c r="Q35" i="113"/>
  <c r="P35" i="113"/>
  <c r="O35" i="113"/>
  <c r="N35" i="113"/>
  <c r="M35" i="113"/>
  <c r="J35" i="113"/>
  <c r="W34" i="113"/>
  <c r="U34" i="113"/>
  <c r="T34" i="113"/>
  <c r="S34" i="113"/>
  <c r="R34" i="113"/>
  <c r="BI34" i="113" s="1"/>
  <c r="Q34" i="113"/>
  <c r="P34" i="113"/>
  <c r="O34" i="113"/>
  <c r="N34" i="113"/>
  <c r="M34" i="113"/>
  <c r="J34" i="113"/>
  <c r="W33" i="113"/>
  <c r="U33" i="113"/>
  <c r="T33" i="113"/>
  <c r="S33" i="113"/>
  <c r="R33" i="113"/>
  <c r="BI33" i="113" s="1"/>
  <c r="Q33" i="113"/>
  <c r="P33" i="113"/>
  <c r="O33" i="113"/>
  <c r="N33" i="113"/>
  <c r="M33" i="113"/>
  <c r="J33" i="113"/>
  <c r="W32" i="113"/>
  <c r="U32" i="113"/>
  <c r="T32" i="113"/>
  <c r="S32" i="113"/>
  <c r="R32" i="113"/>
  <c r="BI32" i="113" s="1"/>
  <c r="Q32" i="113"/>
  <c r="P32" i="113"/>
  <c r="O32" i="113"/>
  <c r="N32" i="113"/>
  <c r="M32" i="113"/>
  <c r="J32" i="113"/>
  <c r="W31" i="113"/>
  <c r="U31" i="113"/>
  <c r="T31" i="113"/>
  <c r="S31" i="113"/>
  <c r="R31" i="113"/>
  <c r="BI31" i="113" s="1"/>
  <c r="Q31" i="113"/>
  <c r="P31" i="113"/>
  <c r="O31" i="113"/>
  <c r="N31" i="113"/>
  <c r="M31" i="113"/>
  <c r="J31" i="113"/>
  <c r="W30" i="113"/>
  <c r="U30" i="113"/>
  <c r="T30" i="113"/>
  <c r="S30" i="113"/>
  <c r="R30" i="113"/>
  <c r="BI30" i="113" s="1"/>
  <c r="Q30" i="113"/>
  <c r="P30" i="113"/>
  <c r="O30" i="113"/>
  <c r="N30" i="113"/>
  <c r="M30" i="113"/>
  <c r="J30" i="113"/>
  <c r="W29" i="113"/>
  <c r="U29" i="113"/>
  <c r="T29" i="113"/>
  <c r="S29" i="113"/>
  <c r="R29" i="113"/>
  <c r="BI29" i="113" s="1"/>
  <c r="Q29" i="113"/>
  <c r="P29" i="113"/>
  <c r="O29" i="113"/>
  <c r="N29" i="113"/>
  <c r="M29" i="113"/>
  <c r="J29" i="113"/>
  <c r="W28" i="113"/>
  <c r="U28" i="113"/>
  <c r="T28" i="113"/>
  <c r="S28" i="113"/>
  <c r="R28" i="113"/>
  <c r="BI28" i="113" s="1"/>
  <c r="Q28" i="113"/>
  <c r="P28" i="113"/>
  <c r="O28" i="113"/>
  <c r="N28" i="113"/>
  <c r="M28" i="113"/>
  <c r="J28" i="113"/>
  <c r="W27" i="113"/>
  <c r="U27" i="113"/>
  <c r="T27" i="113"/>
  <c r="S27" i="113"/>
  <c r="R27" i="113"/>
  <c r="BI27" i="113" s="1"/>
  <c r="Q27" i="113"/>
  <c r="P27" i="113"/>
  <c r="O27" i="113"/>
  <c r="N27" i="113"/>
  <c r="M27" i="113"/>
  <c r="J27" i="113"/>
  <c r="W26" i="113"/>
  <c r="U26" i="113"/>
  <c r="T26" i="113"/>
  <c r="S26" i="113"/>
  <c r="R26" i="113"/>
  <c r="BI26" i="113" s="1"/>
  <c r="Q26" i="113"/>
  <c r="P26" i="113"/>
  <c r="O26" i="113"/>
  <c r="N26" i="113"/>
  <c r="M26" i="113"/>
  <c r="J26" i="113"/>
  <c r="W25" i="113"/>
  <c r="U25" i="113"/>
  <c r="T25" i="113"/>
  <c r="S25" i="113"/>
  <c r="R25" i="113"/>
  <c r="BI25" i="113" s="1"/>
  <c r="Q25" i="113"/>
  <c r="P25" i="113"/>
  <c r="O25" i="113"/>
  <c r="N25" i="113"/>
  <c r="M25" i="113"/>
  <c r="J25" i="113"/>
  <c r="W24" i="113"/>
  <c r="U24" i="113"/>
  <c r="T24" i="113"/>
  <c r="S24" i="113"/>
  <c r="R24" i="113"/>
  <c r="BI24" i="113" s="1"/>
  <c r="Q24" i="113"/>
  <c r="P24" i="113"/>
  <c r="O24" i="113"/>
  <c r="N24" i="113"/>
  <c r="M24" i="113"/>
  <c r="J24" i="113"/>
  <c r="W23" i="113"/>
  <c r="U23" i="113"/>
  <c r="T23" i="113"/>
  <c r="S23" i="113"/>
  <c r="R23" i="113"/>
  <c r="BI23" i="113" s="1"/>
  <c r="Q23" i="113"/>
  <c r="P23" i="113"/>
  <c r="O23" i="113"/>
  <c r="N23" i="113"/>
  <c r="M23" i="113"/>
  <c r="J23" i="113"/>
  <c r="W22" i="113"/>
  <c r="U22" i="113"/>
  <c r="T22" i="113"/>
  <c r="S22" i="113"/>
  <c r="R22" i="113"/>
  <c r="BI22" i="113" s="1"/>
  <c r="Q22" i="113"/>
  <c r="P22" i="113"/>
  <c r="O22" i="113"/>
  <c r="N22" i="113"/>
  <c r="M22" i="113"/>
  <c r="J22" i="113"/>
  <c r="W21" i="113"/>
  <c r="U21" i="113"/>
  <c r="T21" i="113"/>
  <c r="S21" i="113"/>
  <c r="R21" i="113"/>
  <c r="BI21" i="113" s="1"/>
  <c r="Q21" i="113"/>
  <c r="P21" i="113"/>
  <c r="O21" i="113"/>
  <c r="N21" i="113"/>
  <c r="M21" i="113"/>
  <c r="J21" i="113"/>
  <c r="L17" i="115"/>
  <c r="J17" i="115"/>
  <c r="K17" i="115" s="1"/>
  <c r="J16" i="115"/>
  <c r="K16" i="115" s="1"/>
  <c r="A16" i="115"/>
  <c r="J15" i="115"/>
  <c r="K15" i="115" s="1"/>
  <c r="A15" i="115"/>
  <c r="J14" i="115"/>
  <c r="K14" i="115" s="1"/>
  <c r="G14" i="115" s="1"/>
  <c r="A14" i="115"/>
  <c r="J13" i="115"/>
  <c r="K13" i="115" s="1"/>
  <c r="H13" i="115" s="1"/>
  <c r="A13" i="115"/>
  <c r="O12" i="115"/>
  <c r="G12" i="115"/>
  <c r="B12" i="115"/>
  <c r="A12" i="115"/>
  <c r="O11" i="115"/>
  <c r="G11" i="115"/>
  <c r="E11" i="115"/>
  <c r="D11" i="115"/>
  <c r="B11" i="115"/>
  <c r="A11" i="115"/>
  <c r="A9" i="115"/>
  <c r="C8" i="115"/>
  <c r="A8" i="115"/>
  <c r="A7" i="115"/>
  <c r="A6" i="115"/>
  <c r="H5" i="115"/>
  <c r="A5" i="115"/>
  <c r="H4" i="115"/>
  <c r="A4" i="115"/>
  <c r="J2" i="115"/>
  <c r="I2" i="115"/>
  <c r="H2" i="115"/>
  <c r="G2" i="115"/>
  <c r="F2" i="115"/>
  <c r="E2" i="115"/>
  <c r="D2" i="115"/>
  <c r="C2" i="115"/>
  <c r="B2" i="115"/>
  <c r="A2" i="115"/>
  <c r="L1" i="115"/>
  <c r="W20" i="113"/>
  <c r="U20" i="113"/>
  <c r="T20" i="113"/>
  <c r="S20" i="113"/>
  <c r="R20" i="113"/>
  <c r="BI20" i="113" s="1"/>
  <c r="Q20" i="113"/>
  <c r="P20" i="113"/>
  <c r="O20" i="113"/>
  <c r="N20" i="113"/>
  <c r="M20" i="113"/>
  <c r="J20" i="113"/>
  <c r="W19" i="113"/>
  <c r="U19" i="113"/>
  <c r="T19" i="113"/>
  <c r="S19" i="113"/>
  <c r="R19" i="113"/>
  <c r="BI19" i="113" s="1"/>
  <c r="Q19" i="113"/>
  <c r="P19" i="113"/>
  <c r="O19" i="113"/>
  <c r="N19" i="113"/>
  <c r="M19" i="113"/>
  <c r="J19" i="113"/>
  <c r="W18" i="113"/>
  <c r="U18" i="113"/>
  <c r="T18" i="113"/>
  <c r="S18" i="113"/>
  <c r="R18" i="113"/>
  <c r="BI18" i="113" s="1"/>
  <c r="Q18" i="113"/>
  <c r="P18" i="113"/>
  <c r="O18" i="113"/>
  <c r="N18" i="113"/>
  <c r="M18" i="113"/>
  <c r="J18" i="113"/>
  <c r="W17" i="113"/>
  <c r="U17" i="113"/>
  <c r="T17" i="113"/>
  <c r="S17" i="113"/>
  <c r="R17" i="113"/>
  <c r="BI17" i="113" s="1"/>
  <c r="Q17" i="113"/>
  <c r="P17" i="113"/>
  <c r="O17" i="113"/>
  <c r="N17" i="113"/>
  <c r="M17" i="113"/>
  <c r="J17" i="113"/>
  <c r="W16" i="113"/>
  <c r="U16" i="113"/>
  <c r="T16" i="113"/>
  <c r="S16" i="113"/>
  <c r="R16" i="113"/>
  <c r="BI16" i="113" s="1"/>
  <c r="Q16" i="113"/>
  <c r="P16" i="113"/>
  <c r="O16" i="113"/>
  <c r="N16" i="113"/>
  <c r="M16" i="113"/>
  <c r="J16" i="113"/>
  <c r="W15" i="113"/>
  <c r="U15" i="113"/>
  <c r="T15" i="113"/>
  <c r="S15" i="113"/>
  <c r="R15" i="113"/>
  <c r="BI15" i="113" s="1"/>
  <c r="Q15" i="113"/>
  <c r="P15" i="113"/>
  <c r="O15" i="113"/>
  <c r="N15" i="113"/>
  <c r="M15" i="113"/>
  <c r="J15" i="113"/>
  <c r="W14" i="113"/>
  <c r="U14" i="113"/>
  <c r="T14" i="113"/>
  <c r="S14" i="113"/>
  <c r="R14" i="113"/>
  <c r="BI14" i="113" s="1"/>
  <c r="Q14" i="113"/>
  <c r="P14" i="113"/>
  <c r="O14" i="113"/>
  <c r="N14" i="113"/>
  <c r="M14" i="113"/>
  <c r="J14" i="113"/>
  <c r="W13" i="113"/>
  <c r="U13" i="113"/>
  <c r="T13" i="113"/>
  <c r="S13" i="113"/>
  <c r="R13" i="113"/>
  <c r="BI13" i="113" s="1"/>
  <c r="Q13" i="113"/>
  <c r="P13" i="113"/>
  <c r="O13" i="113"/>
  <c r="N13" i="113"/>
  <c r="M13" i="113"/>
  <c r="J13" i="113"/>
  <c r="W12" i="113"/>
  <c r="U12" i="113"/>
  <c r="T12" i="113"/>
  <c r="S12" i="113"/>
  <c r="R12" i="113"/>
  <c r="BI12" i="113" s="1"/>
  <c r="Q12" i="113"/>
  <c r="P12" i="113"/>
  <c r="O12" i="113"/>
  <c r="N12" i="113"/>
  <c r="M12" i="113"/>
  <c r="J12" i="113"/>
  <c r="L15" i="113" l="1"/>
  <c r="L16" i="116"/>
  <c r="AU19" i="116"/>
  <c r="BO19" i="116" s="1"/>
  <c r="L22" i="116"/>
  <c r="L26" i="116"/>
  <c r="AU27" i="116"/>
  <c r="BO27" i="116" s="1"/>
  <c r="L30" i="116"/>
  <c r="L34" i="116"/>
  <c r="AU35" i="116"/>
  <c r="BO35" i="116" s="1"/>
  <c r="L38" i="116"/>
  <c r="AJ39" i="116"/>
  <c r="BM39" i="116" s="1"/>
  <c r="L44" i="116"/>
  <c r="AV18" i="117"/>
  <c r="AW19" i="117"/>
  <c r="L21" i="117"/>
  <c r="AU26" i="117"/>
  <c r="AJ30" i="117"/>
  <c r="BM30" i="117" s="1"/>
  <c r="AU34" i="117"/>
  <c r="L36" i="117"/>
  <c r="L37" i="117"/>
  <c r="L38" i="117"/>
  <c r="L39" i="117"/>
  <c r="L40" i="117"/>
  <c r="L41" i="117"/>
  <c r="L43" i="117"/>
  <c r="L47" i="117"/>
  <c r="BB6" i="120"/>
  <c r="D14" i="122" s="1"/>
  <c r="AV23" i="113"/>
  <c r="AV27" i="113"/>
  <c r="AV31" i="113"/>
  <c r="AV35" i="113"/>
  <c r="AI22" i="116"/>
  <c r="BL22" i="116" s="1"/>
  <c r="AV38" i="116"/>
  <c r="BG21" i="117"/>
  <c r="AJ21" i="117"/>
  <c r="BM21" i="117" s="1"/>
  <c r="AH28" i="117"/>
  <c r="AH32" i="117"/>
  <c r="AJ36" i="117"/>
  <c r="BM36" i="117" s="1"/>
  <c r="AV37" i="117"/>
  <c r="AJ38" i="117"/>
  <c r="BM38" i="117" s="1"/>
  <c r="AV43" i="117"/>
  <c r="AG47" i="117"/>
  <c r="AK7" i="120" a="1"/>
  <c r="AK7" i="120" s="1"/>
  <c r="AH6" i="120"/>
  <c r="AH39" i="113"/>
  <c r="BK39" i="113" s="1"/>
  <c r="AV43" i="113"/>
  <c r="AH47" i="113"/>
  <c r="BK47" i="113" s="1"/>
  <c r="L19" i="116"/>
  <c r="L23" i="116"/>
  <c r="L27" i="116"/>
  <c r="L35" i="116"/>
  <c r="AJ40" i="116"/>
  <c r="BM40" i="116" s="1"/>
  <c r="L47" i="116"/>
  <c r="L13" i="117"/>
  <c r="L14" i="117"/>
  <c r="L15" i="117"/>
  <c r="L17" i="117"/>
  <c r="L19" i="117"/>
  <c r="L26" i="117"/>
  <c r="L27" i="117"/>
  <c r="L28" i="117"/>
  <c r="L29" i="117"/>
  <c r="L30" i="117"/>
  <c r="L31" i="117"/>
  <c r="L34" i="117"/>
  <c r="AU46" i="117"/>
  <c r="BB13" i="113"/>
  <c r="BF13" i="113"/>
  <c r="BE14" i="113"/>
  <c r="AH14" i="113"/>
  <c r="BK14" i="113" s="1"/>
  <c r="BB15" i="113"/>
  <c r="BC16" i="113"/>
  <c r="BG16" i="113"/>
  <c r="AU17" i="113"/>
  <c r="V17" i="113"/>
  <c r="AZ17" i="113" s="1"/>
  <c r="AV17" i="113"/>
  <c r="AG17" i="113"/>
  <c r="BD17" i="113"/>
  <c r="BH17" i="113"/>
  <c r="BA18" i="113"/>
  <c r="AH18" i="113"/>
  <c r="BK18" i="113" s="1"/>
  <c r="V12" i="113"/>
  <c r="AZ12" i="113" s="1"/>
  <c r="AU12" i="113"/>
  <c r="AG12" i="113"/>
  <c r="AV12" i="113"/>
  <c r="BA13" i="113"/>
  <c r="BE13" i="113"/>
  <c r="AH13" i="113"/>
  <c r="BK13" i="113" s="1"/>
  <c r="BC13" i="113"/>
  <c r="BG13" i="113"/>
  <c r="V14" i="113"/>
  <c r="BA14" i="113" s="1"/>
  <c r="AU14" i="113"/>
  <c r="AV14" i="113"/>
  <c r="AG14" i="113"/>
  <c r="BB14" i="113"/>
  <c r="BD14" i="113"/>
  <c r="BA15" i="113"/>
  <c r="AH15" i="113"/>
  <c r="BC15" i="113"/>
  <c r="BE12" i="113"/>
  <c r="AH12" i="113"/>
  <c r="BK12" i="113" s="1"/>
  <c r="AU13" i="113"/>
  <c r="V13" i="113"/>
  <c r="AZ13" i="113" s="1"/>
  <c r="AV13" i="113"/>
  <c r="AG13" i="113"/>
  <c r="BJ13" i="113" s="1"/>
  <c r="BD13" i="113"/>
  <c r="BH13" i="113"/>
  <c r="BC14" i="113"/>
  <c r="AU15" i="113"/>
  <c r="V15" i="113"/>
  <c r="BF15" i="113" s="1"/>
  <c r="AV15" i="113"/>
  <c r="AG15" i="113"/>
  <c r="BD15" i="113"/>
  <c r="BH15" i="113"/>
  <c r="BA16" i="113"/>
  <c r="BE16" i="113"/>
  <c r="AH16" i="113"/>
  <c r="BK16" i="113" s="1"/>
  <c r="BB17" i="113"/>
  <c r="BF17" i="113"/>
  <c r="BC18" i="113"/>
  <c r="BG18" i="113"/>
  <c r="AU19" i="113"/>
  <c r="V19" i="113"/>
  <c r="AZ19" i="113" s="1"/>
  <c r="AG19" i="113"/>
  <c r="AV19" i="113"/>
  <c r="BB19" i="113"/>
  <c r="BF19" i="113"/>
  <c r="BD19" i="113"/>
  <c r="BE20" i="113"/>
  <c r="AH20" i="113"/>
  <c r="BK20" i="113" s="1"/>
  <c r="BC20" i="113"/>
  <c r="AZ16" i="113"/>
  <c r="V16" i="113"/>
  <c r="AU16" i="113"/>
  <c r="AV16" i="113"/>
  <c r="AG16" i="113"/>
  <c r="BJ16" i="113" s="1"/>
  <c r="BB16" i="113"/>
  <c r="BF16" i="113"/>
  <c r="BD16" i="113"/>
  <c r="BH16" i="113"/>
  <c r="BA17" i="113"/>
  <c r="BE17" i="113"/>
  <c r="BG17" i="113"/>
  <c r="V18" i="113"/>
  <c r="BE18" i="113" s="1"/>
  <c r="AU18" i="113"/>
  <c r="AV18" i="113"/>
  <c r="BB18" i="113"/>
  <c r="BF18" i="113"/>
  <c r="BH18" i="113"/>
  <c r="BD18" i="113"/>
  <c r="BE19" i="113"/>
  <c r="BC19" i="113"/>
  <c r="BG19" i="113"/>
  <c r="V20" i="113"/>
  <c r="BA20" i="113" s="1"/>
  <c r="AU20" i="113"/>
  <c r="AV20" i="113"/>
  <c r="BB20" i="113"/>
  <c r="BF20" i="113"/>
  <c r="BD20" i="113"/>
  <c r="BE21" i="113"/>
  <c r="BC21" i="113"/>
  <c r="V22" i="113"/>
  <c r="AZ22" i="113" s="1"/>
  <c r="AU22" i="113"/>
  <c r="AV22" i="113"/>
  <c r="BB22" i="113"/>
  <c r="BF22" i="113"/>
  <c r="BD22" i="113"/>
  <c r="BE23" i="113"/>
  <c r="BC23" i="113"/>
  <c r="V24" i="113"/>
  <c r="AZ24" i="113" s="1"/>
  <c r="AU24" i="113"/>
  <c r="AV24" i="113"/>
  <c r="BB24" i="113"/>
  <c r="BF24" i="113"/>
  <c r="BD24" i="113"/>
  <c r="BE25" i="113"/>
  <c r="BC25" i="113"/>
  <c r="V26" i="113"/>
  <c r="AZ26" i="113" s="1"/>
  <c r="AU26" i="113"/>
  <c r="AV26" i="113"/>
  <c r="BB26" i="113"/>
  <c r="BF26" i="113"/>
  <c r="BD26" i="113"/>
  <c r="BH26" i="113"/>
  <c r="BE27" i="113"/>
  <c r="BC27" i="113"/>
  <c r="V28" i="113"/>
  <c r="AZ28" i="113" s="1"/>
  <c r="AU28" i="113"/>
  <c r="AV28" i="113"/>
  <c r="BB28" i="113"/>
  <c r="BF28" i="113"/>
  <c r="BD28" i="113"/>
  <c r="BE29" i="113"/>
  <c r="BC29" i="113"/>
  <c r="V30" i="113"/>
  <c r="AZ30" i="113" s="1"/>
  <c r="AU30" i="113"/>
  <c r="AV30" i="113"/>
  <c r="BB30" i="113"/>
  <c r="BF30" i="113"/>
  <c r="BD30" i="113"/>
  <c r="BH30" i="113"/>
  <c r="BE31" i="113"/>
  <c r="BC31" i="113"/>
  <c r="L31" i="113"/>
  <c r="V32" i="113"/>
  <c r="BH32" i="113" s="1"/>
  <c r="AU32" i="113"/>
  <c r="AV32" i="113"/>
  <c r="BB32" i="113"/>
  <c r="BF32" i="113"/>
  <c r="BD32" i="113"/>
  <c r="BA33" i="113"/>
  <c r="BE33" i="113"/>
  <c r="BC33" i="113"/>
  <c r="BG33" i="113"/>
  <c r="V34" i="113"/>
  <c r="BH34" i="113" s="1"/>
  <c r="AU34" i="113"/>
  <c r="AV34" i="113"/>
  <c r="BB34" i="113"/>
  <c r="BF34" i="113"/>
  <c r="BD34" i="113"/>
  <c r="BE35" i="113"/>
  <c r="BC35" i="113"/>
  <c r="L35" i="113"/>
  <c r="AY16" i="113"/>
  <c r="AY13" i="113"/>
  <c r="V36" i="113"/>
  <c r="AZ36" i="113" s="1"/>
  <c r="AU36" i="113"/>
  <c r="AV36" i="113"/>
  <c r="BB36" i="113"/>
  <c r="BD36" i="113"/>
  <c r="AU37" i="113"/>
  <c r="V37" i="113"/>
  <c r="AZ37" i="113" s="1"/>
  <c r="AG37" i="113"/>
  <c r="BJ37" i="113" s="1"/>
  <c r="BB37" i="113"/>
  <c r="BD37" i="113"/>
  <c r="BE38" i="113"/>
  <c r="AH38" i="113"/>
  <c r="BK38" i="113" s="1"/>
  <c r="BC38" i="113"/>
  <c r="AU39" i="113"/>
  <c r="V39" i="113"/>
  <c r="AZ39" i="113" s="1"/>
  <c r="AG39" i="113"/>
  <c r="BB39" i="113"/>
  <c r="BD39" i="113"/>
  <c r="BH39" i="113"/>
  <c r="V40" i="113"/>
  <c r="BH40" i="113" s="1"/>
  <c r="AU40" i="113"/>
  <c r="AV40" i="113"/>
  <c r="BB40" i="113"/>
  <c r="BF40" i="113"/>
  <c r="BD40" i="113"/>
  <c r="BE41" i="113"/>
  <c r="BC41" i="113"/>
  <c r="AZ42" i="113"/>
  <c r="V42" i="113"/>
  <c r="AU42" i="113"/>
  <c r="AV42" i="113"/>
  <c r="BB42" i="113"/>
  <c r="BF42" i="113"/>
  <c r="BD42" i="113"/>
  <c r="BH42" i="113"/>
  <c r="BE43" i="113"/>
  <c r="BC43" i="113"/>
  <c r="V44" i="113"/>
  <c r="AZ44" i="113" s="1"/>
  <c r="AU44" i="113"/>
  <c r="AV44" i="113"/>
  <c r="BB44" i="113"/>
  <c r="BF44" i="113"/>
  <c r="BD44" i="113"/>
  <c r="BH44" i="113"/>
  <c r="BA45" i="113"/>
  <c r="BC45" i="113"/>
  <c r="BE46" i="113"/>
  <c r="AH46" i="113"/>
  <c r="BK46" i="113" s="1"/>
  <c r="BC46" i="113"/>
  <c r="V47" i="113"/>
  <c r="AZ47" i="113" s="1"/>
  <c r="AV47" i="113"/>
  <c r="BB47" i="113"/>
  <c r="BD47" i="113"/>
  <c r="AY47" i="113"/>
  <c r="AV12" i="116"/>
  <c r="L15" i="116"/>
  <c r="L17" i="116"/>
  <c r="AI20" i="116"/>
  <c r="BL20" i="116" s="1"/>
  <c r="AX22" i="116"/>
  <c r="AJ23" i="116"/>
  <c r="BM23" i="116" s="1"/>
  <c r="AH29" i="116"/>
  <c r="BK29" i="116" s="1"/>
  <c r="AJ34" i="116"/>
  <c r="BM34" i="116" s="1"/>
  <c r="AJ37" i="116"/>
  <c r="BM37" i="116" s="1"/>
  <c r="AU41" i="116"/>
  <c r="BO41" i="116" s="1"/>
  <c r="AV42" i="116"/>
  <c r="AH43" i="116"/>
  <c r="AV46" i="116"/>
  <c r="BA47" i="116"/>
  <c r="BE47" i="116"/>
  <c r="BC47" i="116"/>
  <c r="BG47" i="116"/>
  <c r="BD12" i="116"/>
  <c r="BB12" i="116"/>
  <c r="BE12" i="116"/>
  <c r="BH44" i="116"/>
  <c r="BF44" i="116"/>
  <c r="BE43" i="116"/>
  <c r="BH42" i="116"/>
  <c r="BE41" i="116"/>
  <c r="BE39" i="116"/>
  <c r="BE37" i="116"/>
  <c r="BE35" i="116"/>
  <c r="BG33" i="116"/>
  <c r="BE33" i="116"/>
  <c r="BE31" i="116"/>
  <c r="BE29" i="116"/>
  <c r="BE27" i="116"/>
  <c r="BE25" i="116"/>
  <c r="BE23" i="116"/>
  <c r="BE21" i="116"/>
  <c r="BH20" i="116"/>
  <c r="BE19" i="116"/>
  <c r="BH18" i="116"/>
  <c r="BG17" i="116"/>
  <c r="BH16" i="116"/>
  <c r="BG13" i="116"/>
  <c r="BH47" i="116"/>
  <c r="AG44" i="113"/>
  <c r="BJ44" i="113" s="1"/>
  <c r="AG40" i="113"/>
  <c r="BJ40" i="113" s="1"/>
  <c r="AG36" i="113"/>
  <c r="AG32" i="113"/>
  <c r="AG28" i="113"/>
  <c r="AG24" i="113"/>
  <c r="BJ24" i="113" s="1"/>
  <c r="AG20" i="113"/>
  <c r="AH43" i="113"/>
  <c r="BK43" i="113" s="1"/>
  <c r="AH35" i="113"/>
  <c r="BK35" i="113" s="1"/>
  <c r="AH31" i="113"/>
  <c r="BK31" i="113" s="1"/>
  <c r="AH27" i="113"/>
  <c r="BK27" i="113" s="1"/>
  <c r="AH23" i="113"/>
  <c r="BK23" i="113" s="1"/>
  <c r="AH19" i="113"/>
  <c r="BK19" i="113" s="1"/>
  <c r="AV39" i="113"/>
  <c r="AU47" i="113"/>
  <c r="AU21" i="113"/>
  <c r="V21" i="113"/>
  <c r="BG21" i="113" s="1"/>
  <c r="AG21" i="113"/>
  <c r="BB21" i="113"/>
  <c r="BD21" i="113"/>
  <c r="BH21" i="113"/>
  <c r="BE22" i="113"/>
  <c r="AH22" i="113"/>
  <c r="BK22" i="113" s="1"/>
  <c r="BC22" i="113"/>
  <c r="AU23" i="113"/>
  <c r="V23" i="113"/>
  <c r="BG23" i="113" s="1"/>
  <c r="AG23" i="113"/>
  <c r="BB23" i="113"/>
  <c r="BD23" i="113"/>
  <c r="BE24" i="113"/>
  <c r="AH24" i="113"/>
  <c r="BK24" i="113" s="1"/>
  <c r="BC24" i="113"/>
  <c r="AU25" i="113"/>
  <c r="V25" i="113"/>
  <c r="BG25" i="113" s="1"/>
  <c r="AG25" i="113"/>
  <c r="BB25" i="113"/>
  <c r="BD25" i="113"/>
  <c r="BA26" i="113"/>
  <c r="BE26" i="113"/>
  <c r="AH26" i="113"/>
  <c r="BC26" i="113"/>
  <c r="BG26" i="113"/>
  <c r="AU27" i="113"/>
  <c r="V27" i="113"/>
  <c r="BG27" i="113" s="1"/>
  <c r="AG27" i="113"/>
  <c r="BB27" i="113"/>
  <c r="BD27" i="113"/>
  <c r="BE28" i="113"/>
  <c r="AH28" i="113"/>
  <c r="BK28" i="113" s="1"/>
  <c r="BC28" i="113"/>
  <c r="AU29" i="113"/>
  <c r="V29" i="113"/>
  <c r="BG29" i="113" s="1"/>
  <c r="AG29" i="113"/>
  <c r="BJ29" i="113" s="1"/>
  <c r="BB29" i="113"/>
  <c r="BD29" i="113"/>
  <c r="BH29" i="113"/>
  <c r="BA30" i="113"/>
  <c r="BE30" i="113"/>
  <c r="AH30" i="113"/>
  <c r="BK30" i="113" s="1"/>
  <c r="BC30" i="113"/>
  <c r="BG30" i="113"/>
  <c r="AU31" i="113"/>
  <c r="V31" i="113"/>
  <c r="BG31" i="113" s="1"/>
  <c r="AG31" i="113"/>
  <c r="BB31" i="113"/>
  <c r="BD31" i="113"/>
  <c r="BE32" i="113"/>
  <c r="AH32" i="113"/>
  <c r="BK32" i="113" s="1"/>
  <c r="BC32" i="113"/>
  <c r="AU33" i="113"/>
  <c r="V33" i="113"/>
  <c r="AZ33" i="113" s="1"/>
  <c r="AG33" i="113"/>
  <c r="BJ33" i="113" s="1"/>
  <c r="BB33" i="113"/>
  <c r="BF33" i="113"/>
  <c r="BH33" i="113"/>
  <c r="BD33" i="113"/>
  <c r="BA34" i="113"/>
  <c r="BE34" i="113"/>
  <c r="AH34" i="113"/>
  <c r="BK34" i="113" s="1"/>
  <c r="BC34" i="113"/>
  <c r="BG34" i="113"/>
  <c r="AU35" i="113"/>
  <c r="V35" i="113"/>
  <c r="BA35" i="113" s="1"/>
  <c r="AG35" i="113"/>
  <c r="BB35" i="113"/>
  <c r="BD35" i="113"/>
  <c r="AY35" i="113"/>
  <c r="AY24" i="113"/>
  <c r="AY15" i="113"/>
  <c r="BE36" i="113"/>
  <c r="AH36" i="113"/>
  <c r="BK36" i="113" s="1"/>
  <c r="BC36" i="113"/>
  <c r="L36" i="113"/>
  <c r="BA37" i="113"/>
  <c r="BE37" i="113"/>
  <c r="BC37" i="113"/>
  <c r="V38" i="113"/>
  <c r="BA38" i="113" s="1"/>
  <c r="AU38" i="113"/>
  <c r="AV38" i="113"/>
  <c r="BB38" i="113"/>
  <c r="BF38" i="113"/>
  <c r="BD38" i="113"/>
  <c r="BA39" i="113"/>
  <c r="BE39" i="113"/>
  <c r="BC39" i="113"/>
  <c r="BE40" i="113"/>
  <c r="AH40" i="113"/>
  <c r="BK40" i="113" s="1"/>
  <c r="BC40" i="113"/>
  <c r="L40" i="113"/>
  <c r="AU41" i="113"/>
  <c r="V41" i="113"/>
  <c r="BA41" i="113" s="1"/>
  <c r="AG41" i="113"/>
  <c r="BB41" i="113"/>
  <c r="BD41" i="113"/>
  <c r="BA42" i="113"/>
  <c r="BE42" i="113"/>
  <c r="AH42" i="113"/>
  <c r="BK42" i="113" s="1"/>
  <c r="BC42" i="113"/>
  <c r="BG42" i="113"/>
  <c r="AU43" i="113"/>
  <c r="V43" i="113"/>
  <c r="BA43" i="113" s="1"/>
  <c r="AG43" i="113"/>
  <c r="BB43" i="113"/>
  <c r="BD43" i="113"/>
  <c r="BA44" i="113"/>
  <c r="BE44" i="113"/>
  <c r="AH44" i="113"/>
  <c r="BK44" i="113" s="1"/>
  <c r="BC44" i="113"/>
  <c r="BG44" i="113"/>
  <c r="AU45" i="113"/>
  <c r="AG45" i="113"/>
  <c r="V45" i="113"/>
  <c r="BB45" i="113"/>
  <c r="BD45" i="113"/>
  <c r="V46" i="113"/>
  <c r="BA46" i="113" s="1"/>
  <c r="AU46" i="113"/>
  <c r="AV46" i="113"/>
  <c r="AG46" i="113"/>
  <c r="BB46" i="113"/>
  <c r="BD46" i="113"/>
  <c r="BE47" i="113"/>
  <c r="BC47" i="113"/>
  <c r="BG47" i="113"/>
  <c r="AX12" i="116"/>
  <c r="AW13" i="116"/>
  <c r="BB13" i="116"/>
  <c r="BF13" i="116"/>
  <c r="AJ13" i="116"/>
  <c r="BM13" i="116" s="1"/>
  <c r="BD13" i="116"/>
  <c r="BH13" i="116"/>
  <c r="BE14" i="116"/>
  <c r="BC14" i="116"/>
  <c r="AJ14" i="116"/>
  <c r="BM14" i="116" s="1"/>
  <c r="BI14" i="116"/>
  <c r="AJ15" i="116"/>
  <c r="BM15" i="116" s="1"/>
  <c r="BB15" i="116"/>
  <c r="BD15" i="116"/>
  <c r="BE16" i="116"/>
  <c r="BC16" i="116"/>
  <c r="BG16" i="116"/>
  <c r="L18" i="116"/>
  <c r="AW19" i="116"/>
  <c r="AH21" i="116"/>
  <c r="AJ27" i="116"/>
  <c r="BM27" i="116" s="1"/>
  <c r="AJ35" i="116"/>
  <c r="BM35" i="116" s="1"/>
  <c r="AU39" i="116"/>
  <c r="BO39" i="116" s="1"/>
  <c r="L43" i="116"/>
  <c r="AH45" i="116"/>
  <c r="BK45" i="116" s="1"/>
  <c r="BC12" i="116"/>
  <c r="BE46" i="116"/>
  <c r="BG44" i="116"/>
  <c r="BE44" i="116"/>
  <c r="BG42" i="116"/>
  <c r="BE40" i="116"/>
  <c r="BE38" i="116"/>
  <c r="BE36" i="116"/>
  <c r="BE34" i="116"/>
  <c r="BH33" i="116"/>
  <c r="BF33" i="116"/>
  <c r="BE32" i="116"/>
  <c r="BE30" i="116"/>
  <c r="BE28" i="116"/>
  <c r="BE24" i="116"/>
  <c r="BE22" i="116"/>
  <c r="BE20" i="116"/>
  <c r="BC20" i="116"/>
  <c r="BB19" i="116"/>
  <c r="BG18" i="116"/>
  <c r="BA18" i="116"/>
  <c r="BH17" i="116"/>
  <c r="BF16" i="116"/>
  <c r="BE13" i="116"/>
  <c r="BF47" i="116"/>
  <c r="AG42" i="113"/>
  <c r="AG38" i="113"/>
  <c r="AG34" i="113"/>
  <c r="AG30" i="113"/>
  <c r="AG26" i="113"/>
  <c r="BJ26" i="113" s="1"/>
  <c r="AG22" i="113"/>
  <c r="AG18" i="113"/>
  <c r="AH45" i="113"/>
  <c r="AH41" i="113"/>
  <c r="BK41" i="113" s="1"/>
  <c r="AH37" i="113"/>
  <c r="BK37" i="113" s="1"/>
  <c r="AH33" i="113"/>
  <c r="BK33" i="113" s="1"/>
  <c r="AH29" i="113"/>
  <c r="BK29" i="113" s="1"/>
  <c r="AH25" i="113"/>
  <c r="BK25" i="113" s="1"/>
  <c r="AH21" i="113"/>
  <c r="BK21" i="113" s="1"/>
  <c r="AH17" i="113"/>
  <c r="AV45" i="113"/>
  <c r="BK45" i="113" s="1"/>
  <c r="AV41" i="113"/>
  <c r="AV37" i="113"/>
  <c r="AV33" i="113"/>
  <c r="AV29" i="113"/>
  <c r="AV25" i="113"/>
  <c r="AV21" i="113"/>
  <c r="AX12" i="117"/>
  <c r="AJ13" i="117"/>
  <c r="BM13" i="117" s="1"/>
  <c r="AJ14" i="117"/>
  <c r="BM14" i="117" s="1"/>
  <c r="L16" i="117"/>
  <c r="BC16" i="117"/>
  <c r="AV19" i="117"/>
  <c r="L22" i="117"/>
  <c r="AH36" i="117"/>
  <c r="AJ39" i="117"/>
  <c r="BM39" i="117" s="1"/>
  <c r="AV40" i="117"/>
  <c r="AH47" i="117"/>
  <c r="AZ5" i="120"/>
  <c r="AK6" i="120" a="1"/>
  <c r="AK6" i="120" s="1"/>
  <c r="AZ9" i="120"/>
  <c r="AL75" i="120" s="1"/>
  <c r="AM75" i="120" s="1"/>
  <c r="AW12" i="117"/>
  <c r="AU17" i="117"/>
  <c r="AU18" i="117"/>
  <c r="L18" i="117"/>
  <c r="AW22" i="117"/>
  <c r="AX23" i="117"/>
  <c r="AJ24" i="117"/>
  <c r="BM24" i="117" s="1"/>
  <c r="AJ25" i="117"/>
  <c r="BM25" i="117" s="1"/>
  <c r="AH27" i="117"/>
  <c r="AV29" i="117"/>
  <c r="AJ31" i="117"/>
  <c r="BM31" i="117" s="1"/>
  <c r="AV32" i="117"/>
  <c r="AJ33" i="117"/>
  <c r="BM33" i="117" s="1"/>
  <c r="BG42" i="117"/>
  <c r="AI7" i="120" a="1"/>
  <c r="AI7" i="120" s="1"/>
  <c r="AZ7" i="120"/>
  <c r="E16" i="122" s="1"/>
  <c r="BH9" i="120"/>
  <c r="AL67" i="120"/>
  <c r="AM67" i="120" s="1"/>
  <c r="AL70" i="120"/>
  <c r="AM70" i="120" s="1"/>
  <c r="AL73" i="120"/>
  <c r="AM73" i="120" s="1"/>
  <c r="AL76" i="120"/>
  <c r="AM76" i="120" s="1"/>
  <c r="AZ51" i="120"/>
  <c r="AY54" i="120"/>
  <c r="AY51" i="120"/>
  <c r="AY52" i="120"/>
  <c r="AY53" i="120"/>
  <c r="AY9" i="120"/>
  <c r="AY5" i="120"/>
  <c r="AY7" i="120"/>
  <c r="E13" i="122" s="1"/>
  <c r="AY6" i="120"/>
  <c r="D13" i="122" s="1"/>
  <c r="AH7" i="120" a="1"/>
  <c r="AH7" i="120" s="1"/>
  <c r="AZ54" i="120"/>
  <c r="BF9" i="120"/>
  <c r="BE53" i="120"/>
  <c r="BE54" i="120"/>
  <c r="BA6" i="120"/>
  <c r="D15" i="122" s="1"/>
  <c r="BA5" i="120"/>
  <c r="BA7" i="120"/>
  <c r="E15" i="122" s="1"/>
  <c r="BE51" i="120"/>
  <c r="BE56" i="120" s="1"/>
  <c r="BE52" i="120"/>
  <c r="AZ53" i="120"/>
  <c r="AZ6" i="120"/>
  <c r="D16" i="122" s="1"/>
  <c r="BG9" i="120"/>
  <c r="BJ51" i="120"/>
  <c r="BJ52" i="120"/>
  <c r="BJ53" i="120"/>
  <c r="BJ54" i="120"/>
  <c r="BB5" i="120"/>
  <c r="BB7" i="120"/>
  <c r="E14" i="122" s="1"/>
  <c r="BA9" i="120"/>
  <c r="AZ52" i="120"/>
  <c r="AZ57" i="120" s="1"/>
  <c r="AJ7" i="120" a="1"/>
  <c r="AJ7" i="120" s="1"/>
  <c r="AI6" i="120" a="1"/>
  <c r="AI6" i="120" s="1"/>
  <c r="W45" i="113"/>
  <c r="AZ45" i="113" s="1"/>
  <c r="BK48" i="113"/>
  <c r="BJ48" i="113"/>
  <c r="BA37" i="117"/>
  <c r="BA33" i="117"/>
  <c r="AY33" i="117"/>
  <c r="BG13" i="117"/>
  <c r="AZ13" i="117"/>
  <c r="BF37" i="117"/>
  <c r="BB13" i="117"/>
  <c r="AY37" i="117"/>
  <c r="BG37" i="117"/>
  <c r="AZ37" i="117"/>
  <c r="BH37" i="117"/>
  <c r="BG12" i="113"/>
  <c r="BA12" i="113"/>
  <c r="BI17" i="117"/>
  <c r="BH44" i="117"/>
  <c r="BH16" i="117"/>
  <c r="AZ16" i="117"/>
  <c r="BH17" i="117"/>
  <c r="BH33" i="117"/>
  <c r="AY13" i="117"/>
  <c r="BH35" i="117"/>
  <c r="BH13" i="117"/>
  <c r="BA16" i="117"/>
  <c r="BG33" i="117"/>
  <c r="BF14" i="117"/>
  <c r="BG15" i="117"/>
  <c r="BA21" i="117"/>
  <c r="BG38" i="117"/>
  <c r="BK47" i="117"/>
  <c r="BA14" i="117"/>
  <c r="BH15" i="117"/>
  <c r="BE18" i="117"/>
  <c r="BF12" i="117"/>
  <c r="AY12" i="117"/>
  <c r="BH14" i="117"/>
  <c r="BG30" i="117"/>
  <c r="BA12" i="117"/>
  <c r="BA41" i="117"/>
  <c r="AY41" i="117"/>
  <c r="AZ45" i="117"/>
  <c r="BG12" i="117"/>
  <c r="BC17" i="117"/>
  <c r="BG20" i="117"/>
  <c r="AY20" i="117"/>
  <c r="BG34" i="117"/>
  <c r="AZ15" i="117"/>
  <c r="BH20" i="117"/>
  <c r="BH27" i="117"/>
  <c r="AZ44" i="117"/>
  <c r="AZ14" i="117"/>
  <c r="AY15" i="117"/>
  <c r="BF19" i="117"/>
  <c r="BG26" i="117"/>
  <c r="BG14" i="117"/>
  <c r="BF15" i="117"/>
  <c r="BA25" i="117"/>
  <c r="AY25" i="117"/>
  <c r="AY42" i="117"/>
  <c r="AY17" i="117"/>
  <c r="AJ12" i="117"/>
  <c r="BM12" i="117" s="1"/>
  <c r="AU16" i="117"/>
  <c r="AX19" i="117"/>
  <c r="AJ20" i="117"/>
  <c r="BM20" i="117" s="1"/>
  <c r="AZ12" i="117"/>
  <c r="BH12" i="117"/>
  <c r="BA13" i="117"/>
  <c r="BB14" i="117"/>
  <c r="AU15" i="117"/>
  <c r="BC15" i="117"/>
  <c r="AG16" i="117"/>
  <c r="AV16" i="117"/>
  <c r="BD16" i="117"/>
  <c r="AH17" i="117"/>
  <c r="AW17" i="117"/>
  <c r="BE17" i="117"/>
  <c r="AI18" i="117"/>
  <c r="BL18" i="117" s="1"/>
  <c r="AX18" i="117"/>
  <c r="BF18" i="117"/>
  <c r="AJ19" i="117"/>
  <c r="BM19" i="117" s="1"/>
  <c r="AY19" i="117"/>
  <c r="BG19" i="117"/>
  <c r="BA20" i="117"/>
  <c r="BF21" i="117"/>
  <c r="BA24" i="117"/>
  <c r="AY24" i="117"/>
  <c r="BF29" i="117"/>
  <c r="BH30" i="117"/>
  <c r="BH38" i="117"/>
  <c r="BF42" i="117"/>
  <c r="AY43" i="117"/>
  <c r="BA44" i="117"/>
  <c r="AY44" i="117"/>
  <c r="BE45" i="117"/>
  <c r="AY45" i="117"/>
  <c r="AY46" i="117"/>
  <c r="BI12" i="117"/>
  <c r="AU14" i="117"/>
  <c r="AG15" i="117"/>
  <c r="AV15" i="117"/>
  <c r="AH16" i="117"/>
  <c r="BK16" i="117" s="1"/>
  <c r="AW16" i="117"/>
  <c r="BE16" i="117"/>
  <c r="AI17" i="117"/>
  <c r="BL17" i="117" s="1"/>
  <c r="AX17" i="117"/>
  <c r="BF17" i="117"/>
  <c r="AJ18" i="117"/>
  <c r="BM18" i="117" s="1"/>
  <c r="AY18" i="117"/>
  <c r="BG18" i="117"/>
  <c r="AZ19" i="117"/>
  <c r="BH19" i="117"/>
  <c r="BF24" i="117"/>
  <c r="BG25" i="117"/>
  <c r="AZ28" i="117"/>
  <c r="BK32" i="117"/>
  <c r="AY32" i="117"/>
  <c r="BK40" i="117"/>
  <c r="AY40" i="117"/>
  <c r="BF43" i="117"/>
  <c r="BF45" i="117"/>
  <c r="AG17" i="117"/>
  <c r="BJ17" i="117" s="1"/>
  <c r="AV17" i="117"/>
  <c r="AH18" i="117"/>
  <c r="BK18" i="117" s="1"/>
  <c r="AW18" i="117"/>
  <c r="AI19" i="117"/>
  <c r="BL19" i="117" s="1"/>
  <c r="BB12" i="117"/>
  <c r="AU13" i="117"/>
  <c r="BC13" i="117"/>
  <c r="AG14" i="117"/>
  <c r="AV14" i="117"/>
  <c r="BD14" i="117"/>
  <c r="AH15" i="117"/>
  <c r="BK15" i="117" s="1"/>
  <c r="AW15" i="117"/>
  <c r="BE15" i="117"/>
  <c r="AI16" i="117"/>
  <c r="BL16" i="117" s="1"/>
  <c r="AX16" i="117"/>
  <c r="BF16" i="117"/>
  <c r="AJ17" i="117"/>
  <c r="BM17" i="117" s="1"/>
  <c r="BG17" i="117"/>
  <c r="AZ18" i="117"/>
  <c r="BH18" i="117"/>
  <c r="BA19" i="117"/>
  <c r="AZ20" i="117"/>
  <c r="BC20" i="117"/>
  <c r="BF23" i="117"/>
  <c r="BG24" i="117"/>
  <c r="BH25" i="117"/>
  <c r="BK28" i="117"/>
  <c r="AY28" i="117"/>
  <c r="BH29" i="117"/>
  <c r="BF32" i="117"/>
  <c r="BK36" i="117"/>
  <c r="BF40" i="117"/>
  <c r="BG45" i="117"/>
  <c r="AU12" i="117"/>
  <c r="BC12" i="117"/>
  <c r="AG13" i="117"/>
  <c r="BJ13" i="117" s="1"/>
  <c r="AV13" i="117"/>
  <c r="AH14" i="117"/>
  <c r="BK14" i="117" s="1"/>
  <c r="AW14" i="117"/>
  <c r="BE14" i="117"/>
  <c r="AI15" i="117"/>
  <c r="BL15" i="117" s="1"/>
  <c r="AX15" i="117"/>
  <c r="AJ16" i="117"/>
  <c r="BM16" i="117" s="1"/>
  <c r="AY16" i="117"/>
  <c r="AZ17" i="117"/>
  <c r="BA18" i="117"/>
  <c r="BB19" i="117"/>
  <c r="AU20" i="117"/>
  <c r="BD20" i="117"/>
  <c r="AY21" i="117"/>
  <c r="BG22" i="117"/>
  <c r="AZ27" i="117"/>
  <c r="BA31" i="117"/>
  <c r="BG32" i="117"/>
  <c r="AZ35" i="117"/>
  <c r="BA39" i="117"/>
  <c r="BG40" i="117"/>
  <c r="BH45" i="117"/>
  <c r="AG12" i="117"/>
  <c r="AV12" i="117"/>
  <c r="AH13" i="117"/>
  <c r="BK13" i="117" s="1"/>
  <c r="AW13" i="117"/>
  <c r="AI14" i="117"/>
  <c r="BL14" i="117" s="1"/>
  <c r="AX14" i="117"/>
  <c r="AJ15" i="117"/>
  <c r="BM15" i="117" s="1"/>
  <c r="AU19" i="117"/>
  <c r="AG20" i="117"/>
  <c r="BJ20" i="117" s="1"/>
  <c r="AV20" i="117"/>
  <c r="BE20" i="117"/>
  <c r="BH23" i="117"/>
  <c r="BK27" i="117"/>
  <c r="BK35" i="117"/>
  <c r="AH12" i="117"/>
  <c r="BK12" i="117" s="1"/>
  <c r="AI13" i="117"/>
  <c r="BL13" i="117" s="1"/>
  <c r="AX13" i="117"/>
  <c r="AY14" i="117"/>
  <c r="AG19" i="117"/>
  <c r="AH20" i="117"/>
  <c r="BK20" i="117" s="1"/>
  <c r="BF20" i="117"/>
  <c r="BE26" i="117"/>
  <c r="BF27" i="117"/>
  <c r="BH28" i="117"/>
  <c r="BA30" i="117"/>
  <c r="BF35" i="117"/>
  <c r="BH36" i="117"/>
  <c r="BA38" i="117"/>
  <c r="AY35" i="117"/>
  <c r="AY27" i="117"/>
  <c r="AY38" i="117"/>
  <c r="BA36" i="117"/>
  <c r="AY30" i="117"/>
  <c r="BA28" i="117"/>
  <c r="AY36" i="117"/>
  <c r="AY39" i="117"/>
  <c r="AY31" i="117"/>
  <c r="BA29" i="117"/>
  <c r="BA23" i="117"/>
  <c r="AY34" i="117"/>
  <c r="AY26" i="117"/>
  <c r="BA35" i="117"/>
  <c r="AY29" i="117"/>
  <c r="BA27" i="117"/>
  <c r="AY23" i="117"/>
  <c r="AI12" i="117"/>
  <c r="BL12" i="117" s="1"/>
  <c r="AG18" i="117"/>
  <c r="BJ18" i="117" s="1"/>
  <c r="AH19" i="117"/>
  <c r="BK19" i="117" s="1"/>
  <c r="AI20" i="117"/>
  <c r="BL20" i="117" s="1"/>
  <c r="AX20" i="117"/>
  <c r="AV21" i="117"/>
  <c r="AG21" i="117"/>
  <c r="AU21" i="117"/>
  <c r="AZ21" i="117"/>
  <c r="AX21" i="117"/>
  <c r="AI21" i="117"/>
  <c r="BL21" i="117" s="1"/>
  <c r="AW21" i="117"/>
  <c r="BG27" i="117"/>
  <c r="BF30" i="117"/>
  <c r="BG35" i="117"/>
  <c r="BF38" i="117"/>
  <c r="AZ41" i="117"/>
  <c r="AZ42" i="117"/>
  <c r="BJ47" i="117"/>
  <c r="AH21" i="117"/>
  <c r="BK21" i="117" s="1"/>
  <c r="BE21" i="117"/>
  <c r="AI22" i="117"/>
  <c r="BL22" i="117" s="1"/>
  <c r="AX22" i="117"/>
  <c r="BF22" i="117"/>
  <c r="AJ23" i="117"/>
  <c r="BM23" i="117" s="1"/>
  <c r="BG23" i="117"/>
  <c r="AZ24" i="117"/>
  <c r="BH24" i="117"/>
  <c r="L25" i="117"/>
  <c r="BC25" i="117"/>
  <c r="AG26" i="117"/>
  <c r="BJ26" i="117" s="1"/>
  <c r="AV26" i="117"/>
  <c r="BF26" i="117"/>
  <c r="AJ27" i="117"/>
  <c r="BM27" i="117" s="1"/>
  <c r="BD28" i="117"/>
  <c r="AH29" i="117"/>
  <c r="BK29" i="117" s="1"/>
  <c r="BG29" i="117"/>
  <c r="BB30" i="117"/>
  <c r="AU31" i="117"/>
  <c r="BE31" i="117"/>
  <c r="AI32" i="117"/>
  <c r="BL32" i="117" s="1"/>
  <c r="AZ32" i="117"/>
  <c r="BH32" i="117"/>
  <c r="L33" i="117"/>
  <c r="BC33" i="117"/>
  <c r="AG34" i="117"/>
  <c r="BJ34" i="117" s="1"/>
  <c r="AV34" i="117"/>
  <c r="BF34" i="117"/>
  <c r="AJ35" i="117"/>
  <c r="BM35" i="117" s="1"/>
  <c r="BD36" i="117"/>
  <c r="AH37" i="117"/>
  <c r="BK37" i="117" s="1"/>
  <c r="BB38" i="117"/>
  <c r="AU39" i="117"/>
  <c r="BE39" i="117"/>
  <c r="AI40" i="117"/>
  <c r="BL40" i="117" s="1"/>
  <c r="AZ40" i="117"/>
  <c r="BH40" i="117"/>
  <c r="AU41" i="117"/>
  <c r="BE41" i="117"/>
  <c r="BB42" i="117"/>
  <c r="BG43" i="117"/>
  <c r="BD44" i="117"/>
  <c r="AH45" i="117"/>
  <c r="BK45" i="117" s="1"/>
  <c r="BA45" i="117"/>
  <c r="AV46" i="117"/>
  <c r="BF46" i="117"/>
  <c r="AU47" i="117"/>
  <c r="BE47" i="117"/>
  <c r="AJ22" i="117"/>
  <c r="BM22" i="117" s="1"/>
  <c r="AY22" i="117"/>
  <c r="AZ23" i="117"/>
  <c r="BD25" i="117"/>
  <c r="AH26" i="117"/>
  <c r="BB27" i="117"/>
  <c r="AU28" i="117"/>
  <c r="BE28" i="117"/>
  <c r="AI29" i="117"/>
  <c r="BL29" i="117" s="1"/>
  <c r="AZ29" i="117"/>
  <c r="BC30" i="117"/>
  <c r="AG31" i="117"/>
  <c r="BJ31" i="117" s="1"/>
  <c r="AV31" i="117"/>
  <c r="BF31" i="117"/>
  <c r="AJ32" i="117"/>
  <c r="BM32" i="117" s="1"/>
  <c r="BA32" i="117"/>
  <c r="BD33" i="117"/>
  <c r="AH34" i="117"/>
  <c r="BK34" i="117" s="1"/>
  <c r="BB35" i="117"/>
  <c r="AU36" i="117"/>
  <c r="BE36" i="117"/>
  <c r="AI37" i="117"/>
  <c r="BL37" i="117" s="1"/>
  <c r="BC38" i="117"/>
  <c r="AG39" i="117"/>
  <c r="AV39" i="117"/>
  <c r="BF39" i="117"/>
  <c r="AJ40" i="117"/>
  <c r="BM40" i="117" s="1"/>
  <c r="BA40" i="117"/>
  <c r="AV41" i="117"/>
  <c r="BF41" i="117"/>
  <c r="AG43" i="117"/>
  <c r="AZ43" i="117"/>
  <c r="BH43" i="117"/>
  <c r="AU44" i="117"/>
  <c r="BE44" i="117"/>
  <c r="BB45" i="117"/>
  <c r="BG46" i="117"/>
  <c r="AV47" i="117"/>
  <c r="BF47" i="117"/>
  <c r="AZ22" i="117"/>
  <c r="BH22" i="117"/>
  <c r="AU25" i="117"/>
  <c r="BE25" i="117"/>
  <c r="AI26" i="117"/>
  <c r="BL26" i="117" s="1"/>
  <c r="AZ26" i="117"/>
  <c r="BH26" i="117"/>
  <c r="AG28" i="117"/>
  <c r="BJ28" i="117" s="1"/>
  <c r="AV28" i="117"/>
  <c r="BF28" i="117"/>
  <c r="AJ29" i="117"/>
  <c r="BM29" i="117" s="1"/>
  <c r="AH31" i="117"/>
  <c r="BK31" i="117" s="1"/>
  <c r="BG31" i="117"/>
  <c r="BB32" i="117"/>
  <c r="AU33" i="117"/>
  <c r="BE33" i="117"/>
  <c r="AI34" i="117"/>
  <c r="BL34" i="117" s="1"/>
  <c r="AZ34" i="117"/>
  <c r="BH34" i="117"/>
  <c r="AG36" i="117"/>
  <c r="AV36" i="117"/>
  <c r="BF36" i="117"/>
  <c r="AJ37" i="117"/>
  <c r="BM37" i="117" s="1"/>
  <c r="AH39" i="117"/>
  <c r="BK39" i="117" s="1"/>
  <c r="BG39" i="117"/>
  <c r="BB40" i="117"/>
  <c r="BG41" i="117"/>
  <c r="BD42" i="117"/>
  <c r="AH43" i="117"/>
  <c r="BK43" i="117" s="1"/>
  <c r="BA43" i="117"/>
  <c r="AV44" i="117"/>
  <c r="BF44" i="117"/>
  <c r="BC45" i="117"/>
  <c r="AG46" i="117"/>
  <c r="BJ46" i="117" s="1"/>
  <c r="AZ46" i="117"/>
  <c r="BH46" i="117"/>
  <c r="BG47" i="117"/>
  <c r="BH21" i="117"/>
  <c r="BA22" i="117"/>
  <c r="BB23" i="117"/>
  <c r="AU24" i="117"/>
  <c r="BC24" i="117"/>
  <c r="AG25" i="117"/>
  <c r="BJ25" i="117" s="1"/>
  <c r="AV25" i="117"/>
  <c r="BF25" i="117"/>
  <c r="AJ26" i="117"/>
  <c r="BM26" i="117" s="1"/>
  <c r="BA26" i="117"/>
  <c r="BD27" i="117"/>
  <c r="BG28" i="117"/>
  <c r="BB29" i="117"/>
  <c r="AU30" i="117"/>
  <c r="BE30" i="117"/>
  <c r="AI31" i="117"/>
  <c r="BL31" i="117" s="1"/>
  <c r="AZ31" i="117"/>
  <c r="BH31" i="117"/>
  <c r="L32" i="117"/>
  <c r="BC32" i="117"/>
  <c r="AG33" i="117"/>
  <c r="AV33" i="117"/>
  <c r="BF33" i="117"/>
  <c r="AJ34" i="117"/>
  <c r="BM34" i="117" s="1"/>
  <c r="BA34" i="117"/>
  <c r="BD35" i="117"/>
  <c r="BG36" i="117"/>
  <c r="AU38" i="117"/>
  <c r="BE38" i="117"/>
  <c r="AI39" i="117"/>
  <c r="BL39" i="117" s="1"/>
  <c r="AZ39" i="117"/>
  <c r="BH39" i="117"/>
  <c r="BC40" i="117"/>
  <c r="AG41" i="117"/>
  <c r="BJ41" i="117" s="1"/>
  <c r="BH41" i="117"/>
  <c r="AU42" i="117"/>
  <c r="BE42" i="117"/>
  <c r="BB43" i="117"/>
  <c r="BG44" i="117"/>
  <c r="BD45" i="117"/>
  <c r="AH46" i="117"/>
  <c r="BK46" i="117" s="1"/>
  <c r="BA46" i="117"/>
  <c r="AZ47" i="117"/>
  <c r="BH47" i="117"/>
  <c r="AU23" i="117"/>
  <c r="AG24" i="117"/>
  <c r="BJ24" i="117" s="1"/>
  <c r="AV24" i="117"/>
  <c r="AH25" i="117"/>
  <c r="BK25" i="117" s="1"/>
  <c r="AU27" i="117"/>
  <c r="BE27" i="117"/>
  <c r="AI28" i="117"/>
  <c r="BL28" i="117" s="1"/>
  <c r="AG30" i="117"/>
  <c r="AV30" i="117"/>
  <c r="AH33" i="117"/>
  <c r="BK33" i="117" s="1"/>
  <c r="AU35" i="117"/>
  <c r="BE35" i="117"/>
  <c r="AI36" i="117"/>
  <c r="BL36" i="117" s="1"/>
  <c r="AZ36" i="117"/>
  <c r="AG38" i="117"/>
  <c r="AV38" i="117"/>
  <c r="AH41" i="117"/>
  <c r="BK41" i="117" s="1"/>
  <c r="AV42" i="117"/>
  <c r="AG44" i="117"/>
  <c r="L45" i="117"/>
  <c r="AU45" i="117"/>
  <c r="BA47" i="117"/>
  <c r="AU22" i="117"/>
  <c r="AG23" i="117"/>
  <c r="AV23" i="117"/>
  <c r="AH24" i="117"/>
  <c r="BK24" i="117" s="1"/>
  <c r="AW24" i="117"/>
  <c r="AI25" i="117"/>
  <c r="BL25" i="117" s="1"/>
  <c r="AZ25" i="117"/>
  <c r="AG27" i="117"/>
  <c r="AV27" i="117"/>
  <c r="AJ28" i="117"/>
  <c r="BM28" i="117" s="1"/>
  <c r="AH30" i="117"/>
  <c r="BK30" i="117" s="1"/>
  <c r="AU32" i="117"/>
  <c r="BE32" i="117"/>
  <c r="AI33" i="117"/>
  <c r="BL33" i="117" s="1"/>
  <c r="AZ33" i="117"/>
  <c r="AG35" i="117"/>
  <c r="AV35" i="117"/>
  <c r="AH38" i="117"/>
  <c r="BK38" i="117" s="1"/>
  <c r="AU40" i="117"/>
  <c r="BE40" i="117"/>
  <c r="AH44" i="117"/>
  <c r="BK44" i="117" s="1"/>
  <c r="AV45" i="117"/>
  <c r="AG22" i="117"/>
  <c r="BJ22" i="117" s="1"/>
  <c r="AV22" i="117"/>
  <c r="AH23" i="117"/>
  <c r="BK23" i="117" s="1"/>
  <c r="AW23" i="117"/>
  <c r="AI24" i="117"/>
  <c r="BL24" i="117" s="1"/>
  <c r="AX24" i="117"/>
  <c r="AU29" i="117"/>
  <c r="AI30" i="117"/>
  <c r="BL30" i="117" s="1"/>
  <c r="AZ30" i="117"/>
  <c r="AG32" i="117"/>
  <c r="BJ32" i="117" s="1"/>
  <c r="AU37" i="117"/>
  <c r="AI38" i="117"/>
  <c r="BL38" i="117" s="1"/>
  <c r="AZ38" i="117"/>
  <c r="AG40" i="117"/>
  <c r="BJ40" i="117" s="1"/>
  <c r="AG42" i="117"/>
  <c r="AU43" i="117"/>
  <c r="AH22" i="117"/>
  <c r="BK22" i="117" s="1"/>
  <c r="AI23" i="117"/>
  <c r="BL23" i="117" s="1"/>
  <c r="AI27" i="117"/>
  <c r="BL27" i="117" s="1"/>
  <c r="AG29" i="117"/>
  <c r="BJ29" i="117" s="1"/>
  <c r="AI35" i="117"/>
  <c r="BL35" i="117" s="1"/>
  <c r="AG37" i="117"/>
  <c r="BJ37" i="117" s="1"/>
  <c r="AH42" i="117"/>
  <c r="BK42" i="117" s="1"/>
  <c r="AG45" i="117"/>
  <c r="BJ45" i="117" s="1"/>
  <c r="AJ12" i="116"/>
  <c r="BM12" i="116" s="1"/>
  <c r="AU16" i="116"/>
  <c r="BO16" i="116" s="1"/>
  <c r="AV17" i="116"/>
  <c r="AH18" i="116"/>
  <c r="BK18" i="116" s="1"/>
  <c r="AW18" i="116"/>
  <c r="AI19" i="116"/>
  <c r="BL19" i="116" s="1"/>
  <c r="AX19" i="116"/>
  <c r="AJ20" i="116"/>
  <c r="BM20" i="116" s="1"/>
  <c r="AW21" i="116"/>
  <c r="AG34" i="116"/>
  <c r="AH37" i="116"/>
  <c r="BK37" i="116" s="1"/>
  <c r="AI40" i="116"/>
  <c r="BL40" i="116" s="1"/>
  <c r="AG16" i="116"/>
  <c r="AV16" i="116"/>
  <c r="AH17" i="116"/>
  <c r="AW17" i="116"/>
  <c r="AI18" i="116"/>
  <c r="BL18" i="116" s="1"/>
  <c r="AX18" i="116"/>
  <c r="AJ19" i="116"/>
  <c r="BM19" i="116" s="1"/>
  <c r="AU31" i="116"/>
  <c r="BO31" i="116" s="1"/>
  <c r="AU14" i="116"/>
  <c r="BO14" i="116" s="1"/>
  <c r="AG15" i="116"/>
  <c r="AV15" i="116"/>
  <c r="AH16" i="116"/>
  <c r="AW16" i="116"/>
  <c r="AI17" i="116"/>
  <c r="BL17" i="116" s="1"/>
  <c r="AX17" i="116"/>
  <c r="AJ18" i="116"/>
  <c r="BM18" i="116" s="1"/>
  <c r="AV26" i="116"/>
  <c r="AG14" i="116"/>
  <c r="AV14" i="116"/>
  <c r="AH15" i="116"/>
  <c r="AW15" i="116"/>
  <c r="AI16" i="116"/>
  <c r="BL16" i="116" s="1"/>
  <c r="AX16" i="116"/>
  <c r="AJ17" i="116"/>
  <c r="BM17" i="116" s="1"/>
  <c r="AX20" i="116"/>
  <c r="AU20" i="116"/>
  <c r="BO20" i="116" s="1"/>
  <c r="AV34" i="116"/>
  <c r="AU47" i="116"/>
  <c r="AU12" i="116"/>
  <c r="BO12" i="116" s="1"/>
  <c r="AG13" i="116"/>
  <c r="BJ13" i="116" s="1"/>
  <c r="AV13" i="116"/>
  <c r="AH14" i="116"/>
  <c r="AW14" i="116"/>
  <c r="AI15" i="116"/>
  <c r="BL15" i="116" s="1"/>
  <c r="AX15" i="116"/>
  <c r="AJ16" i="116"/>
  <c r="BM16" i="116" s="1"/>
  <c r="AV20" i="116"/>
  <c r="AG12" i="116"/>
  <c r="AH13" i="116"/>
  <c r="AI14" i="116"/>
  <c r="BL14" i="116" s="1"/>
  <c r="AX14" i="116"/>
  <c r="AG20" i="116"/>
  <c r="BJ20" i="116" s="1"/>
  <c r="AW20" i="116"/>
  <c r="AU23" i="116"/>
  <c r="BO23" i="116" s="1"/>
  <c r="AV24" i="116"/>
  <c r="AJ26" i="116"/>
  <c r="BM26" i="116" s="1"/>
  <c r="AJ29" i="116"/>
  <c r="BM29" i="116" s="1"/>
  <c r="AV30" i="116"/>
  <c r="AJ31" i="116"/>
  <c r="BM31" i="116" s="1"/>
  <c r="AJ32" i="116"/>
  <c r="BM32" i="116" s="1"/>
  <c r="AH12" i="116"/>
  <c r="AW12" i="116"/>
  <c r="AI13" i="116"/>
  <c r="BL13" i="116" s="1"/>
  <c r="AX13" i="116"/>
  <c r="AG19" i="116"/>
  <c r="AV19" i="116"/>
  <c r="AH20" i="116"/>
  <c r="BK20" i="116" s="1"/>
  <c r="AI28" i="116"/>
  <c r="BL28" i="116" s="1"/>
  <c r="AH28" i="116"/>
  <c r="AV28" i="116"/>
  <c r="AG28" i="116"/>
  <c r="AU28" i="116"/>
  <c r="BO28" i="116" s="1"/>
  <c r="AJ28" i="116"/>
  <c r="BM28" i="116" s="1"/>
  <c r="L31" i="116"/>
  <c r="AH46" i="116"/>
  <c r="AG46" i="116"/>
  <c r="AU46" i="116"/>
  <c r="BO46" i="116" s="1"/>
  <c r="AI12" i="116"/>
  <c r="BL12" i="116" s="1"/>
  <c r="AG18" i="116"/>
  <c r="AH19" i="116"/>
  <c r="AG26" i="116"/>
  <c r="AI32" i="116"/>
  <c r="BL32" i="116" s="1"/>
  <c r="AI36" i="116"/>
  <c r="BL36" i="116" s="1"/>
  <c r="AH36" i="116"/>
  <c r="AV36" i="116"/>
  <c r="AG36" i="116"/>
  <c r="AU36" i="116"/>
  <c r="BO36" i="116" s="1"/>
  <c r="AJ36" i="116"/>
  <c r="BM36" i="116" s="1"/>
  <c r="L39" i="116"/>
  <c r="AH41" i="116"/>
  <c r="BK41" i="116" s="1"/>
  <c r="AU22" i="116"/>
  <c r="BO22" i="116" s="1"/>
  <c r="AG23" i="116"/>
  <c r="AV23" i="116"/>
  <c r="AH24" i="116"/>
  <c r="BK24" i="116" s="1"/>
  <c r="AW24" i="116"/>
  <c r="AI25" i="116"/>
  <c r="BL25" i="116" s="1"/>
  <c r="AG27" i="116"/>
  <c r="AV27" i="116"/>
  <c r="AH30" i="116"/>
  <c r="AU32" i="116"/>
  <c r="BO32" i="116" s="1"/>
  <c r="AI33" i="116"/>
  <c r="BL33" i="116" s="1"/>
  <c r="AG35" i="116"/>
  <c r="AV35" i="116"/>
  <c r="AH38" i="116"/>
  <c r="AU40" i="116"/>
  <c r="BO40" i="116" s="1"/>
  <c r="AH44" i="116"/>
  <c r="AV45" i="116"/>
  <c r="AG47" i="116"/>
  <c r="AU21" i="116"/>
  <c r="BO21" i="116" s="1"/>
  <c r="AG22" i="116"/>
  <c r="AV22" i="116"/>
  <c r="AH23" i="116"/>
  <c r="AW23" i="116"/>
  <c r="AI24" i="116"/>
  <c r="BL24" i="116" s="1"/>
  <c r="AX24" i="116"/>
  <c r="AJ25" i="116"/>
  <c r="BM25" i="116" s="1"/>
  <c r="AH27" i="116"/>
  <c r="AU29" i="116"/>
  <c r="BO29" i="116" s="1"/>
  <c r="AI30" i="116"/>
  <c r="BL30" i="116" s="1"/>
  <c r="AG32" i="116"/>
  <c r="AV32" i="116"/>
  <c r="AJ33" i="116"/>
  <c r="BM33" i="116" s="1"/>
  <c r="AH35" i="116"/>
  <c r="AU37" i="116"/>
  <c r="BO37" i="116" s="1"/>
  <c r="AI38" i="116"/>
  <c r="BL38" i="116" s="1"/>
  <c r="AG40" i="116"/>
  <c r="BJ40" i="116" s="1"/>
  <c r="AV40" i="116"/>
  <c r="AG42" i="116"/>
  <c r="AU43" i="116"/>
  <c r="BO43" i="116" s="1"/>
  <c r="AH47" i="116"/>
  <c r="AG21" i="116"/>
  <c r="AV21" i="116"/>
  <c r="AH22" i="116"/>
  <c r="AW22" i="116"/>
  <c r="AI23" i="116"/>
  <c r="BL23" i="116" s="1"/>
  <c r="AX23" i="116"/>
  <c r="AJ24" i="116"/>
  <c r="BM24" i="116" s="1"/>
  <c r="AI27" i="116"/>
  <c r="BL27" i="116" s="1"/>
  <c r="AG29" i="116"/>
  <c r="BJ29" i="116" s="1"/>
  <c r="AV29" i="116"/>
  <c r="AJ30" i="116"/>
  <c r="BM30" i="116" s="1"/>
  <c r="AH32" i="116"/>
  <c r="AU34" i="116"/>
  <c r="BO34" i="116" s="1"/>
  <c r="AI35" i="116"/>
  <c r="BL35" i="116" s="1"/>
  <c r="AG37" i="116"/>
  <c r="BJ37" i="116" s="1"/>
  <c r="AV37" i="116"/>
  <c r="AJ38" i="116"/>
  <c r="BM38" i="116" s="1"/>
  <c r="AH40" i="116"/>
  <c r="BK40" i="116" s="1"/>
  <c r="AH42" i="116"/>
  <c r="AV43" i="116"/>
  <c r="AG45" i="116"/>
  <c r="BJ45" i="116" s="1"/>
  <c r="AI21" i="116"/>
  <c r="BL21" i="116" s="1"/>
  <c r="AX21" i="116"/>
  <c r="AJ22" i="116"/>
  <c r="BM22" i="116" s="1"/>
  <c r="AH26" i="116"/>
  <c r="AI29" i="116"/>
  <c r="BL29" i="116" s="1"/>
  <c r="AG31" i="116"/>
  <c r="AV31" i="116"/>
  <c r="AH34" i="116"/>
  <c r="AI37" i="116"/>
  <c r="BL37" i="116" s="1"/>
  <c r="AG39" i="116"/>
  <c r="AV39" i="116"/>
  <c r="AV41" i="116"/>
  <c r="AG43" i="116"/>
  <c r="AU44" i="116"/>
  <c r="BO44" i="116" s="1"/>
  <c r="AV47" i="116"/>
  <c r="AJ21" i="116"/>
  <c r="BM21" i="116" s="1"/>
  <c r="AU25" i="116"/>
  <c r="BO25" i="116" s="1"/>
  <c r="AI26" i="116"/>
  <c r="BL26" i="116" s="1"/>
  <c r="AH31" i="116"/>
  <c r="AU33" i="116"/>
  <c r="BO33" i="116" s="1"/>
  <c r="AI34" i="116"/>
  <c r="BL34" i="116" s="1"/>
  <c r="AH39" i="116"/>
  <c r="AV44" i="116"/>
  <c r="AU24" i="116"/>
  <c r="BO24" i="116" s="1"/>
  <c r="AG25" i="116"/>
  <c r="AV25" i="116"/>
  <c r="AU30" i="116"/>
  <c r="BO30" i="116" s="1"/>
  <c r="AI31" i="116"/>
  <c r="BL31" i="116" s="1"/>
  <c r="AG33" i="116"/>
  <c r="BJ33" i="116" s="1"/>
  <c r="AV33" i="116"/>
  <c r="AU38" i="116"/>
  <c r="BO38" i="116" s="1"/>
  <c r="AI39" i="116"/>
  <c r="BL39" i="116" s="1"/>
  <c r="AG41" i="116"/>
  <c r="BJ41" i="116" s="1"/>
  <c r="AG24" i="116"/>
  <c r="BJ24" i="116" s="1"/>
  <c r="AG30" i="116"/>
  <c r="AG38" i="116"/>
  <c r="AG44" i="116"/>
  <c r="BH12" i="113"/>
  <c r="BF12" i="113"/>
  <c r="L47" i="113"/>
  <c r="AK45" i="113"/>
  <c r="AK33" i="113"/>
  <c r="AY33" i="113" s="1"/>
  <c r="AK21" i="113"/>
  <c r="AY21" i="113" s="1"/>
  <c r="BD12" i="113"/>
  <c r="AK32" i="113"/>
  <c r="AK20" i="113"/>
  <c r="AY20" i="113" s="1"/>
  <c r="BC12" i="113"/>
  <c r="AK41" i="113"/>
  <c r="AY41" i="113" s="1"/>
  <c r="AK29" i="113"/>
  <c r="AY29" i="113" s="1"/>
  <c r="BB12" i="113"/>
  <c r="L27" i="113"/>
  <c r="AK40" i="113"/>
  <c r="AK28" i="113"/>
  <c r="AY28" i="113" s="1"/>
  <c r="AK17" i="113"/>
  <c r="AY17" i="113" s="1"/>
  <c r="AK42" i="113"/>
  <c r="AY42" i="113" s="1"/>
  <c r="AK34" i="113"/>
  <c r="AY34" i="113" s="1"/>
  <c r="AK26" i="113"/>
  <c r="AY26" i="113" s="1"/>
  <c r="AK18" i="113"/>
  <c r="AY18" i="113" s="1"/>
  <c r="L26" i="113"/>
  <c r="AI37" i="113"/>
  <c r="BL37" i="113" s="1"/>
  <c r="L42" i="113"/>
  <c r="AK37" i="113"/>
  <c r="AY37" i="113" s="1"/>
  <c r="AK25" i="113"/>
  <c r="AK31" i="113"/>
  <c r="L46" i="113"/>
  <c r="AK46" i="113"/>
  <c r="AY46" i="113" s="1"/>
  <c r="AK38" i="113"/>
  <c r="AK30" i="113"/>
  <c r="AY30" i="113" s="1"/>
  <c r="AK22" i="113"/>
  <c r="AK14" i="113"/>
  <c r="AY14" i="113" s="1"/>
  <c r="L14" i="113"/>
  <c r="L18" i="113"/>
  <c r="AJ40" i="113"/>
  <c r="BM40" i="113" s="1"/>
  <c r="L44" i="113"/>
  <c r="AJ24" i="113"/>
  <c r="BM24" i="113" s="1"/>
  <c r="L32" i="113"/>
  <c r="AJ37" i="113"/>
  <c r="BM37" i="113" s="1"/>
  <c r="L12" i="113"/>
  <c r="L16" i="113"/>
  <c r="L23" i="113"/>
  <c r="AJ32" i="113"/>
  <c r="BM32" i="113" s="1"/>
  <c r="L33" i="113"/>
  <c r="L34" i="113"/>
  <c r="AI38" i="113"/>
  <c r="BL38" i="113" s="1"/>
  <c r="L43" i="113"/>
  <c r="L39" i="113"/>
  <c r="AI23" i="113"/>
  <c r="BL23" i="113" s="1"/>
  <c r="AJ39" i="113"/>
  <c r="BM39" i="113" s="1"/>
  <c r="L37" i="113"/>
  <c r="AJ38" i="113"/>
  <c r="BM38" i="113" s="1"/>
  <c r="AI36" i="113"/>
  <c r="BL36" i="113" s="1"/>
  <c r="AJ36" i="113"/>
  <c r="BM36" i="113" s="1"/>
  <c r="L38" i="113"/>
  <c r="AI39" i="113"/>
  <c r="BL39" i="113" s="1"/>
  <c r="L41" i="113"/>
  <c r="AG47" i="113"/>
  <c r="AI40" i="113"/>
  <c r="BL40" i="113" s="1"/>
  <c r="AX21" i="113"/>
  <c r="AW24" i="113"/>
  <c r="AI26" i="113"/>
  <c r="BL26" i="113" s="1"/>
  <c r="AI27" i="113"/>
  <c r="BL27" i="113" s="1"/>
  <c r="AX12" i="113"/>
  <c r="AX23" i="113"/>
  <c r="AX24" i="113"/>
  <c r="AJ31" i="113"/>
  <c r="BM31" i="113" s="1"/>
  <c r="AJ34" i="113"/>
  <c r="BM34" i="113" s="1"/>
  <c r="AJ21" i="113"/>
  <c r="BM21" i="113" s="1"/>
  <c r="AJ29" i="113"/>
  <c r="BM29" i="113" s="1"/>
  <c r="AI35" i="113"/>
  <c r="BL35" i="113" s="1"/>
  <c r="L24" i="113"/>
  <c r="AI25" i="113"/>
  <c r="BL25" i="113" s="1"/>
  <c r="AJ26" i="113"/>
  <c r="BM26" i="113" s="1"/>
  <c r="L21" i="113"/>
  <c r="AJ23" i="113"/>
  <c r="BM23" i="113" s="1"/>
  <c r="AJ27" i="113"/>
  <c r="BM27" i="113" s="1"/>
  <c r="L29" i="113"/>
  <c r="AI30" i="113"/>
  <c r="BL30" i="113" s="1"/>
  <c r="AJ35" i="113"/>
  <c r="BM35" i="113" s="1"/>
  <c r="AW22" i="113"/>
  <c r="AJ30" i="113"/>
  <c r="BM30" i="113" s="1"/>
  <c r="AI33" i="113"/>
  <c r="BL33" i="113" s="1"/>
  <c r="AI22" i="113"/>
  <c r="BL22" i="113" s="1"/>
  <c r="AX22" i="113"/>
  <c r="AJ25" i="113"/>
  <c r="BM25" i="113" s="1"/>
  <c r="AI28" i="113"/>
  <c r="BL28" i="113" s="1"/>
  <c r="AJ33" i="113"/>
  <c r="BM33" i="113" s="1"/>
  <c r="AJ22" i="113"/>
  <c r="BM22" i="113" s="1"/>
  <c r="AJ28" i="113"/>
  <c r="BM28" i="113" s="1"/>
  <c r="L30" i="113"/>
  <c r="AI31" i="113"/>
  <c r="BL31" i="113" s="1"/>
  <c r="AW21" i="113"/>
  <c r="AI24" i="113"/>
  <c r="BL24" i="113" s="1"/>
  <c r="L25" i="113"/>
  <c r="AI34" i="113"/>
  <c r="BL34" i="113" s="1"/>
  <c r="AI21" i="113"/>
  <c r="BL21" i="113" s="1"/>
  <c r="L22" i="113"/>
  <c r="L28" i="113"/>
  <c r="AI29" i="113"/>
  <c r="BL29" i="113" s="1"/>
  <c r="AW23" i="113"/>
  <c r="AI32" i="113"/>
  <c r="BL32" i="113" s="1"/>
  <c r="AX15" i="113"/>
  <c r="AJ19" i="113"/>
  <c r="BM19" i="113" s="1"/>
  <c r="AJ14" i="113"/>
  <c r="BM14" i="113" s="1"/>
  <c r="AW18" i="113"/>
  <c r="L13" i="113"/>
  <c r="L17" i="113"/>
  <c r="AI18" i="113"/>
  <c r="BL18" i="113" s="1"/>
  <c r="AI17" i="113"/>
  <c r="BL17" i="113" s="1"/>
  <c r="H15" i="115"/>
  <c r="G15" i="115"/>
  <c r="F17" i="115"/>
  <c r="H16" i="115"/>
  <c r="G16" i="115"/>
  <c r="H17" i="115"/>
  <c r="M17" i="115" s="1"/>
  <c r="G17" i="115"/>
  <c r="H14" i="115"/>
  <c r="O13" i="115"/>
  <c r="G13" i="115"/>
  <c r="AJ17" i="113"/>
  <c r="BM17" i="113" s="1"/>
  <c r="AX18" i="113"/>
  <c r="L19" i="113"/>
  <c r="AI20" i="113"/>
  <c r="BL20" i="113" s="1"/>
  <c r="AI12" i="113"/>
  <c r="BL12" i="113" s="1"/>
  <c r="AW13" i="113"/>
  <c r="AI15" i="113"/>
  <c r="BL15" i="113" s="1"/>
  <c r="AW16" i="113"/>
  <c r="AJ20" i="113"/>
  <c r="BM20" i="113" s="1"/>
  <c r="AJ12" i="113"/>
  <c r="BM12" i="113" s="1"/>
  <c r="AX13" i="113"/>
  <c r="AJ15" i="113"/>
  <c r="BM15" i="113" s="1"/>
  <c r="AX16" i="113"/>
  <c r="AW19" i="113"/>
  <c r="AW14" i="113"/>
  <c r="AJ18" i="113"/>
  <c r="BM18" i="113" s="1"/>
  <c r="AX19" i="113"/>
  <c r="L20" i="113"/>
  <c r="AI13" i="113"/>
  <c r="BL13" i="113" s="1"/>
  <c r="AX14" i="113"/>
  <c r="AI16" i="113"/>
  <c r="BL16" i="113" s="1"/>
  <c r="AW17" i="113"/>
  <c r="AJ13" i="113"/>
  <c r="BM13" i="113" s="1"/>
  <c r="AJ16" i="113"/>
  <c r="BM16" i="113" s="1"/>
  <c r="AX17" i="113"/>
  <c r="AI19" i="113"/>
  <c r="BL19" i="113" s="1"/>
  <c r="AW20" i="113"/>
  <c r="AW12" i="113"/>
  <c r="AI14" i="113"/>
  <c r="BL14" i="113" s="1"/>
  <c r="AW15" i="113"/>
  <c r="AX20" i="113"/>
  <c r="AL58" i="120" l="1"/>
  <c r="AM58" i="120" s="1"/>
  <c r="AL55" i="120"/>
  <c r="AM55" i="120" s="1"/>
  <c r="AL85" i="120"/>
  <c r="AM85" i="120" s="1"/>
  <c r="AL82" i="120"/>
  <c r="AM82" i="120" s="1"/>
  <c r="AL79" i="120"/>
  <c r="AM79" i="120" s="1"/>
  <c r="AL72" i="120"/>
  <c r="AM72" i="120" s="1"/>
  <c r="AL69" i="120"/>
  <c r="AM69" i="120" s="1"/>
  <c r="AL66" i="120"/>
  <c r="AM66" i="120" s="1"/>
  <c r="AL63" i="120"/>
  <c r="AM63" i="120" s="1"/>
  <c r="AL60" i="120"/>
  <c r="AM60" i="120" s="1"/>
  <c r="AL57" i="120"/>
  <c r="AM57" i="120" s="1"/>
  <c r="AL54" i="120"/>
  <c r="AM54" i="120" s="1"/>
  <c r="AL86" i="120"/>
  <c r="AM86" i="120" s="1"/>
  <c r="AL83" i="120"/>
  <c r="AM83" i="120" s="1"/>
  <c r="AY22" i="113"/>
  <c r="AY32" i="113"/>
  <c r="BH46" i="113"/>
  <c r="AZ46" i="113"/>
  <c r="BF43" i="113"/>
  <c r="BG22" i="113"/>
  <c r="BA22" i="113"/>
  <c r="AY31" i="113"/>
  <c r="AY40" i="113"/>
  <c r="BG39" i="113"/>
  <c r="BH38" i="113"/>
  <c r="BG37" i="113"/>
  <c r="BK26" i="113"/>
  <c r="BF25" i="113"/>
  <c r="BJ28" i="113"/>
  <c r="BH24" i="113"/>
  <c r="AY45" i="113"/>
  <c r="BG40" i="113"/>
  <c r="BA40" i="113"/>
  <c r="AZ38" i="113"/>
  <c r="AY38" i="113"/>
  <c r="AY25" i="113"/>
  <c r="BF46" i="113"/>
  <c r="AY19" i="113"/>
  <c r="BG32" i="113"/>
  <c r="BA32" i="113"/>
  <c r="BG24" i="113"/>
  <c r="BA24" i="113"/>
  <c r="BC17" i="113"/>
  <c r="BH19" i="113"/>
  <c r="AZ34" i="113"/>
  <c r="AZ32" i="113"/>
  <c r="BH22" i="113"/>
  <c r="AL64" i="120"/>
  <c r="AM64" i="120" s="1"/>
  <c r="AL80" i="120"/>
  <c r="AM80" i="120" s="1"/>
  <c r="AL61" i="120"/>
  <c r="AM61" i="120" s="1"/>
  <c r="AL77" i="120"/>
  <c r="AM77" i="120" s="1"/>
  <c r="AL56" i="120"/>
  <c r="AM56" i="120" s="1"/>
  <c r="AL74" i="120"/>
  <c r="AM74" i="120" s="1"/>
  <c r="AL53" i="120"/>
  <c r="AM53" i="120" s="1"/>
  <c r="AL71" i="120"/>
  <c r="AM71" i="120" s="1"/>
  <c r="AL87" i="120"/>
  <c r="AM87" i="120" s="1"/>
  <c r="AY44" i="113"/>
  <c r="BA47" i="113"/>
  <c r="BH43" i="113"/>
  <c r="BG36" i="113"/>
  <c r="BA36" i="113"/>
  <c r="BF29" i="113"/>
  <c r="BH25" i="113"/>
  <c r="BF21" i="113"/>
  <c r="AZ40" i="113"/>
  <c r="BF39" i="113"/>
  <c r="BH28" i="113"/>
  <c r="BH20" i="113"/>
  <c r="BJ17" i="113"/>
  <c r="BJ35" i="117"/>
  <c r="BJ27" i="117"/>
  <c r="AZ58" i="120"/>
  <c r="AY57" i="120"/>
  <c r="AL52" i="120"/>
  <c r="AM52" i="120" s="1"/>
  <c r="AL68" i="120"/>
  <c r="AM68" i="120" s="1"/>
  <c r="AL84" i="120"/>
  <c r="AM84" i="120" s="1"/>
  <c r="AL65" i="120"/>
  <c r="AM65" i="120" s="1"/>
  <c r="AL81" i="120"/>
  <c r="AM81" i="120" s="1"/>
  <c r="AL62" i="120"/>
  <c r="AM62" i="120" s="1"/>
  <c r="AL78" i="120"/>
  <c r="AM78" i="120" s="1"/>
  <c r="AL59" i="120"/>
  <c r="AM59" i="120" s="1"/>
  <c r="BF31" i="113"/>
  <c r="BG28" i="113"/>
  <c r="BA28" i="113"/>
  <c r="AY39" i="113"/>
  <c r="BH36" i="113"/>
  <c r="BH45" i="113"/>
  <c r="BF45" i="113"/>
  <c r="BJ45" i="113"/>
  <c r="AZ43" i="113"/>
  <c r="BH41" i="113"/>
  <c r="BF41" i="113"/>
  <c r="BJ41" i="113"/>
  <c r="BH35" i="113"/>
  <c r="BF35" i="113"/>
  <c r="BJ35" i="113"/>
  <c r="BH31" i="113"/>
  <c r="BJ31" i="113"/>
  <c r="AZ29" i="113"/>
  <c r="BH27" i="113"/>
  <c r="BF27" i="113"/>
  <c r="BJ27" i="113"/>
  <c r="AZ25" i="113"/>
  <c r="BH23" i="113"/>
  <c r="BF23" i="113"/>
  <c r="BJ23" i="113"/>
  <c r="AZ21" i="113"/>
  <c r="AY43" i="113"/>
  <c r="BH47" i="113"/>
  <c r="BF47" i="113"/>
  <c r="BG45" i="113"/>
  <c r="BE45" i="113"/>
  <c r="BG43" i="113"/>
  <c r="BG41" i="113"/>
  <c r="BH37" i="113"/>
  <c r="BF37" i="113"/>
  <c r="AY36" i="113"/>
  <c r="BF36" i="113"/>
  <c r="BJ36" i="113"/>
  <c r="AY27" i="113"/>
  <c r="BG35" i="113"/>
  <c r="BA31" i="113"/>
  <c r="BJ30" i="113"/>
  <c r="BA29" i="113"/>
  <c r="BA27" i="113"/>
  <c r="BA25" i="113"/>
  <c r="BA23" i="113"/>
  <c r="BJ22" i="113"/>
  <c r="BA21" i="113"/>
  <c r="BJ20" i="113"/>
  <c r="AZ20" i="113"/>
  <c r="BA19" i="113"/>
  <c r="BJ18" i="113"/>
  <c r="AZ18" i="113"/>
  <c r="BG20" i="113"/>
  <c r="BJ19" i="113"/>
  <c r="BK15" i="113"/>
  <c r="BJ15" i="113"/>
  <c r="BG14" i="113"/>
  <c r="BE15" i="113"/>
  <c r="BH14" i="113"/>
  <c r="BF14" i="113"/>
  <c r="BJ14" i="113"/>
  <c r="AZ14" i="113"/>
  <c r="BJ12" i="113"/>
  <c r="BJ44" i="117"/>
  <c r="BJ33" i="117"/>
  <c r="BJ36" i="117"/>
  <c r="BK26" i="117"/>
  <c r="AH6" i="117"/>
  <c r="BJ21" i="117"/>
  <c r="BJ16" i="117"/>
  <c r="BE57" i="120"/>
  <c r="BE58" i="120"/>
  <c r="AY58" i="120"/>
  <c r="AY56" i="120"/>
  <c r="AZ56" i="120"/>
  <c r="BJ46" i="113"/>
  <c r="BJ43" i="113"/>
  <c r="AZ41" i="113"/>
  <c r="BJ38" i="113"/>
  <c r="AZ35" i="113"/>
  <c r="AZ31" i="113"/>
  <c r="AZ27" i="113"/>
  <c r="BJ25" i="113"/>
  <c r="AZ23" i="113"/>
  <c r="BJ21" i="113"/>
  <c r="BJ47" i="113"/>
  <c r="BG46" i="113"/>
  <c r="BJ42" i="113"/>
  <c r="BJ39" i="113"/>
  <c r="BG38" i="113"/>
  <c r="AY23" i="113"/>
  <c r="BJ34" i="113"/>
  <c r="BJ32" i="113"/>
  <c r="AZ15" i="113"/>
  <c r="BG15" i="113"/>
  <c r="BK17" i="113"/>
  <c r="BJ58" i="120"/>
  <c r="BJ57" i="120"/>
  <c r="BJ56" i="120"/>
  <c r="L45" i="113"/>
  <c r="AH5" i="113" s="1"/>
  <c r="AJ7" i="117" a="1"/>
  <c r="AJ7" i="117" s="1"/>
  <c r="BJ38" i="117"/>
  <c r="BJ14" i="117"/>
  <c r="BK17" i="117"/>
  <c r="BA6" i="117"/>
  <c r="BJ43" i="117"/>
  <c r="BJ19" i="117"/>
  <c r="BA7" i="117"/>
  <c r="AH7" i="117" a="1"/>
  <c r="AH7" i="117" s="1"/>
  <c r="AY7" i="117"/>
  <c r="BJ42" i="117"/>
  <c r="BJ15" i="117"/>
  <c r="AK5" i="117" a="1"/>
  <c r="AK5" i="117" s="1"/>
  <c r="BJ23" i="117"/>
  <c r="BJ30" i="117"/>
  <c r="BJ12" i="117"/>
  <c r="AY5" i="117"/>
  <c r="BA5" i="117"/>
  <c r="AY6" i="117"/>
  <c r="BE52" i="117"/>
  <c r="AI7" i="117" a="1"/>
  <c r="AI7" i="117" s="1"/>
  <c r="AY52" i="117"/>
  <c r="BE54" i="117"/>
  <c r="AJ5" i="117" a="1"/>
  <c r="AJ5" i="117" s="1"/>
  <c r="AY54" i="117"/>
  <c r="BE51" i="117"/>
  <c r="AH5" i="117"/>
  <c r="AY51" i="117"/>
  <c r="BE53" i="117"/>
  <c r="BJ39" i="117"/>
  <c r="AI5" i="117" a="1"/>
  <c r="AI5" i="117" s="1"/>
  <c r="AY53" i="117"/>
  <c r="AZ53" i="117"/>
  <c r="AZ51" i="117"/>
  <c r="AZ54" i="117"/>
  <c r="AZ52" i="117"/>
  <c r="AZ6" i="117"/>
  <c r="AZ5" i="117"/>
  <c r="AZ7" i="117"/>
  <c r="AI6" i="117" a="1"/>
  <c r="AI6" i="117" s="1"/>
  <c r="AJ6" i="117" a="1"/>
  <c r="AJ6" i="117" s="1"/>
  <c r="AH5" i="116"/>
  <c r="AI5" i="116" a="1"/>
  <c r="AI5" i="116" s="1"/>
  <c r="AK5" i="116" a="1"/>
  <c r="AK5" i="116" s="1"/>
  <c r="AJ5" i="116" a="1"/>
  <c r="AJ5" i="116" s="1"/>
  <c r="AK12" i="113"/>
  <c r="AY12" i="113" s="1"/>
  <c r="AJ5" i="113" a="1"/>
  <c r="AJ5" i="113" s="1"/>
  <c r="AJ7" i="113" l="1" a="1"/>
  <c r="AJ7" i="113" s="1"/>
  <c r="BF9" i="113"/>
  <c r="BB7" i="113"/>
  <c r="AZ9" i="113"/>
  <c r="AL61" i="113" s="1"/>
  <c r="AM61" i="113" s="1"/>
  <c r="BA9" i="113"/>
  <c r="BH9" i="113"/>
  <c r="AY9" i="113"/>
  <c r="BG9" i="113"/>
  <c r="AL70" i="113"/>
  <c r="AM70" i="113" s="1"/>
  <c r="AL56" i="113"/>
  <c r="AM56" i="113" s="1"/>
  <c r="AL81" i="113"/>
  <c r="AM81" i="113" s="1"/>
  <c r="AL83" i="113"/>
  <c r="AM83" i="113" s="1"/>
  <c r="AL69" i="113"/>
  <c r="AM69" i="113" s="1"/>
  <c r="AL55" i="113"/>
  <c r="AM55" i="113" s="1"/>
  <c r="AL80" i="113"/>
  <c r="AM80" i="113" s="1"/>
  <c r="AL74" i="113"/>
  <c r="AM74" i="113" s="1"/>
  <c r="AL76" i="113"/>
  <c r="AM76" i="113" s="1"/>
  <c r="AH6" i="113"/>
  <c r="BA7" i="113"/>
  <c r="E15" i="115" s="1"/>
  <c r="AY6" i="113"/>
  <c r="D13" i="115" s="1"/>
  <c r="AK5" i="113" a="1"/>
  <c r="AK5" i="113" s="1"/>
  <c r="BE53" i="113"/>
  <c r="AI5" i="113" a="1"/>
  <c r="AI5" i="113" s="1"/>
  <c r="AI7" i="113" a="1"/>
  <c r="AI7" i="113" s="1"/>
  <c r="BA6" i="113"/>
  <c r="BE54" i="113"/>
  <c r="BE51" i="113"/>
  <c r="BE52" i="113"/>
  <c r="BA5" i="113"/>
  <c r="AJ6" i="113" a="1"/>
  <c r="AJ6" i="113" s="1"/>
  <c r="AI6" i="113" a="1"/>
  <c r="AI6" i="113" s="1"/>
  <c r="AZ51" i="113"/>
  <c r="AY57" i="117"/>
  <c r="AK7" i="117" a="1"/>
  <c r="AK7" i="117" s="1"/>
  <c r="AY58" i="117"/>
  <c r="AZ57" i="117"/>
  <c r="BB6" i="117"/>
  <c r="AY56" i="117"/>
  <c r="BE58" i="117"/>
  <c r="BJ53" i="117"/>
  <c r="BJ51" i="117"/>
  <c r="BJ54" i="117"/>
  <c r="BJ52" i="117"/>
  <c r="BB5" i="117"/>
  <c r="AK6" i="117" a="1"/>
  <c r="AK6" i="117" s="1"/>
  <c r="BB7" i="117" a="1"/>
  <c r="BB7" i="117" s="1"/>
  <c r="BE57" i="117"/>
  <c r="AZ56" i="117"/>
  <c r="BE56" i="117"/>
  <c r="AZ58" i="117"/>
  <c r="AZ53" i="113"/>
  <c r="AZ52" i="113"/>
  <c r="AZ7" i="113"/>
  <c r="E16" i="115" s="1"/>
  <c r="AZ6" i="113"/>
  <c r="AZ5" i="113"/>
  <c r="AZ54" i="113"/>
  <c r="BJ53" i="113"/>
  <c r="BB5" i="113"/>
  <c r="AH7" i="113" a="1"/>
  <c r="AH7" i="113" s="1"/>
  <c r="BJ54" i="113"/>
  <c r="BJ52" i="113"/>
  <c r="BJ51" i="113"/>
  <c r="AY52" i="113"/>
  <c r="AY54" i="113"/>
  <c r="AY7" i="113"/>
  <c r="E13" i="115" s="1"/>
  <c r="AY5" i="113"/>
  <c r="AY53" i="113"/>
  <c r="AY51" i="113"/>
  <c r="BB6" i="113"/>
  <c r="E14" i="115"/>
  <c r="AK7" i="113" a="1"/>
  <c r="AK7" i="113" s="1"/>
  <c r="AK6" i="113" a="1"/>
  <c r="AK6" i="113" s="1"/>
  <c r="AL60" i="113" l="1"/>
  <c r="AM60" i="113" s="1"/>
  <c r="AL58" i="113"/>
  <c r="AM58" i="113" s="1"/>
  <c r="AL64" i="113"/>
  <c r="AM64" i="113" s="1"/>
  <c r="AL78" i="113"/>
  <c r="AM78" i="113" s="1"/>
  <c r="AL53" i="113"/>
  <c r="AM53" i="113" s="1"/>
  <c r="AL67" i="113"/>
  <c r="AM67" i="113" s="1"/>
  <c r="AL65" i="113"/>
  <c r="AM65" i="113" s="1"/>
  <c r="AL79" i="113"/>
  <c r="AM79" i="113" s="1"/>
  <c r="AL54" i="113"/>
  <c r="AM54" i="113" s="1"/>
  <c r="AL75" i="113"/>
  <c r="AM75" i="113" s="1"/>
  <c r="AL73" i="113"/>
  <c r="AM73" i="113" s="1"/>
  <c r="AL87" i="113"/>
  <c r="AM87" i="113" s="1"/>
  <c r="AL62" i="113"/>
  <c r="AM62" i="113" s="1"/>
  <c r="AL84" i="113"/>
  <c r="AM84" i="113" s="1"/>
  <c r="AL82" i="113"/>
  <c r="AM82" i="113" s="1"/>
  <c r="AL52" i="113"/>
  <c r="AM52" i="113" s="1"/>
  <c r="AL63" i="113"/>
  <c r="AM63" i="113" s="1"/>
  <c r="AL77" i="113"/>
  <c r="AM77" i="113" s="1"/>
  <c r="AL59" i="113"/>
  <c r="AM59" i="113" s="1"/>
  <c r="AL57" i="113"/>
  <c r="AM57" i="113" s="1"/>
  <c r="AL71" i="113"/>
  <c r="AM71" i="113" s="1"/>
  <c r="AL85" i="113"/>
  <c r="AM85" i="113" s="1"/>
  <c r="AL68" i="113"/>
  <c r="AM68" i="113" s="1"/>
  <c r="AL66" i="113"/>
  <c r="AM66" i="113" s="1"/>
  <c r="AL72" i="113"/>
  <c r="AM72" i="113" s="1"/>
  <c r="AL86" i="113"/>
  <c r="AM86" i="113" s="1"/>
  <c r="B16" i="115"/>
  <c r="F16" i="115" s="1"/>
  <c r="B16" i="122"/>
  <c r="B13" i="115"/>
  <c r="F13" i="115" s="1"/>
  <c r="B13" i="122"/>
  <c r="B14" i="115"/>
  <c r="F14" i="115" s="1"/>
  <c r="B14" i="122"/>
  <c r="B15" i="115"/>
  <c r="F15" i="115" s="1"/>
  <c r="B15" i="122"/>
  <c r="BE56" i="113"/>
  <c r="BE58" i="113"/>
  <c r="L15" i="115"/>
  <c r="BE57" i="113"/>
  <c r="BJ57" i="117"/>
  <c r="BJ58" i="117"/>
  <c r="BJ56" i="117"/>
  <c r="AZ57" i="113"/>
  <c r="AZ58" i="113"/>
  <c r="AZ56" i="113"/>
  <c r="M16" i="115"/>
  <c r="BJ58" i="113"/>
  <c r="AY57" i="113"/>
  <c r="AY56" i="113"/>
  <c r="AY58" i="113"/>
  <c r="BJ57" i="113"/>
  <c r="BJ56" i="113"/>
  <c r="M13" i="115"/>
  <c r="M15" i="115"/>
  <c r="L13" i="115"/>
  <c r="L16" i="115"/>
  <c r="L14" i="115"/>
  <c r="M14" i="115" l="1"/>
  <c r="F15" i="122"/>
  <c r="L15" i="122"/>
  <c r="M15" i="122"/>
  <c r="F13" i="122"/>
  <c r="L13" i="122"/>
  <c r="M13" i="122"/>
  <c r="F14" i="122"/>
  <c r="M14" i="122"/>
  <c r="L14" i="122"/>
  <c r="F16" i="122"/>
  <c r="M16" i="122"/>
  <c r="L16" i="122"/>
  <c r="J12" i="111"/>
  <c r="K12" i="111" s="1"/>
  <c r="J11" i="111"/>
  <c r="K11" i="111" s="1"/>
  <c r="J10" i="111"/>
  <c r="K10" i="111" s="1"/>
  <c r="J9" i="111"/>
  <c r="K9" i="111" s="1"/>
  <c r="H7" i="111"/>
  <c r="BB20" i="110"/>
  <c r="BA21" i="110"/>
  <c r="BA16" i="110"/>
  <c r="BB45" i="110"/>
  <c r="AZ40" i="110"/>
  <c r="AZ28" i="110"/>
  <c r="AI6" i="2"/>
  <c r="AK12" i="110"/>
  <c r="AK13" i="110"/>
  <c r="AK14" i="110"/>
  <c r="AK15" i="110"/>
  <c r="AK16" i="110"/>
  <c r="AK18" i="110"/>
  <c r="AK19" i="110"/>
  <c r="AK20" i="110"/>
  <c r="AK21" i="110"/>
  <c r="AK22" i="110"/>
  <c r="AK23" i="110"/>
  <c r="AK24" i="110"/>
  <c r="AK25" i="110"/>
  <c r="AK26" i="110"/>
  <c r="AK27" i="110"/>
  <c r="AK28" i="110"/>
  <c r="AK29" i="110"/>
  <c r="AK30" i="110"/>
  <c r="AK31" i="110"/>
  <c r="AK32" i="110"/>
  <c r="AK33" i="110"/>
  <c r="AK34" i="110"/>
  <c r="AK35" i="110"/>
  <c r="AK36" i="110"/>
  <c r="AK37" i="110"/>
  <c r="AK38" i="110"/>
  <c r="AK39" i="110"/>
  <c r="AK40" i="110"/>
  <c r="AK41" i="110"/>
  <c r="AK42" i="110"/>
  <c r="AK43" i="110"/>
  <c r="AK44" i="110"/>
  <c r="AK45" i="110"/>
  <c r="AK46" i="110"/>
  <c r="AK47" i="110"/>
  <c r="AK17" i="110"/>
  <c r="BL47" i="110"/>
  <c r="BK47" i="110"/>
  <c r="BH47" i="110"/>
  <c r="BG47" i="110"/>
  <c r="BF47" i="110"/>
  <c r="BE47" i="110"/>
  <c r="BD47" i="110"/>
  <c r="BC47" i="110"/>
  <c r="BB47" i="110"/>
  <c r="BA47" i="110"/>
  <c r="AZ47" i="110"/>
  <c r="W47" i="110"/>
  <c r="U47" i="110"/>
  <c r="T47" i="110"/>
  <c r="S47" i="110"/>
  <c r="R47" i="110"/>
  <c r="Q47" i="110"/>
  <c r="P47" i="110"/>
  <c r="O47" i="110"/>
  <c r="N47" i="110"/>
  <c r="M47" i="110"/>
  <c r="J47" i="110"/>
  <c r="BL46" i="110"/>
  <c r="BK46" i="110"/>
  <c r="BH46" i="110"/>
  <c r="BG46" i="110"/>
  <c r="BF46" i="110"/>
  <c r="BE46" i="110"/>
  <c r="BD46" i="110"/>
  <c r="BC46" i="110"/>
  <c r="BB46" i="110"/>
  <c r="BA46" i="110"/>
  <c r="AZ46" i="110"/>
  <c r="W46" i="110"/>
  <c r="U46" i="110"/>
  <c r="T46" i="110"/>
  <c r="S46" i="110"/>
  <c r="R46" i="110"/>
  <c r="Q46" i="110"/>
  <c r="P46" i="110"/>
  <c r="O46" i="110"/>
  <c r="N46" i="110"/>
  <c r="M46" i="110"/>
  <c r="J46" i="110"/>
  <c r="BL45" i="110"/>
  <c r="BK45" i="110"/>
  <c r="BH45" i="110"/>
  <c r="BG45" i="110"/>
  <c r="BF45" i="110"/>
  <c r="BE45" i="110"/>
  <c r="BD45" i="110"/>
  <c r="BC45" i="110"/>
  <c r="BA45" i="110"/>
  <c r="AZ45" i="110"/>
  <c r="W45" i="110"/>
  <c r="U45" i="110"/>
  <c r="T45" i="110"/>
  <c r="S45" i="110"/>
  <c r="R45" i="110"/>
  <c r="Q45" i="110"/>
  <c r="P45" i="110"/>
  <c r="O45" i="110"/>
  <c r="N45" i="110"/>
  <c r="M45" i="110"/>
  <c r="J45" i="110"/>
  <c r="BL44" i="110"/>
  <c r="BK44" i="110"/>
  <c r="BH44" i="110"/>
  <c r="BG44" i="110"/>
  <c r="BF44" i="110"/>
  <c r="BE44" i="110"/>
  <c r="BD44" i="110"/>
  <c r="BC44" i="110"/>
  <c r="BB44" i="110"/>
  <c r="BA44" i="110"/>
  <c r="AZ44" i="110"/>
  <c r="W44" i="110"/>
  <c r="U44" i="110"/>
  <c r="T44" i="110"/>
  <c r="S44" i="110"/>
  <c r="R44" i="110"/>
  <c r="Q44" i="110"/>
  <c r="P44" i="110"/>
  <c r="O44" i="110"/>
  <c r="N44" i="110"/>
  <c r="M44" i="110"/>
  <c r="J44" i="110"/>
  <c r="BL43" i="110"/>
  <c r="BK43" i="110"/>
  <c r="BH43" i="110"/>
  <c r="BG43" i="110"/>
  <c r="BF43" i="110"/>
  <c r="BE43" i="110"/>
  <c r="BD43" i="110"/>
  <c r="BC43" i="110"/>
  <c r="BB43" i="110"/>
  <c r="BA43" i="110"/>
  <c r="AZ43" i="110"/>
  <c r="W43" i="110"/>
  <c r="AY43" i="110" s="1"/>
  <c r="U43" i="110"/>
  <c r="T43" i="110"/>
  <c r="S43" i="110"/>
  <c r="R43" i="110"/>
  <c r="Q43" i="110"/>
  <c r="P43" i="110"/>
  <c r="O43" i="110"/>
  <c r="N43" i="110"/>
  <c r="M43" i="110"/>
  <c r="J43" i="110"/>
  <c r="L43" i="110" s="1"/>
  <c r="BL42" i="110"/>
  <c r="BK42" i="110"/>
  <c r="BH42" i="110"/>
  <c r="BG42" i="110"/>
  <c r="BF42" i="110"/>
  <c r="BE42" i="110"/>
  <c r="BD42" i="110"/>
  <c r="BC42" i="110"/>
  <c r="BB42" i="110"/>
  <c r="BA42" i="110"/>
  <c r="AZ42" i="110"/>
  <c r="W42" i="110"/>
  <c r="U42" i="110"/>
  <c r="T42" i="110"/>
  <c r="S42" i="110"/>
  <c r="R42" i="110"/>
  <c r="Q42" i="110"/>
  <c r="P42" i="110"/>
  <c r="O42" i="110"/>
  <c r="N42" i="110"/>
  <c r="M42" i="110"/>
  <c r="J42" i="110"/>
  <c r="BL41" i="110"/>
  <c r="BK41" i="110"/>
  <c r="BH41" i="110"/>
  <c r="BG41" i="110"/>
  <c r="BF41" i="110"/>
  <c r="BE41" i="110"/>
  <c r="BD41" i="110"/>
  <c r="BC41" i="110"/>
  <c r="BB41" i="110"/>
  <c r="BA41" i="110"/>
  <c r="AZ41" i="110"/>
  <c r="W41" i="110"/>
  <c r="U41" i="110"/>
  <c r="T41" i="110"/>
  <c r="S41" i="110"/>
  <c r="R41" i="110"/>
  <c r="Q41" i="110"/>
  <c r="P41" i="110"/>
  <c r="O41" i="110"/>
  <c r="N41" i="110"/>
  <c r="M41" i="110"/>
  <c r="J41" i="110"/>
  <c r="BH40" i="110"/>
  <c r="BG40" i="110"/>
  <c r="BF40" i="110"/>
  <c r="BE40" i="110"/>
  <c r="BD40" i="110"/>
  <c r="BC40" i="110"/>
  <c r="BB40" i="110"/>
  <c r="BA40" i="110"/>
  <c r="W40" i="110"/>
  <c r="AY40" i="110" s="1"/>
  <c r="U40" i="110"/>
  <c r="T40" i="110"/>
  <c r="S40" i="110"/>
  <c r="R40" i="110"/>
  <c r="Q40" i="110"/>
  <c r="P40" i="110"/>
  <c r="O40" i="110"/>
  <c r="N40" i="110"/>
  <c r="M40" i="110"/>
  <c r="J40" i="110"/>
  <c r="BH39" i="110"/>
  <c r="BG39" i="110"/>
  <c r="BF39" i="110"/>
  <c r="BE39" i="110"/>
  <c r="BD39" i="110"/>
  <c r="BC39" i="110"/>
  <c r="BB39" i="110"/>
  <c r="BA39" i="110"/>
  <c r="AZ39" i="110"/>
  <c r="W39" i="110"/>
  <c r="AY39" i="110" s="1"/>
  <c r="U39" i="110"/>
  <c r="T39" i="110"/>
  <c r="S39" i="110"/>
  <c r="R39" i="110"/>
  <c r="Q39" i="110"/>
  <c r="P39" i="110"/>
  <c r="O39" i="110"/>
  <c r="N39" i="110"/>
  <c r="M39" i="110"/>
  <c r="J39" i="110"/>
  <c r="BH38" i="110"/>
  <c r="BG38" i="110"/>
  <c r="BF38" i="110"/>
  <c r="BE38" i="110"/>
  <c r="BD38" i="110"/>
  <c r="BC38" i="110"/>
  <c r="BB38" i="110"/>
  <c r="BA38" i="110"/>
  <c r="AZ38" i="110"/>
  <c r="W38" i="110"/>
  <c r="AY38" i="110" s="1"/>
  <c r="U38" i="110"/>
  <c r="T38" i="110"/>
  <c r="S38" i="110"/>
  <c r="R38" i="110"/>
  <c r="Q38" i="110"/>
  <c r="P38" i="110"/>
  <c r="O38" i="110"/>
  <c r="N38" i="110"/>
  <c r="M38" i="110"/>
  <c r="J38" i="110"/>
  <c r="BH37" i="110"/>
  <c r="BG37" i="110"/>
  <c r="BF37" i="110"/>
  <c r="BE37" i="110"/>
  <c r="BD37" i="110"/>
  <c r="BC37" i="110"/>
  <c r="BB37" i="110"/>
  <c r="BA37" i="110"/>
  <c r="AZ37" i="110"/>
  <c r="W37" i="110"/>
  <c r="AY37" i="110" s="1"/>
  <c r="U37" i="110"/>
  <c r="T37" i="110"/>
  <c r="S37" i="110"/>
  <c r="R37" i="110"/>
  <c r="Q37" i="110"/>
  <c r="P37" i="110"/>
  <c r="O37" i="110"/>
  <c r="N37" i="110"/>
  <c r="M37" i="110"/>
  <c r="J37" i="110"/>
  <c r="BH36" i="110"/>
  <c r="BG36" i="110"/>
  <c r="BF36" i="110"/>
  <c r="BE36" i="110"/>
  <c r="BD36" i="110"/>
  <c r="BC36" i="110"/>
  <c r="BB36" i="110"/>
  <c r="BA36" i="110"/>
  <c r="AZ36" i="110"/>
  <c r="W36" i="110"/>
  <c r="AY36" i="110" s="1"/>
  <c r="U36" i="110"/>
  <c r="T36" i="110"/>
  <c r="S36" i="110"/>
  <c r="R36" i="110"/>
  <c r="Q36" i="110"/>
  <c r="P36" i="110"/>
  <c r="O36" i="110"/>
  <c r="N36" i="110"/>
  <c r="M36" i="110"/>
  <c r="J36" i="110"/>
  <c r="L36" i="110" s="1"/>
  <c r="BH35" i="110"/>
  <c r="BG35" i="110"/>
  <c r="BF35" i="110"/>
  <c r="BE35" i="110"/>
  <c r="BD35" i="110"/>
  <c r="BC35" i="110"/>
  <c r="BB35" i="110"/>
  <c r="BA35" i="110"/>
  <c r="AZ35" i="110"/>
  <c r="W35" i="110"/>
  <c r="AY35" i="110" s="1"/>
  <c r="U35" i="110"/>
  <c r="T35" i="110"/>
  <c r="S35" i="110"/>
  <c r="R35" i="110"/>
  <c r="Q35" i="110"/>
  <c r="P35" i="110"/>
  <c r="O35" i="110"/>
  <c r="N35" i="110"/>
  <c r="M35" i="110"/>
  <c r="J35" i="110"/>
  <c r="L35" i="110" s="1"/>
  <c r="BH34" i="110"/>
  <c r="BG34" i="110"/>
  <c r="BF34" i="110"/>
  <c r="BE34" i="110"/>
  <c r="BD34" i="110"/>
  <c r="BC34" i="110"/>
  <c r="BB34" i="110"/>
  <c r="BA34" i="110"/>
  <c r="AZ34" i="110"/>
  <c r="W34" i="110"/>
  <c r="AY34" i="110" s="1"/>
  <c r="U34" i="110"/>
  <c r="T34" i="110"/>
  <c r="S34" i="110"/>
  <c r="R34" i="110"/>
  <c r="Q34" i="110"/>
  <c r="P34" i="110"/>
  <c r="O34" i="110"/>
  <c r="N34" i="110"/>
  <c r="M34" i="110"/>
  <c r="J34" i="110"/>
  <c r="BH33" i="110"/>
  <c r="BG33" i="110"/>
  <c r="BF33" i="110"/>
  <c r="BE33" i="110"/>
  <c r="BC33" i="110"/>
  <c r="BB33" i="110"/>
  <c r="BA33" i="110"/>
  <c r="AZ33" i="110"/>
  <c r="W33" i="110"/>
  <c r="U33" i="110"/>
  <c r="T33" i="110"/>
  <c r="S33" i="110"/>
  <c r="R33" i="110"/>
  <c r="Q33" i="110"/>
  <c r="P33" i="110"/>
  <c r="O33" i="110"/>
  <c r="N33" i="110"/>
  <c r="M33" i="110"/>
  <c r="J33" i="110"/>
  <c r="BH32" i="110"/>
  <c r="BG32" i="110"/>
  <c r="BF32" i="110"/>
  <c r="BE32" i="110"/>
  <c r="BD32" i="110"/>
  <c r="BC32" i="110"/>
  <c r="BB32" i="110"/>
  <c r="BA32" i="110"/>
  <c r="AZ32" i="110"/>
  <c r="W32" i="110"/>
  <c r="U32" i="110"/>
  <c r="T32" i="110"/>
  <c r="S32" i="110"/>
  <c r="R32" i="110"/>
  <c r="Q32" i="110"/>
  <c r="P32" i="110"/>
  <c r="O32" i="110"/>
  <c r="N32" i="110"/>
  <c r="M32" i="110"/>
  <c r="J32" i="110"/>
  <c r="BH31" i="110"/>
  <c r="BG31" i="110"/>
  <c r="BF31" i="110"/>
  <c r="BE31" i="110"/>
  <c r="BD31" i="110"/>
  <c r="BC31" i="110"/>
  <c r="BB31" i="110"/>
  <c r="BA31" i="110"/>
  <c r="AZ31" i="110"/>
  <c r="W31" i="110"/>
  <c r="U31" i="110"/>
  <c r="T31" i="110"/>
  <c r="S31" i="110"/>
  <c r="R31" i="110"/>
  <c r="Q31" i="110"/>
  <c r="P31" i="110"/>
  <c r="O31" i="110"/>
  <c r="N31" i="110"/>
  <c r="M31" i="110"/>
  <c r="J31" i="110"/>
  <c r="L31" i="110" s="1"/>
  <c r="BH30" i="110"/>
  <c r="BG30" i="110"/>
  <c r="BF30" i="110"/>
  <c r="BE30" i="110"/>
  <c r="BD30" i="110"/>
  <c r="BC30" i="110"/>
  <c r="BB30" i="110"/>
  <c r="BA30" i="110"/>
  <c r="AZ30" i="110"/>
  <c r="W30" i="110"/>
  <c r="AY30" i="110" s="1"/>
  <c r="U30" i="110"/>
  <c r="T30" i="110"/>
  <c r="S30" i="110"/>
  <c r="R30" i="110"/>
  <c r="Q30" i="110"/>
  <c r="P30" i="110"/>
  <c r="O30" i="110"/>
  <c r="N30" i="110"/>
  <c r="M30" i="110"/>
  <c r="J30" i="110"/>
  <c r="BH29" i="110"/>
  <c r="BG29" i="110"/>
  <c r="BF29" i="110"/>
  <c r="BE29" i="110"/>
  <c r="BD29" i="110"/>
  <c r="BC29" i="110"/>
  <c r="BB29" i="110"/>
  <c r="BA29" i="110"/>
  <c r="AZ29" i="110"/>
  <c r="W29" i="110"/>
  <c r="AY29" i="110" s="1"/>
  <c r="U29" i="110"/>
  <c r="T29" i="110"/>
  <c r="S29" i="110"/>
  <c r="R29" i="110"/>
  <c r="Q29" i="110"/>
  <c r="P29" i="110"/>
  <c r="O29" i="110"/>
  <c r="N29" i="110"/>
  <c r="M29" i="110"/>
  <c r="J29" i="110"/>
  <c r="BH28" i="110"/>
  <c r="BG28" i="110"/>
  <c r="BF28" i="110"/>
  <c r="BE28" i="110"/>
  <c r="BD28" i="110"/>
  <c r="BC28" i="110"/>
  <c r="BB28" i="110"/>
  <c r="BA28" i="110"/>
  <c r="W28" i="110"/>
  <c r="U28" i="110"/>
  <c r="T28" i="110"/>
  <c r="S28" i="110"/>
  <c r="R28" i="110"/>
  <c r="Q28" i="110"/>
  <c r="P28" i="110"/>
  <c r="O28" i="110"/>
  <c r="N28" i="110"/>
  <c r="M28" i="110"/>
  <c r="J28" i="110"/>
  <c r="BH27" i="110"/>
  <c r="BG27" i="110"/>
  <c r="BF27" i="110"/>
  <c r="BE27" i="110"/>
  <c r="BD27" i="110"/>
  <c r="BC27" i="110"/>
  <c r="BB27" i="110"/>
  <c r="BA27" i="110"/>
  <c r="AZ27" i="110"/>
  <c r="W27" i="110"/>
  <c r="AY27" i="110" s="1"/>
  <c r="U27" i="110"/>
  <c r="T27" i="110"/>
  <c r="S27" i="110"/>
  <c r="R27" i="110"/>
  <c r="Q27" i="110"/>
  <c r="P27" i="110"/>
  <c r="O27" i="110"/>
  <c r="N27" i="110"/>
  <c r="M27" i="110"/>
  <c r="J27" i="110"/>
  <c r="L27" i="110" s="1"/>
  <c r="BH26" i="110"/>
  <c r="BG26" i="110"/>
  <c r="BF26" i="110"/>
  <c r="BE26" i="110"/>
  <c r="BD26" i="110"/>
  <c r="BC26" i="110"/>
  <c r="BB26" i="110"/>
  <c r="BA26" i="110"/>
  <c r="AZ26" i="110"/>
  <c r="W26" i="110"/>
  <c r="AY26" i="110" s="1"/>
  <c r="U26" i="110"/>
  <c r="T26" i="110"/>
  <c r="S26" i="110"/>
  <c r="R26" i="110"/>
  <c r="Q26" i="110"/>
  <c r="P26" i="110"/>
  <c r="O26" i="110"/>
  <c r="N26" i="110"/>
  <c r="M26" i="110"/>
  <c r="J26" i="110"/>
  <c r="L26" i="110" s="1"/>
  <c r="BH25" i="110"/>
  <c r="BG25" i="110"/>
  <c r="BF25" i="110"/>
  <c r="BE25" i="110"/>
  <c r="BD25" i="110"/>
  <c r="BC25" i="110"/>
  <c r="BB25" i="110"/>
  <c r="BA25" i="110"/>
  <c r="AZ25" i="110"/>
  <c r="W25" i="110"/>
  <c r="U25" i="110"/>
  <c r="T25" i="110"/>
  <c r="S25" i="110"/>
  <c r="R25" i="110"/>
  <c r="Q25" i="110"/>
  <c r="P25" i="110"/>
  <c r="O25" i="110"/>
  <c r="N25" i="110"/>
  <c r="M25" i="110"/>
  <c r="J25" i="110"/>
  <c r="BH24" i="110"/>
  <c r="BG24" i="110"/>
  <c r="BF24" i="110"/>
  <c r="BE24" i="110"/>
  <c r="BD24" i="110"/>
  <c r="BC24" i="110"/>
  <c r="BB24" i="110"/>
  <c r="BA24" i="110"/>
  <c r="AZ24" i="110"/>
  <c r="W24" i="110"/>
  <c r="U24" i="110"/>
  <c r="T24" i="110"/>
  <c r="S24" i="110"/>
  <c r="R24" i="110"/>
  <c r="Q24" i="110"/>
  <c r="P24" i="110"/>
  <c r="O24" i="110"/>
  <c r="N24" i="110"/>
  <c r="M24" i="110"/>
  <c r="AX24" i="110" s="1"/>
  <c r="J24" i="110"/>
  <c r="BH23" i="110"/>
  <c r="BG23" i="110"/>
  <c r="BF23" i="110"/>
  <c r="BE23" i="110"/>
  <c r="BD23" i="110"/>
  <c r="BC23" i="110"/>
  <c r="BB23" i="110"/>
  <c r="BA23" i="110"/>
  <c r="AZ23" i="110"/>
  <c r="W23" i="110"/>
  <c r="AY23" i="110" s="1"/>
  <c r="U23" i="110"/>
  <c r="T23" i="110"/>
  <c r="S23" i="110"/>
  <c r="R23" i="110"/>
  <c r="Q23" i="110"/>
  <c r="P23" i="110"/>
  <c r="O23" i="110"/>
  <c r="N23" i="110"/>
  <c r="M23" i="110"/>
  <c r="J23" i="110"/>
  <c r="BH22" i="110"/>
  <c r="BG22" i="110"/>
  <c r="BF22" i="110"/>
  <c r="BE22" i="110"/>
  <c r="BD22" i="110"/>
  <c r="BC22" i="110"/>
  <c r="BB22" i="110"/>
  <c r="BA22" i="110"/>
  <c r="AZ22" i="110"/>
  <c r="W22" i="110"/>
  <c r="U22" i="110"/>
  <c r="T22" i="110"/>
  <c r="S22" i="110"/>
  <c r="R22" i="110"/>
  <c r="Q22" i="110"/>
  <c r="P22" i="110"/>
  <c r="O22" i="110"/>
  <c r="N22" i="110"/>
  <c r="M22" i="110"/>
  <c r="J22" i="110"/>
  <c r="BH21" i="110"/>
  <c r="BG21" i="110"/>
  <c r="BF21" i="110"/>
  <c r="BE21" i="110"/>
  <c r="BD21" i="110"/>
  <c r="BC21" i="110"/>
  <c r="BB21" i="110"/>
  <c r="AZ21" i="110"/>
  <c r="W21" i="110"/>
  <c r="U21" i="110"/>
  <c r="T21" i="110"/>
  <c r="S21" i="110"/>
  <c r="R21" i="110"/>
  <c r="Q21" i="110"/>
  <c r="P21" i="110"/>
  <c r="O21" i="110"/>
  <c r="N21" i="110"/>
  <c r="M21" i="110"/>
  <c r="J21" i="110"/>
  <c r="BH20" i="110"/>
  <c r="BG20" i="110"/>
  <c r="BF20" i="110"/>
  <c r="BE20" i="110"/>
  <c r="BC20" i="110"/>
  <c r="BA20" i="110"/>
  <c r="AZ20" i="110"/>
  <c r="W20" i="110"/>
  <c r="U20" i="110"/>
  <c r="T20" i="110"/>
  <c r="S20" i="110"/>
  <c r="R20" i="110"/>
  <c r="Q20" i="110"/>
  <c r="P20" i="110"/>
  <c r="O20" i="110"/>
  <c r="N20" i="110"/>
  <c r="M20" i="110"/>
  <c r="J20" i="110"/>
  <c r="BH19" i="110"/>
  <c r="BG19" i="110"/>
  <c r="BF19" i="110"/>
  <c r="BE19" i="110"/>
  <c r="BD19" i="110"/>
  <c r="BC19" i="110"/>
  <c r="BB19" i="110"/>
  <c r="BA19" i="110"/>
  <c r="AZ19" i="110"/>
  <c r="W19" i="110"/>
  <c r="U19" i="110"/>
  <c r="T19" i="110"/>
  <c r="S19" i="110"/>
  <c r="R19" i="110"/>
  <c r="Q19" i="110"/>
  <c r="P19" i="110"/>
  <c r="O19" i="110"/>
  <c r="N19" i="110"/>
  <c r="M19" i="110"/>
  <c r="J19" i="110"/>
  <c r="BH18" i="110"/>
  <c r="BG18" i="110"/>
  <c r="BF18" i="110"/>
  <c r="BE18" i="110"/>
  <c r="BD18" i="110"/>
  <c r="BC18" i="110"/>
  <c r="BB18" i="110"/>
  <c r="BA18" i="110"/>
  <c r="AZ18" i="110"/>
  <c r="W18" i="110"/>
  <c r="AY18" i="110" s="1"/>
  <c r="U18" i="110"/>
  <c r="T18" i="110"/>
  <c r="S18" i="110"/>
  <c r="R18" i="110"/>
  <c r="Q18" i="110"/>
  <c r="P18" i="110"/>
  <c r="O18" i="110"/>
  <c r="N18" i="110"/>
  <c r="M18" i="110"/>
  <c r="J18" i="110"/>
  <c r="BH17" i="110"/>
  <c r="BG17" i="110"/>
  <c r="BF17" i="110"/>
  <c r="BE17" i="110"/>
  <c r="BD17" i="110"/>
  <c r="BC17" i="110"/>
  <c r="BB17" i="110"/>
  <c r="BA17" i="110"/>
  <c r="AZ17" i="110"/>
  <c r="W17" i="110"/>
  <c r="U17" i="110"/>
  <c r="T17" i="110"/>
  <c r="S17" i="110"/>
  <c r="R17" i="110"/>
  <c r="Q17" i="110"/>
  <c r="P17" i="110"/>
  <c r="O17" i="110"/>
  <c r="N17" i="110"/>
  <c r="M17" i="110"/>
  <c r="J17" i="110"/>
  <c r="BH16" i="110"/>
  <c r="BG16" i="110"/>
  <c r="BF16" i="110"/>
  <c r="BE16" i="110"/>
  <c r="BD16" i="110"/>
  <c r="BC16" i="110"/>
  <c r="BB16" i="110"/>
  <c r="AZ16" i="110"/>
  <c r="W16" i="110"/>
  <c r="AY16" i="110" s="1"/>
  <c r="U16" i="110"/>
  <c r="T16" i="110"/>
  <c r="S16" i="110"/>
  <c r="R16" i="110"/>
  <c r="Q16" i="110"/>
  <c r="P16" i="110"/>
  <c r="O16" i="110"/>
  <c r="N16" i="110"/>
  <c r="M16" i="110"/>
  <c r="J16" i="110"/>
  <c r="BH15" i="110"/>
  <c r="BG15" i="110"/>
  <c r="BF15" i="110"/>
  <c r="BE15" i="110"/>
  <c r="BD15" i="110"/>
  <c r="BC15" i="110"/>
  <c r="BB15" i="110"/>
  <c r="BA15" i="110"/>
  <c r="AZ15" i="110"/>
  <c r="W15" i="110"/>
  <c r="AY15" i="110" s="1"/>
  <c r="U15" i="110"/>
  <c r="T15" i="110"/>
  <c r="S15" i="110"/>
  <c r="R15" i="110"/>
  <c r="Q15" i="110"/>
  <c r="P15" i="110"/>
  <c r="O15" i="110"/>
  <c r="N15" i="110"/>
  <c r="M15" i="110"/>
  <c r="J15" i="110"/>
  <c r="BH14" i="110"/>
  <c r="BG14" i="110"/>
  <c r="BF14" i="110"/>
  <c r="BE14" i="110"/>
  <c r="BD14" i="110"/>
  <c r="BC14" i="110"/>
  <c r="BB14" i="110"/>
  <c r="BA14" i="110"/>
  <c r="AZ14" i="110"/>
  <c r="W14" i="110"/>
  <c r="U14" i="110"/>
  <c r="T14" i="110"/>
  <c r="S14" i="110"/>
  <c r="R14" i="110"/>
  <c r="Q14" i="110"/>
  <c r="P14" i="110"/>
  <c r="O14" i="110"/>
  <c r="N14" i="110"/>
  <c r="M14" i="110"/>
  <c r="J14" i="110"/>
  <c r="BH13" i="110"/>
  <c r="BG13" i="110"/>
  <c r="BF13" i="110"/>
  <c r="BE13" i="110"/>
  <c r="BC13" i="110"/>
  <c r="BB13" i="110"/>
  <c r="BA13" i="110"/>
  <c r="AZ13" i="110"/>
  <c r="W13" i="110"/>
  <c r="U13" i="110"/>
  <c r="T13" i="110"/>
  <c r="S13" i="110"/>
  <c r="R13" i="110"/>
  <c r="Q13" i="110"/>
  <c r="P13" i="110"/>
  <c r="O13" i="110"/>
  <c r="N13" i="110"/>
  <c r="M13" i="110"/>
  <c r="J13" i="110"/>
  <c r="BH12" i="110"/>
  <c r="BG12" i="110"/>
  <c r="BF12" i="110"/>
  <c r="BE12" i="110"/>
  <c r="BD12" i="110"/>
  <c r="BC12" i="110"/>
  <c r="BB12" i="110"/>
  <c r="BA12" i="110"/>
  <c r="BA9" i="110" s="1"/>
  <c r="AZ12" i="110"/>
  <c r="W12" i="110"/>
  <c r="U12" i="110"/>
  <c r="T12" i="110"/>
  <c r="S12" i="110"/>
  <c r="R12" i="110"/>
  <c r="Q12" i="110"/>
  <c r="P12" i="110"/>
  <c r="O12" i="110"/>
  <c r="N12" i="110"/>
  <c r="M12" i="110"/>
  <c r="J12" i="110"/>
  <c r="L12" i="110" s="1"/>
  <c r="AY5" i="110"/>
  <c r="BH36" i="108"/>
  <c r="BG36" i="108"/>
  <c r="BF36" i="108"/>
  <c r="BE36" i="108"/>
  <c r="BD36" i="108"/>
  <c r="BC36" i="108"/>
  <c r="BB36" i="108"/>
  <c r="BA36" i="108"/>
  <c r="AZ36" i="108"/>
  <c r="AK36" i="108"/>
  <c r="W36" i="108"/>
  <c r="U36" i="108"/>
  <c r="T36" i="108"/>
  <c r="S36" i="108"/>
  <c r="R36" i="108"/>
  <c r="Q36" i="108"/>
  <c r="P36" i="108"/>
  <c r="O36" i="108"/>
  <c r="N36" i="108"/>
  <c r="M36" i="108"/>
  <c r="J36" i="108"/>
  <c r="L36" i="108" s="1"/>
  <c r="BH35" i="108"/>
  <c r="BG35" i="108"/>
  <c r="BF35" i="108"/>
  <c r="BE35" i="108"/>
  <c r="BD35" i="108"/>
  <c r="BC35" i="108"/>
  <c r="BB35" i="108"/>
  <c r="BA35" i="108"/>
  <c r="AZ35" i="108"/>
  <c r="AK35" i="108"/>
  <c r="W35" i="108"/>
  <c r="U35" i="108"/>
  <c r="T35" i="108"/>
  <c r="S35" i="108"/>
  <c r="R35" i="108"/>
  <c r="Q35" i="108"/>
  <c r="P35" i="108"/>
  <c r="O35" i="108"/>
  <c r="N35" i="108"/>
  <c r="M35" i="108"/>
  <c r="J35" i="108"/>
  <c r="BH34" i="108"/>
  <c r="BG34" i="108"/>
  <c r="BF34" i="108"/>
  <c r="BE34" i="108"/>
  <c r="BD34" i="108"/>
  <c r="BC34" i="108"/>
  <c r="BB34" i="108"/>
  <c r="BA34" i="108"/>
  <c r="AZ34" i="108"/>
  <c r="AK34" i="108"/>
  <c r="W34" i="108"/>
  <c r="U34" i="108"/>
  <c r="T34" i="108"/>
  <c r="S34" i="108"/>
  <c r="R34" i="108"/>
  <c r="Q34" i="108"/>
  <c r="P34" i="108"/>
  <c r="O34" i="108"/>
  <c r="N34" i="108"/>
  <c r="M34" i="108"/>
  <c r="J34" i="108"/>
  <c r="BH33" i="108"/>
  <c r="BG33" i="108"/>
  <c r="BF33" i="108"/>
  <c r="BE33" i="108"/>
  <c r="BD33" i="108"/>
  <c r="BC33" i="108"/>
  <c r="BB33" i="108"/>
  <c r="BA33" i="108"/>
  <c r="AZ33" i="108"/>
  <c r="AK33" i="108"/>
  <c r="W33" i="108"/>
  <c r="U33" i="108"/>
  <c r="T33" i="108"/>
  <c r="S33" i="108"/>
  <c r="R33" i="108"/>
  <c r="Q33" i="108"/>
  <c r="P33" i="108"/>
  <c r="O33" i="108"/>
  <c r="N33" i="108"/>
  <c r="M33" i="108"/>
  <c r="J33" i="108"/>
  <c r="BH32" i="108"/>
  <c r="BG32" i="108"/>
  <c r="BF32" i="108"/>
  <c r="BE32" i="108"/>
  <c r="BD32" i="108"/>
  <c r="BC32" i="108"/>
  <c r="BB32" i="108"/>
  <c r="BA32" i="108"/>
  <c r="AZ32" i="108"/>
  <c r="AK32" i="108"/>
  <c r="W32" i="108"/>
  <c r="U32" i="108"/>
  <c r="T32" i="108"/>
  <c r="S32" i="108"/>
  <c r="R32" i="108"/>
  <c r="Q32" i="108"/>
  <c r="P32" i="108"/>
  <c r="O32" i="108"/>
  <c r="N32" i="108"/>
  <c r="M32" i="108"/>
  <c r="J32" i="108"/>
  <c r="BH31" i="108"/>
  <c r="BG31" i="108"/>
  <c r="BF31" i="108"/>
  <c r="BE31" i="108"/>
  <c r="BD31" i="108"/>
  <c r="BC31" i="108"/>
  <c r="BB31" i="108"/>
  <c r="BA31" i="108"/>
  <c r="AZ31" i="108"/>
  <c r="AK31" i="108"/>
  <c r="W31" i="108"/>
  <c r="U31" i="108"/>
  <c r="T31" i="108"/>
  <c r="S31" i="108"/>
  <c r="R31" i="108"/>
  <c r="Q31" i="108"/>
  <c r="P31" i="108"/>
  <c r="O31" i="108"/>
  <c r="N31" i="108"/>
  <c r="M31" i="108"/>
  <c r="J31" i="108"/>
  <c r="L31" i="108" s="1"/>
  <c r="BH30" i="108"/>
  <c r="BG30" i="108"/>
  <c r="BF30" i="108"/>
  <c r="BE30" i="108"/>
  <c r="BD30" i="108"/>
  <c r="BC30" i="108"/>
  <c r="BB30" i="108"/>
  <c r="BA30" i="108"/>
  <c r="AZ30" i="108"/>
  <c r="AK30" i="108"/>
  <c r="W30" i="108"/>
  <c r="U30" i="108"/>
  <c r="T30" i="108"/>
  <c r="S30" i="108"/>
  <c r="R30" i="108"/>
  <c r="Q30" i="108"/>
  <c r="P30" i="108"/>
  <c r="O30" i="108"/>
  <c r="N30" i="108"/>
  <c r="M30" i="108"/>
  <c r="J30" i="108"/>
  <c r="BH29" i="108"/>
  <c r="BG29" i="108"/>
  <c r="BF29" i="108"/>
  <c r="BE29" i="108"/>
  <c r="BD29" i="108"/>
  <c r="BC29" i="108"/>
  <c r="BB29" i="108"/>
  <c r="BA29" i="108"/>
  <c r="AZ29" i="108"/>
  <c r="AK29" i="108"/>
  <c r="W29" i="108"/>
  <c r="U29" i="108"/>
  <c r="T29" i="108"/>
  <c r="S29" i="108"/>
  <c r="R29" i="108"/>
  <c r="Q29" i="108"/>
  <c r="P29" i="108"/>
  <c r="O29" i="108"/>
  <c r="N29" i="108"/>
  <c r="M29" i="108"/>
  <c r="J29" i="108"/>
  <c r="BH28" i="108"/>
  <c r="BG28" i="108"/>
  <c r="BF28" i="108"/>
  <c r="BE28" i="108"/>
  <c r="BD28" i="108"/>
  <c r="BC28" i="108"/>
  <c r="BB28" i="108"/>
  <c r="BA28" i="108"/>
  <c r="AZ28" i="108"/>
  <c r="AK28" i="108"/>
  <c r="W28" i="108"/>
  <c r="U28" i="108"/>
  <c r="T28" i="108"/>
  <c r="S28" i="108"/>
  <c r="R28" i="108"/>
  <c r="Q28" i="108"/>
  <c r="P28" i="108"/>
  <c r="O28" i="108"/>
  <c r="N28" i="108"/>
  <c r="M28" i="108"/>
  <c r="J28" i="108"/>
  <c r="BH27" i="108"/>
  <c r="BG27" i="108"/>
  <c r="BF27" i="108"/>
  <c r="BE27" i="108"/>
  <c r="BD27" i="108"/>
  <c r="BC27" i="108"/>
  <c r="BB27" i="108"/>
  <c r="BA27" i="108"/>
  <c r="AZ27" i="108"/>
  <c r="AK27" i="108"/>
  <c r="W27" i="108"/>
  <c r="U27" i="108"/>
  <c r="T27" i="108"/>
  <c r="S27" i="108"/>
  <c r="R27" i="108"/>
  <c r="Q27" i="108"/>
  <c r="P27" i="108"/>
  <c r="O27" i="108"/>
  <c r="N27" i="108"/>
  <c r="M27" i="108"/>
  <c r="J27" i="108"/>
  <c r="BH26" i="108"/>
  <c r="BG26" i="108"/>
  <c r="BF26" i="108"/>
  <c r="BE26" i="108"/>
  <c r="BD26" i="108"/>
  <c r="BC26" i="108"/>
  <c r="BB26" i="108"/>
  <c r="BA26" i="108"/>
  <c r="AZ26" i="108"/>
  <c r="AK26" i="108"/>
  <c r="W26" i="108"/>
  <c r="U26" i="108"/>
  <c r="T26" i="108"/>
  <c r="S26" i="108"/>
  <c r="R26" i="108"/>
  <c r="Q26" i="108"/>
  <c r="P26" i="108"/>
  <c r="O26" i="108"/>
  <c r="N26" i="108"/>
  <c r="M26" i="108"/>
  <c r="J26" i="108"/>
  <c r="BH25" i="108"/>
  <c r="BG25" i="108"/>
  <c r="BF25" i="108"/>
  <c r="BE25" i="108"/>
  <c r="BD25" i="108"/>
  <c r="BC25" i="108"/>
  <c r="BB25" i="108"/>
  <c r="BA25" i="108"/>
  <c r="AZ25" i="108"/>
  <c r="AK25" i="108"/>
  <c r="W25" i="108"/>
  <c r="U25" i="108"/>
  <c r="T25" i="108"/>
  <c r="S25" i="108"/>
  <c r="R25" i="108"/>
  <c r="Q25" i="108"/>
  <c r="P25" i="108"/>
  <c r="O25" i="108"/>
  <c r="N25" i="108"/>
  <c r="M25" i="108"/>
  <c r="J25" i="108"/>
  <c r="BH24" i="108"/>
  <c r="BG24" i="108"/>
  <c r="BF24" i="108"/>
  <c r="BE24" i="108"/>
  <c r="BD24" i="108"/>
  <c r="BC24" i="108"/>
  <c r="BB24" i="108"/>
  <c r="BA24" i="108"/>
  <c r="AZ24" i="108"/>
  <c r="AK24" i="108"/>
  <c r="W24" i="108"/>
  <c r="AY24" i="108" s="1"/>
  <c r="U24" i="108"/>
  <c r="T24" i="108"/>
  <c r="S24" i="108"/>
  <c r="R24" i="108"/>
  <c r="Q24" i="108"/>
  <c r="P24" i="108"/>
  <c r="O24" i="108"/>
  <c r="N24" i="108"/>
  <c r="M24" i="108"/>
  <c r="J24" i="108"/>
  <c r="BH23" i="108"/>
  <c r="BG23" i="108"/>
  <c r="BF23" i="108"/>
  <c r="BE23" i="108"/>
  <c r="BD23" i="108"/>
  <c r="BC23" i="108"/>
  <c r="BB23" i="108"/>
  <c r="BA23" i="108"/>
  <c r="AZ23" i="108"/>
  <c r="AK23" i="108"/>
  <c r="W23" i="108"/>
  <c r="U23" i="108"/>
  <c r="T23" i="108"/>
  <c r="S23" i="108"/>
  <c r="R23" i="108"/>
  <c r="Q23" i="108"/>
  <c r="P23" i="108"/>
  <c r="O23" i="108"/>
  <c r="N23" i="108"/>
  <c r="M23" i="108"/>
  <c r="J23" i="108"/>
  <c r="BH22" i="108"/>
  <c r="BG22" i="108"/>
  <c r="BF22" i="108"/>
  <c r="BE22" i="108"/>
  <c r="BD22" i="108"/>
  <c r="BC22" i="108"/>
  <c r="BB22" i="108"/>
  <c r="BA22" i="108"/>
  <c r="AZ22" i="108"/>
  <c r="AK22" i="108"/>
  <c r="W22" i="108"/>
  <c r="U22" i="108"/>
  <c r="T22" i="108"/>
  <c r="S22" i="108"/>
  <c r="R22" i="108"/>
  <c r="Q22" i="108"/>
  <c r="P22" i="108"/>
  <c r="O22" i="108"/>
  <c r="N22" i="108"/>
  <c r="M22" i="108"/>
  <c r="J22" i="108"/>
  <c r="BH21" i="108"/>
  <c r="BG21" i="108"/>
  <c r="BF21" i="108"/>
  <c r="BE21" i="108"/>
  <c r="BD21" i="108"/>
  <c r="BC21" i="108"/>
  <c r="BB21" i="108"/>
  <c r="BA21" i="108"/>
  <c r="AZ21" i="108"/>
  <c r="AK21" i="108"/>
  <c r="W21" i="108"/>
  <c r="U21" i="108"/>
  <c r="T21" i="108"/>
  <c r="S21" i="108"/>
  <c r="R21" i="108"/>
  <c r="Q21" i="108"/>
  <c r="P21" i="108"/>
  <c r="O21" i="108"/>
  <c r="N21" i="108"/>
  <c r="M21" i="108"/>
  <c r="J21" i="108"/>
  <c r="BH20" i="108"/>
  <c r="BG20" i="108"/>
  <c r="BF20" i="108"/>
  <c r="BE20" i="108"/>
  <c r="BD20" i="108"/>
  <c r="BC20" i="108"/>
  <c r="BB20" i="108"/>
  <c r="BA20" i="108"/>
  <c r="AZ20" i="108"/>
  <c r="AK20" i="108"/>
  <c r="W20" i="108"/>
  <c r="U20" i="108"/>
  <c r="T20" i="108"/>
  <c r="S20" i="108"/>
  <c r="R20" i="108"/>
  <c r="Q20" i="108"/>
  <c r="P20" i="108"/>
  <c r="O20" i="108"/>
  <c r="N20" i="108"/>
  <c r="M20" i="108"/>
  <c r="J20" i="108"/>
  <c r="BH19" i="108"/>
  <c r="BG19" i="108"/>
  <c r="BF19" i="108"/>
  <c r="BE19" i="108"/>
  <c r="BD19" i="108"/>
  <c r="BC19" i="108"/>
  <c r="BB19" i="108"/>
  <c r="BA19" i="108"/>
  <c r="AZ19" i="108"/>
  <c r="AK19" i="108"/>
  <c r="W19" i="108"/>
  <c r="U19" i="108"/>
  <c r="T19" i="108"/>
  <c r="S19" i="108"/>
  <c r="R19" i="108"/>
  <c r="Q19" i="108"/>
  <c r="P19" i="108"/>
  <c r="O19" i="108"/>
  <c r="N19" i="108"/>
  <c r="M19" i="108"/>
  <c r="J19" i="108"/>
  <c r="BH18" i="108"/>
  <c r="BG18" i="108"/>
  <c r="BF18" i="108"/>
  <c r="BE18" i="108"/>
  <c r="BD18" i="108"/>
  <c r="BC18" i="108"/>
  <c r="BB18" i="108"/>
  <c r="BA18" i="108"/>
  <c r="AZ18" i="108"/>
  <c r="AK18" i="108"/>
  <c r="W18" i="108"/>
  <c r="U18" i="108"/>
  <c r="T18" i="108"/>
  <c r="S18" i="108"/>
  <c r="R18" i="108"/>
  <c r="Q18" i="108"/>
  <c r="P18" i="108"/>
  <c r="O18" i="108"/>
  <c r="N18" i="108"/>
  <c r="M18" i="108"/>
  <c r="J18" i="108"/>
  <c r="BH17" i="108"/>
  <c r="BG17" i="108"/>
  <c r="BF17" i="108"/>
  <c r="BE17" i="108"/>
  <c r="BD17" i="108"/>
  <c r="BC17" i="108"/>
  <c r="BB17" i="108"/>
  <c r="BA17" i="108"/>
  <c r="AZ17" i="108"/>
  <c r="AK17" i="108"/>
  <c r="W17" i="108"/>
  <c r="U17" i="108"/>
  <c r="T17" i="108"/>
  <c r="S17" i="108"/>
  <c r="R17" i="108"/>
  <c r="Q17" i="108"/>
  <c r="P17" i="108"/>
  <c r="O17" i="108"/>
  <c r="N17" i="108"/>
  <c r="M17" i="108"/>
  <c r="J17" i="108"/>
  <c r="BH16" i="108"/>
  <c r="BG16" i="108"/>
  <c r="BF16" i="108"/>
  <c r="BE16" i="108"/>
  <c r="BD16" i="108"/>
  <c r="BC16" i="108"/>
  <c r="BB16" i="108"/>
  <c r="BA16" i="108"/>
  <c r="AZ16" i="108"/>
  <c r="AK16" i="108"/>
  <c r="W16" i="108"/>
  <c r="AY16" i="108" s="1"/>
  <c r="U16" i="108"/>
  <c r="T16" i="108"/>
  <c r="S16" i="108"/>
  <c r="R16" i="108"/>
  <c r="Q16" i="108"/>
  <c r="P16" i="108"/>
  <c r="O16" i="108"/>
  <c r="N16" i="108"/>
  <c r="M16" i="108"/>
  <c r="J16" i="108"/>
  <c r="BH15" i="108"/>
  <c r="BG15" i="108"/>
  <c r="BF15" i="108"/>
  <c r="BE15" i="108"/>
  <c r="BD15" i="108"/>
  <c r="BC15" i="108"/>
  <c r="BB15" i="108"/>
  <c r="BA15" i="108"/>
  <c r="AZ15" i="108"/>
  <c r="AK15" i="108"/>
  <c r="W15" i="108"/>
  <c r="U15" i="108"/>
  <c r="T15" i="108"/>
  <c r="S15" i="108"/>
  <c r="R15" i="108"/>
  <c r="Q15" i="108"/>
  <c r="P15" i="108"/>
  <c r="O15" i="108"/>
  <c r="N15" i="108"/>
  <c r="M15" i="108"/>
  <c r="J15" i="108"/>
  <c r="BH14" i="108"/>
  <c r="BG14" i="108"/>
  <c r="BF14" i="108"/>
  <c r="BE14" i="108"/>
  <c r="BD14" i="108"/>
  <c r="BC14" i="108"/>
  <c r="BB14" i="108"/>
  <c r="BA14" i="108"/>
  <c r="AZ14" i="108"/>
  <c r="AK14" i="108"/>
  <c r="W14" i="108"/>
  <c r="U14" i="108"/>
  <c r="T14" i="108"/>
  <c r="S14" i="108"/>
  <c r="R14" i="108"/>
  <c r="Q14" i="108"/>
  <c r="P14" i="108"/>
  <c r="O14" i="108"/>
  <c r="N14" i="108"/>
  <c r="M14" i="108"/>
  <c r="J14" i="108"/>
  <c r="BH13" i="108"/>
  <c r="BG13" i="108"/>
  <c r="BF13" i="108"/>
  <c r="BE13" i="108"/>
  <c r="BD13" i="108"/>
  <c r="BC13" i="108"/>
  <c r="BB13" i="108"/>
  <c r="BA13" i="108"/>
  <c r="AZ13" i="108"/>
  <c r="AK13" i="108"/>
  <c r="W13" i="108"/>
  <c r="U13" i="108"/>
  <c r="T13" i="108"/>
  <c r="S13" i="108"/>
  <c r="R13" i="108"/>
  <c r="Q13" i="108"/>
  <c r="P13" i="108"/>
  <c r="O13" i="108"/>
  <c r="N13" i="108"/>
  <c r="M13" i="108"/>
  <c r="J13" i="108"/>
  <c r="BH12" i="108"/>
  <c r="BG12" i="108"/>
  <c r="BF12" i="108"/>
  <c r="BE12" i="108"/>
  <c r="BD12" i="108"/>
  <c r="BC12" i="108"/>
  <c r="BB12" i="108"/>
  <c r="BA12" i="108"/>
  <c r="AZ12" i="108"/>
  <c r="AK12" i="108"/>
  <c r="W12" i="108"/>
  <c r="U12" i="108"/>
  <c r="T12" i="108"/>
  <c r="S12" i="108"/>
  <c r="R12" i="108"/>
  <c r="Q12" i="108"/>
  <c r="P12" i="108"/>
  <c r="O12" i="108"/>
  <c r="N12" i="108"/>
  <c r="M12" i="108"/>
  <c r="J12" i="108"/>
  <c r="AI6" i="108"/>
  <c r="AY5" i="108"/>
  <c r="AH5" i="108"/>
  <c r="AV12" i="108" l="1"/>
  <c r="L15" i="108"/>
  <c r="AX16" i="108"/>
  <c r="L19" i="108"/>
  <c r="AV20" i="108"/>
  <c r="AG35" i="108"/>
  <c r="BI35" i="108" s="1"/>
  <c r="L35" i="108"/>
  <c r="L12" i="108"/>
  <c r="L20" i="108"/>
  <c r="L32" i="108"/>
  <c r="AG33" i="108"/>
  <c r="AY25" i="108"/>
  <c r="AY29" i="108"/>
  <c r="AY36" i="108"/>
  <c r="AY14" i="108"/>
  <c r="AJ15" i="108"/>
  <c r="AU19" i="108"/>
  <c r="AY22" i="108"/>
  <c r="AJ23" i="108"/>
  <c r="AU13" i="108"/>
  <c r="AU17" i="108"/>
  <c r="AU21" i="108"/>
  <c r="L13" i="108"/>
  <c r="AI14" i="108"/>
  <c r="L17" i="108"/>
  <c r="L21" i="108"/>
  <c r="AI22" i="108"/>
  <c r="AU27" i="108"/>
  <c r="L33" i="108"/>
  <c r="AG34" i="108"/>
  <c r="L23" i="108"/>
  <c r="AX24" i="108"/>
  <c r="AY27" i="108"/>
  <c r="AU28" i="108"/>
  <c r="L34" i="108"/>
  <c r="AU25" i="108"/>
  <c r="AY31" i="108"/>
  <c r="AG32" i="108"/>
  <c r="AH30" i="110"/>
  <c r="BJ30" i="110" s="1"/>
  <c r="AV33" i="110"/>
  <c r="AU22" i="110"/>
  <c r="L18" i="110"/>
  <c r="L20" i="110"/>
  <c r="L34" i="110"/>
  <c r="AZ9" i="110"/>
  <c r="L15" i="110"/>
  <c r="AW13" i="108"/>
  <c r="AY17" i="108"/>
  <c r="AH19" i="108"/>
  <c r="AJ20" i="108"/>
  <c r="AW21" i="108"/>
  <c r="AG31" i="108"/>
  <c r="AU34" i="108"/>
  <c r="AI5" i="108"/>
  <c r="BA6" i="108"/>
  <c r="AJ12" i="108"/>
  <c r="AH14" i="108"/>
  <c r="AI16" i="108"/>
  <c r="AH22" i="108"/>
  <c r="AI24" i="108"/>
  <c r="AG30" i="108"/>
  <c r="BI34" i="108"/>
  <c r="AJ5" i="108"/>
  <c r="AX12" i="108"/>
  <c r="AZ7" i="108" a="1"/>
  <c r="AZ7" i="108" s="1"/>
  <c r="AV13" i="108"/>
  <c r="AI13" i="108"/>
  <c r="L14" i="108"/>
  <c r="AJ14" i="108"/>
  <c r="AX15" i="108"/>
  <c r="AY15" i="108"/>
  <c r="AH17" i="108"/>
  <c r="AX18" i="108"/>
  <c r="L18" i="108"/>
  <c r="AW19" i="108"/>
  <c r="AY19" i="108"/>
  <c r="AX20" i="108"/>
  <c r="AV21" i="108"/>
  <c r="AI21" i="108"/>
  <c r="L22" i="108"/>
  <c r="AJ22" i="108"/>
  <c r="AX23" i="108"/>
  <c r="AY23" i="108"/>
  <c r="L25" i="108"/>
  <c r="AH25" i="108"/>
  <c r="AX26" i="108"/>
  <c r="L26" i="108"/>
  <c r="L27" i="108"/>
  <c r="AG27" i="108"/>
  <c r="L28" i="108"/>
  <c r="AY28" i="108"/>
  <c r="L29" i="108"/>
  <c r="AG29" i="108"/>
  <c r="AU30" i="108"/>
  <c r="L30" i="108"/>
  <c r="AY30" i="108"/>
  <c r="AU31" i="108"/>
  <c r="AU33" i="108"/>
  <c r="BI33" i="108" s="1"/>
  <c r="AU35" i="108"/>
  <c r="AY35" i="108"/>
  <c r="AU36" i="108"/>
  <c r="AI18" i="110"/>
  <c r="BK18" i="110" s="1"/>
  <c r="L19" i="110"/>
  <c r="L24" i="110"/>
  <c r="L28" i="110"/>
  <c r="AI37" i="110"/>
  <c r="BK37" i="110" s="1"/>
  <c r="AU41" i="110"/>
  <c r="AU42" i="110"/>
  <c r="AV43" i="110"/>
  <c r="AM46" i="116"/>
  <c r="AL45" i="116"/>
  <c r="AL44" i="116"/>
  <c r="AM43" i="116"/>
  <c r="AL42" i="116"/>
  <c r="AL41" i="116"/>
  <c r="AL40" i="116"/>
  <c r="AL39" i="116"/>
  <c r="AM38" i="116"/>
  <c r="AM37" i="116"/>
  <c r="AL36" i="116"/>
  <c r="AM35" i="116"/>
  <c r="AM34" i="116"/>
  <c r="AL33" i="116"/>
  <c r="AL32" i="116"/>
  <c r="AM31" i="116"/>
  <c r="AL30" i="116"/>
  <c r="AL29" i="116"/>
  <c r="AL28" i="116"/>
  <c r="AM27" i="116"/>
  <c r="AM26" i="116"/>
  <c r="AL25" i="116"/>
  <c r="AL24" i="116"/>
  <c r="AL23" i="116"/>
  <c r="AM22" i="116"/>
  <c r="AM21" i="116"/>
  <c r="AL20" i="116"/>
  <c r="AM19" i="116"/>
  <c r="AM18" i="116"/>
  <c r="AM17" i="116"/>
  <c r="AM16" i="116"/>
  <c r="BA16" i="116" s="1"/>
  <c r="AM15" i="116"/>
  <c r="AM14" i="116"/>
  <c r="AL13" i="116"/>
  <c r="AL12" i="116"/>
  <c r="AL46" i="116"/>
  <c r="AM45" i="116"/>
  <c r="AM44" i="116"/>
  <c r="AL43" i="116"/>
  <c r="AM42" i="116"/>
  <c r="AM41" i="116"/>
  <c r="AM40" i="116"/>
  <c r="AM39" i="116"/>
  <c r="AL38" i="116"/>
  <c r="AL37" i="116"/>
  <c r="AM36" i="116"/>
  <c r="AL35" i="116"/>
  <c r="AL34" i="116"/>
  <c r="AM33" i="116"/>
  <c r="BA33" i="116" s="1"/>
  <c r="AM32" i="116"/>
  <c r="AL31" i="116"/>
  <c r="AM30" i="116"/>
  <c r="AM29" i="116"/>
  <c r="AM28" i="116"/>
  <c r="AL27" i="116"/>
  <c r="AL26" i="116"/>
  <c r="AM25" i="116"/>
  <c r="AM24" i="116"/>
  <c r="AM23" i="116"/>
  <c r="AL22" i="116"/>
  <c r="AL21" i="116"/>
  <c r="AM20" i="116"/>
  <c r="AL19" i="116"/>
  <c r="AL18" i="116"/>
  <c r="AL17" i="116"/>
  <c r="AL16" i="116"/>
  <c r="AL15" i="116"/>
  <c r="AL14" i="116"/>
  <c r="AM13" i="116"/>
  <c r="BA13" i="116" s="1"/>
  <c r="AM12" i="116"/>
  <c r="AJ21" i="110"/>
  <c r="BL21" i="110" s="1"/>
  <c r="L22" i="110"/>
  <c r="AU26" i="110"/>
  <c r="AV34" i="110"/>
  <c r="AJ37" i="110"/>
  <c r="BL37" i="110" s="1"/>
  <c r="AV47" i="110"/>
  <c r="AJ12" i="110"/>
  <c r="BL12" i="110" s="1"/>
  <c r="AJ13" i="110"/>
  <c r="BL13" i="110" s="1"/>
  <c r="AU14" i="110"/>
  <c r="L14" i="110"/>
  <c r="AX16" i="110"/>
  <c r="AW18" i="110"/>
  <c r="AI19" i="110"/>
  <c r="BK19" i="110" s="1"/>
  <c r="AY19" i="110"/>
  <c r="AX21" i="110"/>
  <c r="L25" i="110"/>
  <c r="AJ32" i="110"/>
  <c r="BL32" i="110" s="1"/>
  <c r="AJ36" i="110"/>
  <c r="BL36" i="110" s="1"/>
  <c r="AV37" i="110"/>
  <c r="L44" i="110"/>
  <c r="AV46" i="110"/>
  <c r="AU15" i="110"/>
  <c r="AW16" i="110"/>
  <c r="L16" i="110"/>
  <c r="AV22" i="110"/>
  <c r="AV30" i="110"/>
  <c r="AV35" i="110"/>
  <c r="AG40" i="110"/>
  <c r="AY44" i="110"/>
  <c r="AU46" i="110"/>
  <c r="AJ38" i="110"/>
  <c r="BL38" i="110" s="1"/>
  <c r="AU39" i="110"/>
  <c r="AV42" i="110"/>
  <c r="AH43" i="110"/>
  <c r="BJ43" i="110" s="1"/>
  <c r="L47" i="110"/>
  <c r="AJ15" i="110"/>
  <c r="BL15" i="110" s="1"/>
  <c r="AJ16" i="110"/>
  <c r="BL16" i="110" s="1"/>
  <c r="AH18" i="110"/>
  <c r="AU20" i="110"/>
  <c r="AU23" i="110"/>
  <c r="AW24" i="110"/>
  <c r="AZ5" i="110"/>
  <c r="AV13" i="110"/>
  <c r="AU17" i="110"/>
  <c r="AJ20" i="110"/>
  <c r="BL20" i="110" s="1"/>
  <c r="L23" i="110"/>
  <c r="AY24" i="110"/>
  <c r="AJ26" i="110"/>
  <c r="BL26" i="110" s="1"/>
  <c r="L33" i="110"/>
  <c r="AV38" i="110"/>
  <c r="AJ40" i="110"/>
  <c r="BL40" i="110" s="1"/>
  <c r="AG46" i="110"/>
  <c r="BI46" i="110" s="1"/>
  <c r="BA5" i="110"/>
  <c r="AH13" i="110"/>
  <c r="BJ13" i="110" s="1"/>
  <c r="L17" i="110"/>
  <c r="AU18" i="110"/>
  <c r="AJ23" i="110"/>
  <c r="BL23" i="110" s="1"/>
  <c r="AJ24" i="110"/>
  <c r="BL24" i="110" s="1"/>
  <c r="AU28" i="110"/>
  <c r="L30" i="110"/>
  <c r="AG31" i="110"/>
  <c r="AI33" i="110"/>
  <c r="BK33" i="110" s="1"/>
  <c r="AG36" i="110"/>
  <c r="AX13" i="110"/>
  <c r="AW19" i="110"/>
  <c r="AV21" i="110"/>
  <c r="AV27" i="110"/>
  <c r="AJ28" i="110"/>
  <c r="BL28" i="110" s="1"/>
  <c r="AJ30" i="110"/>
  <c r="BL30" i="110" s="1"/>
  <c r="AI31" i="110"/>
  <c r="BK31" i="110" s="1"/>
  <c r="AY28" i="110"/>
  <c r="AU12" i="110"/>
  <c r="AV14" i="110"/>
  <c r="AH21" i="110"/>
  <c r="BJ21" i="110" s="1"/>
  <c r="AU25" i="110"/>
  <c r="AU32" i="110"/>
  <c r="AJ33" i="110"/>
  <c r="BL33" i="110" s="1"/>
  <c r="AU35" i="110"/>
  <c r="B9" i="111"/>
  <c r="O12" i="111"/>
  <c r="O10" i="111" s="1"/>
  <c r="H9" i="111"/>
  <c r="G11" i="111"/>
  <c r="H11" i="111"/>
  <c r="H10" i="111"/>
  <c r="G10" i="111"/>
  <c r="H12" i="111"/>
  <c r="G12" i="111"/>
  <c r="F9" i="111"/>
  <c r="G9" i="111"/>
  <c r="L39" i="110"/>
  <c r="L38" i="110"/>
  <c r="AY47" i="110"/>
  <c r="AY20" i="110"/>
  <c r="AY21" i="110"/>
  <c r="BA6" i="110"/>
  <c r="AZ7" i="110" a="1"/>
  <c r="AZ7" i="110" s="1"/>
  <c r="AY13" i="110"/>
  <c r="AY12" i="110"/>
  <c r="AI13" i="110"/>
  <c r="BK13" i="110" s="1"/>
  <c r="AW14" i="110"/>
  <c r="AH16" i="110"/>
  <c r="BJ16" i="110" s="1"/>
  <c r="AV17" i="110"/>
  <c r="AJ18" i="110"/>
  <c r="BL18" i="110" s="1"/>
  <c r="AG19" i="110"/>
  <c r="AX19" i="110"/>
  <c r="AI21" i="110"/>
  <c r="BK21" i="110" s="1"/>
  <c r="AW22" i="110"/>
  <c r="AH24" i="110"/>
  <c r="BJ24" i="110" s="1"/>
  <c r="AV25" i="110"/>
  <c r="AH31" i="110"/>
  <c r="BJ31" i="110" s="1"/>
  <c r="AU36" i="110"/>
  <c r="BI36" i="110" s="1"/>
  <c r="AG42" i="110"/>
  <c r="BI42" i="110" s="1"/>
  <c r="AV44" i="110"/>
  <c r="AU44" i="110"/>
  <c r="AG44" i="110"/>
  <c r="AV12" i="110"/>
  <c r="AG14" i="110"/>
  <c r="AX14" i="110"/>
  <c r="AI16" i="110"/>
  <c r="BK16" i="110" s="1"/>
  <c r="AW17" i="110"/>
  <c r="AH19" i="110"/>
  <c r="BJ19" i="110" s="1"/>
  <c r="AV20" i="110"/>
  <c r="AG22" i="110"/>
  <c r="BI22" i="110" s="1"/>
  <c r="AX22" i="110"/>
  <c r="AI24" i="110"/>
  <c r="BK24" i="110" s="1"/>
  <c r="AY25" i="110"/>
  <c r="AV26" i="110"/>
  <c r="AG28" i="110"/>
  <c r="BI28" i="110" s="1"/>
  <c r="AG35" i="110"/>
  <c r="BI35" i="110" s="1"/>
  <c r="AU38" i="110"/>
  <c r="AV39" i="110"/>
  <c r="AG45" i="110"/>
  <c r="AV45" i="110"/>
  <c r="AH45" i="110"/>
  <c r="AG47" i="110"/>
  <c r="AW12" i="110"/>
  <c r="AH14" i="110"/>
  <c r="BJ14" i="110" s="1"/>
  <c r="AY14" i="110"/>
  <c r="AV15" i="110"/>
  <c r="AG17" i="110"/>
  <c r="AX17" i="110"/>
  <c r="AW20" i="110"/>
  <c r="AH22" i="110"/>
  <c r="BJ22" i="110" s="1"/>
  <c r="AY22" i="110"/>
  <c r="AV23" i="110"/>
  <c r="AG25" i="110"/>
  <c r="AI27" i="110"/>
  <c r="BK27" i="110" s="1"/>
  <c r="AJ27" i="110"/>
  <c r="BL27" i="110" s="1"/>
  <c r="AG29" i="110"/>
  <c r="AU29" i="110"/>
  <c r="AH29" i="110"/>
  <c r="BJ29" i="110" s="1"/>
  <c r="AI30" i="110"/>
  <c r="BK30" i="110" s="1"/>
  <c r="L32" i="110"/>
  <c r="AJ34" i="110"/>
  <c r="BL34" i="110" s="1"/>
  <c r="AG34" i="110"/>
  <c r="AH35" i="110"/>
  <c r="BJ35" i="110" s="1"/>
  <c r="AJ39" i="110"/>
  <c r="BL39" i="110" s="1"/>
  <c r="AH44" i="110"/>
  <c r="BJ44" i="110" s="1"/>
  <c r="AY45" i="110"/>
  <c r="L45" i="110"/>
  <c r="AH46" i="110"/>
  <c r="BJ46" i="110" s="1"/>
  <c r="AH47" i="110"/>
  <c r="BJ47" i="110" s="1"/>
  <c r="BA7" i="110" a="1"/>
  <c r="BA7" i="110" s="1"/>
  <c r="AG12" i="110"/>
  <c r="AX12" i="110"/>
  <c r="L13" i="110"/>
  <c r="AU13" i="110"/>
  <c r="AI14" i="110"/>
  <c r="BK14" i="110" s="1"/>
  <c r="AW15" i="110"/>
  <c r="AH17" i="110"/>
  <c r="AY17" i="110"/>
  <c r="AV18" i="110"/>
  <c r="AJ19" i="110"/>
  <c r="BL19" i="110" s="1"/>
  <c r="AG20" i="110"/>
  <c r="AX20" i="110"/>
  <c r="L21" i="110"/>
  <c r="AU21" i="110"/>
  <c r="AI22" i="110"/>
  <c r="BK22" i="110" s="1"/>
  <c r="AW23" i="110"/>
  <c r="AH25" i="110"/>
  <c r="BJ25" i="110" s="1"/>
  <c r="AG26" i="110"/>
  <c r="L29" i="110"/>
  <c r="AU31" i="110"/>
  <c r="BI31" i="110" s="1"/>
  <c r="AG32" i="110"/>
  <c r="AH36" i="110"/>
  <c r="BJ36" i="110" s="1"/>
  <c r="AG38" i="110"/>
  <c r="BI38" i="110" s="1"/>
  <c r="AI39" i="110"/>
  <c r="BK39" i="110" s="1"/>
  <c r="AG39" i="110"/>
  <c r="AU40" i="110"/>
  <c r="AY46" i="110"/>
  <c r="L46" i="110"/>
  <c r="AH12" i="110"/>
  <c r="BJ12" i="110" s="1"/>
  <c r="AJ14" i="110"/>
  <c r="BL14" i="110" s="1"/>
  <c r="AG15" i="110"/>
  <c r="AX15" i="110"/>
  <c r="AU16" i="110"/>
  <c r="AI17" i="110"/>
  <c r="BK17" i="110" s="1"/>
  <c r="AH20" i="110"/>
  <c r="BJ20" i="110" s="1"/>
  <c r="AJ22" i="110"/>
  <c r="BL22" i="110" s="1"/>
  <c r="AG23" i="110"/>
  <c r="AX23" i="110"/>
  <c r="AU24" i="110"/>
  <c r="AI25" i="110"/>
  <c r="BK25" i="110" s="1"/>
  <c r="AH26" i="110"/>
  <c r="AG27" i="110"/>
  <c r="AI29" i="110"/>
  <c r="BK29" i="110" s="1"/>
  <c r="AH32" i="110"/>
  <c r="BJ32" i="110" s="1"/>
  <c r="AY33" i="110"/>
  <c r="AH34" i="110"/>
  <c r="BJ34" i="110" s="1"/>
  <c r="AH39" i="110"/>
  <c r="BJ39" i="110" s="1"/>
  <c r="AH40" i="110"/>
  <c r="BJ40" i="110" s="1"/>
  <c r="L40" i="110"/>
  <c r="AU45" i="110"/>
  <c r="AZ6" i="110"/>
  <c r="AI12" i="110"/>
  <c r="BK12" i="110" s="1"/>
  <c r="AW13" i="110"/>
  <c r="AH15" i="110"/>
  <c r="AV16" i="110"/>
  <c r="AJ17" i="110"/>
  <c r="BL17" i="110" s="1"/>
  <c r="AG18" i="110"/>
  <c r="AX18" i="110"/>
  <c r="AU19" i="110"/>
  <c r="AI20" i="110"/>
  <c r="BK20" i="110" s="1"/>
  <c r="AW21" i="110"/>
  <c r="AH23" i="110"/>
  <c r="BJ23" i="110" s="1"/>
  <c r="AV24" i="110"/>
  <c r="AJ25" i="110"/>
  <c r="BL25" i="110" s="1"/>
  <c r="AI26" i="110"/>
  <c r="BK26" i="110" s="1"/>
  <c r="AH27" i="110"/>
  <c r="BJ27" i="110" s="1"/>
  <c r="AJ29" i="110"/>
  <c r="BL29" i="110" s="1"/>
  <c r="AU30" i="110"/>
  <c r="AV31" i="110"/>
  <c r="AH33" i="110"/>
  <c r="BJ33" i="110" s="1"/>
  <c r="AU33" i="110"/>
  <c r="AI34" i="110"/>
  <c r="BK34" i="110" s="1"/>
  <c r="AH38" i="110"/>
  <c r="BJ38" i="110" s="1"/>
  <c r="AV41" i="110"/>
  <c r="AH41" i="110"/>
  <c r="BJ41" i="110" s="1"/>
  <c r="AG41" i="110"/>
  <c r="AU43" i="110"/>
  <c r="AG43" i="110"/>
  <c r="AG13" i="110"/>
  <c r="AI15" i="110"/>
  <c r="BK15" i="110" s="1"/>
  <c r="AV19" i="110"/>
  <c r="AG21" i="110"/>
  <c r="AI23" i="110"/>
  <c r="BK23" i="110" s="1"/>
  <c r="AY31" i="110"/>
  <c r="AG37" i="110"/>
  <c r="AU37" i="110"/>
  <c r="AH37" i="110"/>
  <c r="BJ37" i="110" s="1"/>
  <c r="AI38" i="110"/>
  <c r="BK38" i="110" s="1"/>
  <c r="AY41" i="110"/>
  <c r="L41" i="110"/>
  <c r="AG16" i="110"/>
  <c r="AG24" i="110"/>
  <c r="AU27" i="110"/>
  <c r="AH28" i="110"/>
  <c r="BJ28" i="110" s="1"/>
  <c r="AV28" i="110"/>
  <c r="AI28" i="110"/>
  <c r="BK28" i="110" s="1"/>
  <c r="AV29" i="110"/>
  <c r="AG30" i="110"/>
  <c r="AY32" i="110"/>
  <c r="AG33" i="110"/>
  <c r="AU34" i="110"/>
  <c r="AI35" i="110"/>
  <c r="BK35" i="110" s="1"/>
  <c r="AJ35" i="110"/>
  <c r="BL35" i="110" s="1"/>
  <c r="L37" i="110"/>
  <c r="AH42" i="110"/>
  <c r="BJ42" i="110" s="1"/>
  <c r="AY42" i="110"/>
  <c r="L42" i="110"/>
  <c r="AU47" i="110"/>
  <c r="AV32" i="110"/>
  <c r="AI36" i="110"/>
  <c r="BK36" i="110" s="1"/>
  <c r="AV40" i="110"/>
  <c r="AJ31" i="110"/>
  <c r="BL31" i="110" s="1"/>
  <c r="AI32" i="110"/>
  <c r="BK32" i="110" s="1"/>
  <c r="AV36" i="110"/>
  <c r="AI40" i="110"/>
  <c r="BK40" i="110" s="1"/>
  <c r="BI30" i="108"/>
  <c r="BI27" i="108"/>
  <c r="BA7" i="108" a="1"/>
  <c r="BA7" i="108" s="1"/>
  <c r="AW12" i="108"/>
  <c r="AU14" i="108"/>
  <c r="AJ16" i="108"/>
  <c r="AI17" i="108"/>
  <c r="AH18" i="108"/>
  <c r="AY18" i="108"/>
  <c r="AG19" i="108"/>
  <c r="BI19" i="108" s="1"/>
  <c r="AX19" i="108"/>
  <c r="AW20" i="108"/>
  <c r="AU22" i="108"/>
  <c r="AJ24" i="108"/>
  <c r="AI25" i="108"/>
  <c r="AH26" i="108"/>
  <c r="AY26" i="108"/>
  <c r="AU29" i="108"/>
  <c r="BI29" i="108" s="1"/>
  <c r="AY34" i="108"/>
  <c r="AZ5" i="108"/>
  <c r="BA5" i="108"/>
  <c r="AG12" i="108"/>
  <c r="AU15" i="108"/>
  <c r="AJ17" i="108"/>
  <c r="AI18" i="108"/>
  <c r="AV22" i="108"/>
  <c r="L24" i="108"/>
  <c r="AV14" i="108"/>
  <c r="L16" i="108"/>
  <c r="AG20" i="108"/>
  <c r="AU23" i="108"/>
  <c r="AJ25" i="108"/>
  <c r="AI26" i="108"/>
  <c r="AU32" i="108"/>
  <c r="AZ6" i="108"/>
  <c r="AH12" i="108"/>
  <c r="AY12" i="108"/>
  <c r="AG13" i="108"/>
  <c r="BI13" i="108" s="1"/>
  <c r="AX13" i="108"/>
  <c r="AW14" i="108"/>
  <c r="AV15" i="108"/>
  <c r="AU16" i="108"/>
  <c r="AJ18" i="108"/>
  <c r="AI19" i="108"/>
  <c r="AH20" i="108"/>
  <c r="AY20" i="108"/>
  <c r="AG21" i="108"/>
  <c r="AX21" i="108"/>
  <c r="AW22" i="108"/>
  <c r="AV23" i="108"/>
  <c r="AU24" i="108"/>
  <c r="AJ26" i="108"/>
  <c r="AY32" i="108"/>
  <c r="AI12" i="108"/>
  <c r="AH13" i="108"/>
  <c r="AY13" i="108"/>
  <c r="AG14" i="108"/>
  <c r="AX14" i="108"/>
  <c r="AW15" i="108"/>
  <c r="AV16" i="108"/>
  <c r="AJ19" i="108"/>
  <c r="AI20" i="108"/>
  <c r="AH21" i="108"/>
  <c r="AY21" i="108"/>
  <c r="AG22" i="108"/>
  <c r="AX22" i="108"/>
  <c r="AW23" i="108"/>
  <c r="AV24" i="108"/>
  <c r="AG28" i="108"/>
  <c r="AG36" i="108"/>
  <c r="BI36" i="108" s="1"/>
  <c r="AG15" i="108"/>
  <c r="BI15" i="108" s="1"/>
  <c r="AW16" i="108"/>
  <c r="AV17" i="108"/>
  <c r="AU18" i="108"/>
  <c r="AG23" i="108"/>
  <c r="BI23" i="108" s="1"/>
  <c r="AW24" i="108"/>
  <c r="AV25" i="108"/>
  <c r="AU26" i="108"/>
  <c r="AJ13" i="108"/>
  <c r="AH15" i="108"/>
  <c r="AG16" i="108"/>
  <c r="AW17" i="108"/>
  <c r="AV18" i="108"/>
  <c r="AJ21" i="108"/>
  <c r="AH23" i="108"/>
  <c r="AG24" i="108"/>
  <c r="AW25" i="108"/>
  <c r="AV26" i="108"/>
  <c r="AY33" i="108"/>
  <c r="AU12" i="108"/>
  <c r="AI15" i="108"/>
  <c r="AH16" i="108"/>
  <c r="AG17" i="108"/>
  <c r="BI17" i="108" s="1"/>
  <c r="AX17" i="108"/>
  <c r="AW18" i="108"/>
  <c r="AV19" i="108"/>
  <c r="AU20" i="108"/>
  <c r="AI23" i="108"/>
  <c r="AH24" i="108"/>
  <c r="AG25" i="108"/>
  <c r="BI25" i="108" s="1"/>
  <c r="AX25" i="108"/>
  <c r="AW26" i="108"/>
  <c r="AG18" i="108"/>
  <c r="BI18" i="108" s="1"/>
  <c r="AG26" i="108"/>
  <c r="BI26" i="108" s="1"/>
  <c r="AZ13" i="104"/>
  <c r="BA13" i="104"/>
  <c r="BB13" i="104"/>
  <c r="BC13" i="104"/>
  <c r="BD13" i="104"/>
  <c r="BE13" i="104"/>
  <c r="BF13" i="104"/>
  <c r="BG13" i="104"/>
  <c r="BH13" i="104"/>
  <c r="AZ14" i="104"/>
  <c r="BA14" i="104"/>
  <c r="BB14" i="104"/>
  <c r="BC14" i="104"/>
  <c r="BD14" i="104"/>
  <c r="BE14" i="104"/>
  <c r="BF14" i="104"/>
  <c r="BG14" i="104"/>
  <c r="BH14" i="104"/>
  <c r="AZ15" i="104"/>
  <c r="BA15" i="104"/>
  <c r="BB15" i="104"/>
  <c r="BC15" i="104"/>
  <c r="BD15" i="104"/>
  <c r="BE15" i="104"/>
  <c r="BF15" i="104"/>
  <c r="BG15" i="104"/>
  <c r="BH15" i="104"/>
  <c r="AZ16" i="104"/>
  <c r="BA16" i="104"/>
  <c r="BB16" i="104"/>
  <c r="BC16" i="104"/>
  <c r="BD16" i="104"/>
  <c r="BE16" i="104"/>
  <c r="BF16" i="104"/>
  <c r="BG16" i="104"/>
  <c r="BH16" i="104"/>
  <c r="AZ17" i="104"/>
  <c r="BA17" i="104"/>
  <c r="BB17" i="104"/>
  <c r="BC17" i="104"/>
  <c r="BD17" i="104"/>
  <c r="BE17" i="104"/>
  <c r="BF17" i="104"/>
  <c r="BG17" i="104"/>
  <c r="BH17" i="104"/>
  <c r="AZ18" i="104"/>
  <c r="BA18" i="104"/>
  <c r="BB18" i="104"/>
  <c r="BC18" i="104"/>
  <c r="BD18" i="104"/>
  <c r="BE18" i="104"/>
  <c r="BF18" i="104"/>
  <c r="BG18" i="104"/>
  <c r="BH18" i="104"/>
  <c r="AZ19" i="104"/>
  <c r="BA19" i="104"/>
  <c r="BB19" i="104"/>
  <c r="BC19" i="104"/>
  <c r="BD19" i="104"/>
  <c r="BE19" i="104"/>
  <c r="BF19" i="104"/>
  <c r="BG19" i="104"/>
  <c r="BH19" i="104"/>
  <c r="AZ20" i="104"/>
  <c r="BA20" i="104"/>
  <c r="BB20" i="104"/>
  <c r="BC20" i="104"/>
  <c r="BD20" i="104"/>
  <c r="BE20" i="104"/>
  <c r="BF20" i="104"/>
  <c r="BG20" i="104"/>
  <c r="BH20" i="104"/>
  <c r="AZ21" i="104"/>
  <c r="BA21" i="104"/>
  <c r="BB21" i="104"/>
  <c r="BC21" i="104"/>
  <c r="BD21" i="104"/>
  <c r="BE21" i="104"/>
  <c r="BF21" i="104"/>
  <c r="BG21" i="104"/>
  <c r="BH21" i="104"/>
  <c r="AZ22" i="104"/>
  <c r="BA22" i="104"/>
  <c r="BB22" i="104"/>
  <c r="BC22" i="104"/>
  <c r="BD22" i="104"/>
  <c r="BE22" i="104"/>
  <c r="BF22" i="104"/>
  <c r="BG22" i="104"/>
  <c r="BH22" i="104"/>
  <c r="AZ23" i="104"/>
  <c r="BA23" i="104"/>
  <c r="BB23" i="104"/>
  <c r="BC23" i="104"/>
  <c r="BD23" i="104"/>
  <c r="BE23" i="104"/>
  <c r="BF23" i="104"/>
  <c r="BG23" i="104"/>
  <c r="BH23" i="104"/>
  <c r="AZ24" i="104"/>
  <c r="BA24" i="104"/>
  <c r="BB24" i="104"/>
  <c r="BC24" i="104"/>
  <c r="BD24" i="104"/>
  <c r="BE24" i="104"/>
  <c r="BF24" i="104"/>
  <c r="BG24" i="104"/>
  <c r="BH24" i="104"/>
  <c r="AZ25" i="104"/>
  <c r="BA25" i="104"/>
  <c r="BB25" i="104"/>
  <c r="BC25" i="104"/>
  <c r="BD25" i="104"/>
  <c r="BE25" i="104"/>
  <c r="BF25" i="104"/>
  <c r="BG25" i="104"/>
  <c r="BH25" i="104"/>
  <c r="AZ26" i="104"/>
  <c r="BA26" i="104"/>
  <c r="BB26" i="104"/>
  <c r="BC26" i="104"/>
  <c r="BD26" i="104"/>
  <c r="BE26" i="104"/>
  <c r="BF26" i="104"/>
  <c r="BG26" i="104"/>
  <c r="BH26" i="104"/>
  <c r="AZ27" i="104"/>
  <c r="BA27" i="104"/>
  <c r="BB27" i="104"/>
  <c r="BC27" i="104"/>
  <c r="BD27" i="104"/>
  <c r="BE27" i="104"/>
  <c r="BF27" i="104"/>
  <c r="BG27" i="104"/>
  <c r="BH27" i="104"/>
  <c r="AZ28" i="104"/>
  <c r="BA28" i="104"/>
  <c r="BB28" i="104"/>
  <c r="BC28" i="104"/>
  <c r="BD28" i="104"/>
  <c r="BE28" i="104"/>
  <c r="BF28" i="104"/>
  <c r="BG28" i="104"/>
  <c r="BH28" i="104"/>
  <c r="AZ29" i="104"/>
  <c r="BA29" i="104"/>
  <c r="BB29" i="104"/>
  <c r="BC29" i="104"/>
  <c r="BD29" i="104"/>
  <c r="BE29" i="104"/>
  <c r="BF29" i="104"/>
  <c r="BG29" i="104"/>
  <c r="BH29" i="104"/>
  <c r="AZ30" i="104"/>
  <c r="BA30" i="104"/>
  <c r="BB30" i="104"/>
  <c r="BC30" i="104"/>
  <c r="BD30" i="104"/>
  <c r="BE30" i="104"/>
  <c r="BF30" i="104"/>
  <c r="BG30" i="104"/>
  <c r="BH30" i="104"/>
  <c r="AZ31" i="104"/>
  <c r="BA31" i="104"/>
  <c r="BB31" i="104"/>
  <c r="BC31" i="104"/>
  <c r="BD31" i="104"/>
  <c r="BE31" i="104"/>
  <c r="BF31" i="104"/>
  <c r="BG31" i="104"/>
  <c r="BH31" i="104"/>
  <c r="AZ32" i="104"/>
  <c r="BA32" i="104"/>
  <c r="BB32" i="104"/>
  <c r="BC32" i="104"/>
  <c r="BD32" i="104"/>
  <c r="BE32" i="104"/>
  <c r="BF32" i="104"/>
  <c r="BG32" i="104"/>
  <c r="BH32" i="104"/>
  <c r="AZ33" i="104"/>
  <c r="BA33" i="104"/>
  <c r="BB33" i="104"/>
  <c r="BC33" i="104"/>
  <c r="BD33" i="104"/>
  <c r="BE33" i="104"/>
  <c r="BF33" i="104"/>
  <c r="BG33" i="104"/>
  <c r="BH33" i="104"/>
  <c r="AZ34" i="104"/>
  <c r="BA34" i="104"/>
  <c r="BB34" i="104"/>
  <c r="BC34" i="104"/>
  <c r="BD34" i="104"/>
  <c r="BE34" i="104"/>
  <c r="BF34" i="104"/>
  <c r="BG34" i="104"/>
  <c r="BH34" i="104"/>
  <c r="AZ35" i="104"/>
  <c r="BA35" i="104"/>
  <c r="BB35" i="104"/>
  <c r="BC35" i="104"/>
  <c r="BD35" i="104"/>
  <c r="BE35" i="104"/>
  <c r="BF35" i="104"/>
  <c r="BG35" i="104"/>
  <c r="BH35" i="104"/>
  <c r="AZ36" i="104"/>
  <c r="BA36" i="104"/>
  <c r="BB36" i="104"/>
  <c r="BC36" i="104"/>
  <c r="BD36" i="104"/>
  <c r="BE36" i="104"/>
  <c r="BF36" i="104"/>
  <c r="BG36" i="104"/>
  <c r="BH36" i="104"/>
  <c r="AZ12" i="104"/>
  <c r="BA12" i="104"/>
  <c r="BB12" i="104"/>
  <c r="BC12" i="104"/>
  <c r="BD12" i="104"/>
  <c r="BE12" i="104"/>
  <c r="BF12" i="104"/>
  <c r="BG12" i="104"/>
  <c r="BH12" i="104"/>
  <c r="AI6" i="104"/>
  <c r="W27" i="104"/>
  <c r="W28" i="104"/>
  <c r="W29" i="104"/>
  <c r="W30" i="104"/>
  <c r="W31" i="104"/>
  <c r="W32" i="104"/>
  <c r="W33" i="104"/>
  <c r="W34" i="104"/>
  <c r="W35" i="104"/>
  <c r="W36" i="104"/>
  <c r="M27" i="104"/>
  <c r="N27" i="104"/>
  <c r="O27" i="104"/>
  <c r="P27" i="104"/>
  <c r="Q27" i="104"/>
  <c r="R27" i="104"/>
  <c r="S27" i="104"/>
  <c r="T27" i="104"/>
  <c r="U27" i="104"/>
  <c r="M28" i="104"/>
  <c r="N28" i="104"/>
  <c r="O28" i="104"/>
  <c r="P28" i="104"/>
  <c r="Q28" i="104"/>
  <c r="R28" i="104"/>
  <c r="S28" i="104"/>
  <c r="T28" i="104"/>
  <c r="U28" i="104"/>
  <c r="M29" i="104"/>
  <c r="N29" i="104"/>
  <c r="O29" i="104"/>
  <c r="P29" i="104"/>
  <c r="Q29" i="104"/>
  <c r="R29" i="104"/>
  <c r="S29" i="104"/>
  <c r="T29" i="104"/>
  <c r="U29" i="104"/>
  <c r="M30" i="104"/>
  <c r="N30" i="104"/>
  <c r="O30" i="104"/>
  <c r="P30" i="104"/>
  <c r="Q30" i="104"/>
  <c r="R30" i="104"/>
  <c r="S30" i="104"/>
  <c r="T30" i="104"/>
  <c r="U30" i="104"/>
  <c r="M31" i="104"/>
  <c r="N31" i="104"/>
  <c r="O31" i="104"/>
  <c r="P31" i="104"/>
  <c r="Q31" i="104"/>
  <c r="R31" i="104"/>
  <c r="S31" i="104"/>
  <c r="T31" i="104"/>
  <c r="U31" i="104"/>
  <c r="M32" i="104"/>
  <c r="N32" i="104"/>
  <c r="O32" i="104"/>
  <c r="P32" i="104"/>
  <c r="Q32" i="104"/>
  <c r="R32" i="104"/>
  <c r="S32" i="104"/>
  <c r="T32" i="104"/>
  <c r="U32" i="104"/>
  <c r="M33" i="104"/>
  <c r="N33" i="104"/>
  <c r="O33" i="104"/>
  <c r="P33" i="104"/>
  <c r="Q33" i="104"/>
  <c r="R33" i="104"/>
  <c r="S33" i="104"/>
  <c r="T33" i="104"/>
  <c r="U33" i="104"/>
  <c r="M34" i="104"/>
  <c r="N34" i="104"/>
  <c r="O34" i="104"/>
  <c r="P34" i="104"/>
  <c r="Q34" i="104"/>
  <c r="R34" i="104"/>
  <c r="S34" i="104"/>
  <c r="T34" i="104"/>
  <c r="U34" i="104"/>
  <c r="M35" i="104"/>
  <c r="N35" i="104"/>
  <c r="O35" i="104"/>
  <c r="P35" i="104"/>
  <c r="Q35" i="104"/>
  <c r="R35" i="104"/>
  <c r="S35" i="104"/>
  <c r="T35" i="104"/>
  <c r="U35" i="104"/>
  <c r="M36" i="104"/>
  <c r="N36" i="104"/>
  <c r="O36" i="104"/>
  <c r="P36" i="104"/>
  <c r="Q36" i="104"/>
  <c r="R36" i="104"/>
  <c r="S36" i="104"/>
  <c r="T36" i="104"/>
  <c r="U36" i="104"/>
  <c r="J27" i="104"/>
  <c r="L27" i="104" s="1"/>
  <c r="J28" i="104"/>
  <c r="L28" i="104" s="1"/>
  <c r="J29" i="104"/>
  <c r="J30" i="104"/>
  <c r="J31" i="104"/>
  <c r="L31" i="104" s="1"/>
  <c r="J32" i="104"/>
  <c r="L32" i="104" s="1"/>
  <c r="J33" i="104"/>
  <c r="J34" i="104"/>
  <c r="J35" i="104"/>
  <c r="L35" i="104" s="1"/>
  <c r="J36" i="104"/>
  <c r="L36" i="104" s="1"/>
  <c r="AK13" i="104"/>
  <c r="AK14" i="104"/>
  <c r="AK15" i="104"/>
  <c r="AK16" i="104"/>
  <c r="AK17" i="104"/>
  <c r="AK18" i="104"/>
  <c r="AK19" i="104"/>
  <c r="AK20" i="104"/>
  <c r="AK21" i="104"/>
  <c r="AK22" i="104"/>
  <c r="AK23" i="104"/>
  <c r="AK24" i="104"/>
  <c r="AK25" i="104"/>
  <c r="AK26" i="104"/>
  <c r="AK27" i="104"/>
  <c r="AK28" i="104"/>
  <c r="AY28" i="104" s="1"/>
  <c r="AK29" i="104"/>
  <c r="AK30" i="104"/>
  <c r="AK31" i="104"/>
  <c r="AK32" i="104"/>
  <c r="AY32" i="104" s="1"/>
  <c r="AK33" i="104"/>
  <c r="AK34" i="104"/>
  <c r="AK35" i="104"/>
  <c r="AK36" i="104"/>
  <c r="AY36" i="104" s="1"/>
  <c r="AK12" i="104"/>
  <c r="D11" i="105"/>
  <c r="D12" i="105"/>
  <c r="AK24" i="2"/>
  <c r="AZ25" i="2"/>
  <c r="BA25" i="2"/>
  <c r="BB25" i="2"/>
  <c r="BC25" i="2"/>
  <c r="BD25" i="2"/>
  <c r="BE25" i="2"/>
  <c r="BF25" i="2"/>
  <c r="BG25" i="2"/>
  <c r="BH25" i="2"/>
  <c r="AZ26" i="2"/>
  <c r="BA26" i="2"/>
  <c r="BB26" i="2"/>
  <c r="BC26" i="2"/>
  <c r="BD26" i="2"/>
  <c r="BE26" i="2"/>
  <c r="BF26" i="2"/>
  <c r="BG26" i="2"/>
  <c r="BH26" i="2"/>
  <c r="AZ27" i="2"/>
  <c r="BA27" i="2"/>
  <c r="BB27" i="2"/>
  <c r="BC27" i="2"/>
  <c r="BD27" i="2"/>
  <c r="BE27" i="2"/>
  <c r="BF27" i="2"/>
  <c r="BG27" i="2"/>
  <c r="BH27" i="2"/>
  <c r="AZ28" i="2"/>
  <c r="BA28" i="2"/>
  <c r="BB28" i="2"/>
  <c r="BC28" i="2"/>
  <c r="BD28" i="2"/>
  <c r="BE28" i="2"/>
  <c r="BF28" i="2"/>
  <c r="BG28" i="2"/>
  <c r="BH28" i="2"/>
  <c r="AZ29" i="2"/>
  <c r="BA29" i="2"/>
  <c r="BB29" i="2"/>
  <c r="BC29" i="2"/>
  <c r="BD29" i="2"/>
  <c r="BE29" i="2"/>
  <c r="BF29" i="2"/>
  <c r="BG29" i="2"/>
  <c r="BH29" i="2"/>
  <c r="AZ30" i="2"/>
  <c r="BA30" i="2"/>
  <c r="BB30" i="2"/>
  <c r="BC30" i="2"/>
  <c r="BD30" i="2"/>
  <c r="BE30" i="2"/>
  <c r="BF30" i="2"/>
  <c r="BG30" i="2"/>
  <c r="BH30" i="2"/>
  <c r="AZ31" i="2"/>
  <c r="BA31" i="2"/>
  <c r="BB31" i="2"/>
  <c r="BC31" i="2"/>
  <c r="BD31" i="2"/>
  <c r="BE31" i="2"/>
  <c r="BF31" i="2"/>
  <c r="BG31" i="2"/>
  <c r="BH31" i="2"/>
  <c r="AZ32" i="2"/>
  <c r="BA32" i="2"/>
  <c r="BB32" i="2"/>
  <c r="BC32" i="2"/>
  <c r="BD32" i="2"/>
  <c r="BE32" i="2"/>
  <c r="BF32" i="2"/>
  <c r="BG32" i="2"/>
  <c r="BH32" i="2"/>
  <c r="AZ33" i="2"/>
  <c r="BA33" i="2"/>
  <c r="BB33" i="2"/>
  <c r="BC33" i="2"/>
  <c r="BD33" i="2"/>
  <c r="BE33" i="2"/>
  <c r="BF33" i="2"/>
  <c r="BG33" i="2"/>
  <c r="BH33" i="2"/>
  <c r="AZ34" i="2"/>
  <c r="BA34" i="2"/>
  <c r="BB34" i="2"/>
  <c r="BC34" i="2"/>
  <c r="BD34" i="2"/>
  <c r="BE34" i="2"/>
  <c r="BF34" i="2"/>
  <c r="BG34" i="2"/>
  <c r="BH34" i="2"/>
  <c r="AZ35" i="2"/>
  <c r="BA35" i="2"/>
  <c r="BB35" i="2"/>
  <c r="BC35" i="2"/>
  <c r="BD35" i="2"/>
  <c r="BE35" i="2"/>
  <c r="BF35" i="2"/>
  <c r="BG35" i="2"/>
  <c r="BH35" i="2"/>
  <c r="AZ36" i="2"/>
  <c r="BA36" i="2"/>
  <c r="BB36" i="2"/>
  <c r="BC36" i="2"/>
  <c r="BD36" i="2"/>
  <c r="BE36" i="2"/>
  <c r="BF36" i="2"/>
  <c r="BG36" i="2"/>
  <c r="BH36" i="2"/>
  <c r="AZ37" i="2"/>
  <c r="BA37" i="2"/>
  <c r="BB37" i="2"/>
  <c r="BC37" i="2"/>
  <c r="BD37" i="2"/>
  <c r="BE37" i="2"/>
  <c r="BF37" i="2"/>
  <c r="BG37" i="2"/>
  <c r="BH37" i="2"/>
  <c r="AZ38" i="2"/>
  <c r="BA38" i="2"/>
  <c r="BB38" i="2"/>
  <c r="BC38" i="2"/>
  <c r="BD38" i="2"/>
  <c r="BE38" i="2"/>
  <c r="BF38" i="2"/>
  <c r="BG38" i="2"/>
  <c r="BH38" i="2"/>
  <c r="AZ39" i="2"/>
  <c r="BA39" i="2"/>
  <c r="BB39" i="2"/>
  <c r="BC39" i="2"/>
  <c r="BD39" i="2"/>
  <c r="BE39" i="2"/>
  <c r="BF39" i="2"/>
  <c r="BG39" i="2"/>
  <c r="BH39" i="2"/>
  <c r="AZ40" i="2"/>
  <c r="BA40" i="2"/>
  <c r="BB40" i="2"/>
  <c r="BC40" i="2"/>
  <c r="BD40" i="2"/>
  <c r="BE40" i="2"/>
  <c r="BF40" i="2"/>
  <c r="BG40" i="2"/>
  <c r="BH40" i="2"/>
  <c r="AZ41" i="2"/>
  <c r="BA41" i="2"/>
  <c r="BB41" i="2"/>
  <c r="BC41" i="2"/>
  <c r="BD41" i="2"/>
  <c r="BE41" i="2"/>
  <c r="BF41" i="2"/>
  <c r="BG41" i="2"/>
  <c r="BH41" i="2"/>
  <c r="BK41" i="2"/>
  <c r="BL41" i="2"/>
  <c r="AZ42" i="2"/>
  <c r="BA42" i="2"/>
  <c r="BB42" i="2"/>
  <c r="BC42" i="2"/>
  <c r="BD42" i="2"/>
  <c r="BE42" i="2"/>
  <c r="BF42" i="2"/>
  <c r="BG42" i="2"/>
  <c r="BH42" i="2"/>
  <c r="BK42" i="2"/>
  <c r="BL42" i="2"/>
  <c r="AZ43" i="2"/>
  <c r="BA43" i="2"/>
  <c r="BB43" i="2"/>
  <c r="BC43" i="2"/>
  <c r="BD43" i="2"/>
  <c r="BE43" i="2"/>
  <c r="BF43" i="2"/>
  <c r="BG43" i="2"/>
  <c r="BH43" i="2"/>
  <c r="BK43" i="2"/>
  <c r="BL43" i="2"/>
  <c r="AZ44" i="2"/>
  <c r="BA44" i="2"/>
  <c r="BB44" i="2"/>
  <c r="BC44" i="2"/>
  <c r="BD44" i="2"/>
  <c r="BE44" i="2"/>
  <c r="BF44" i="2"/>
  <c r="BG44" i="2"/>
  <c r="BH44" i="2"/>
  <c r="BK44" i="2"/>
  <c r="BL44" i="2"/>
  <c r="AZ45" i="2"/>
  <c r="BA45" i="2"/>
  <c r="BB45" i="2"/>
  <c r="BC45" i="2"/>
  <c r="BD45" i="2"/>
  <c r="BE45" i="2"/>
  <c r="BF45" i="2"/>
  <c r="BG45" i="2"/>
  <c r="BH45" i="2"/>
  <c r="BK45" i="2"/>
  <c r="BL45" i="2"/>
  <c r="AZ46" i="2"/>
  <c r="BA46" i="2"/>
  <c r="BB46" i="2"/>
  <c r="BC46" i="2"/>
  <c r="BD46" i="2"/>
  <c r="BE46" i="2"/>
  <c r="BF46" i="2"/>
  <c r="BG46" i="2"/>
  <c r="BH46" i="2"/>
  <c r="BK46" i="2"/>
  <c r="BL46" i="2"/>
  <c r="AZ47" i="2"/>
  <c r="BA47" i="2"/>
  <c r="BB47" i="2"/>
  <c r="BC47" i="2"/>
  <c r="BD47" i="2"/>
  <c r="BE47" i="2"/>
  <c r="BF47" i="2"/>
  <c r="BG47" i="2"/>
  <c r="BH47" i="2"/>
  <c r="BK47" i="2"/>
  <c r="BL47" i="2"/>
  <c r="AZ13" i="2"/>
  <c r="BA13" i="2"/>
  <c r="BB13" i="2"/>
  <c r="BC13" i="2"/>
  <c r="BD13" i="2"/>
  <c r="BE13" i="2"/>
  <c r="BF13" i="2"/>
  <c r="BG13" i="2"/>
  <c r="BH13" i="2"/>
  <c r="AZ14" i="2"/>
  <c r="BA14" i="2"/>
  <c r="BB14" i="2"/>
  <c r="BC14" i="2"/>
  <c r="BD14" i="2"/>
  <c r="BE14" i="2"/>
  <c r="BF14" i="2"/>
  <c r="BG14" i="2"/>
  <c r="BH14" i="2"/>
  <c r="AZ15" i="2"/>
  <c r="BA15" i="2"/>
  <c r="BB15" i="2"/>
  <c r="BC15" i="2"/>
  <c r="BD15" i="2"/>
  <c r="BE15" i="2"/>
  <c r="BF15" i="2"/>
  <c r="BG15" i="2"/>
  <c r="BH15" i="2"/>
  <c r="AZ16" i="2"/>
  <c r="BA16" i="2"/>
  <c r="BB16" i="2"/>
  <c r="BC16" i="2"/>
  <c r="BD16" i="2"/>
  <c r="BE16" i="2"/>
  <c r="BF16" i="2"/>
  <c r="BG16" i="2"/>
  <c r="BH16" i="2"/>
  <c r="AZ17" i="2"/>
  <c r="BA17" i="2"/>
  <c r="BB17" i="2"/>
  <c r="BC17" i="2"/>
  <c r="BD17" i="2"/>
  <c r="BE17" i="2"/>
  <c r="BF17" i="2"/>
  <c r="BG17" i="2"/>
  <c r="BH17" i="2"/>
  <c r="AZ18" i="2"/>
  <c r="BA18" i="2"/>
  <c r="BB18" i="2"/>
  <c r="BC18" i="2"/>
  <c r="BD18" i="2"/>
  <c r="BE18" i="2"/>
  <c r="BF18" i="2"/>
  <c r="BG18" i="2"/>
  <c r="BH18" i="2"/>
  <c r="AZ19" i="2"/>
  <c r="BA19" i="2"/>
  <c r="BB19" i="2"/>
  <c r="BC19" i="2"/>
  <c r="BD19" i="2"/>
  <c r="BE19" i="2"/>
  <c r="BF19" i="2"/>
  <c r="BG19" i="2"/>
  <c r="BH19" i="2"/>
  <c r="AZ20" i="2"/>
  <c r="BA20" i="2"/>
  <c r="BB20" i="2"/>
  <c r="BC20" i="2"/>
  <c r="BD20" i="2"/>
  <c r="BE20" i="2"/>
  <c r="BF20" i="2"/>
  <c r="BG20" i="2"/>
  <c r="BH20" i="2"/>
  <c r="AZ21" i="2"/>
  <c r="BA21" i="2"/>
  <c r="BB21" i="2"/>
  <c r="BC21" i="2"/>
  <c r="BD21" i="2"/>
  <c r="BE21" i="2"/>
  <c r="BF21" i="2"/>
  <c r="BG21" i="2"/>
  <c r="BH21" i="2"/>
  <c r="AZ22" i="2"/>
  <c r="BA22" i="2"/>
  <c r="BB22" i="2"/>
  <c r="BC22" i="2"/>
  <c r="BD22" i="2"/>
  <c r="BE22" i="2"/>
  <c r="BF22" i="2"/>
  <c r="BG22" i="2"/>
  <c r="BH22" i="2"/>
  <c r="AZ23" i="2"/>
  <c r="BA23" i="2"/>
  <c r="BB23" i="2"/>
  <c r="BC23" i="2"/>
  <c r="BD23" i="2"/>
  <c r="BE23" i="2"/>
  <c r="BF23" i="2"/>
  <c r="BG23" i="2"/>
  <c r="BH23" i="2"/>
  <c r="AZ24" i="2"/>
  <c r="BA24" i="2"/>
  <c r="BB24" i="2"/>
  <c r="BC24" i="2"/>
  <c r="BD24" i="2"/>
  <c r="BE24" i="2"/>
  <c r="BF24" i="2"/>
  <c r="BG24" i="2"/>
  <c r="BH24" i="2"/>
  <c r="AK13" i="2"/>
  <c r="AK14" i="2"/>
  <c r="AK15" i="2"/>
  <c r="AK16" i="2"/>
  <c r="AK17" i="2"/>
  <c r="AK18" i="2"/>
  <c r="AK19" i="2"/>
  <c r="AK20" i="2"/>
  <c r="AK21" i="2"/>
  <c r="AK22" i="2"/>
  <c r="AK23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12" i="2"/>
  <c r="W42" i="2"/>
  <c r="W43" i="2"/>
  <c r="L43" i="2" s="1"/>
  <c r="W44" i="2"/>
  <c r="W45" i="2"/>
  <c r="W46" i="2"/>
  <c r="W47" i="2"/>
  <c r="L47" i="2" s="1"/>
  <c r="W41" i="2"/>
  <c r="W40" i="2"/>
  <c r="AY40" i="2" s="1"/>
  <c r="W39" i="2"/>
  <c r="W38" i="2"/>
  <c r="AY38" i="2" s="1"/>
  <c r="W37" i="2"/>
  <c r="W36" i="2"/>
  <c r="AY36" i="2" s="1"/>
  <c r="W35" i="2"/>
  <c r="W34" i="2"/>
  <c r="AY34" i="2" s="1"/>
  <c r="W33" i="2"/>
  <c r="W32" i="2"/>
  <c r="AY32" i="2" s="1"/>
  <c r="W31" i="2"/>
  <c r="W30" i="2"/>
  <c r="AY30" i="2" s="1"/>
  <c r="W29" i="2"/>
  <c r="W28" i="2"/>
  <c r="AY28" i="2" s="1"/>
  <c r="W27" i="2"/>
  <c r="W26" i="2"/>
  <c r="AY26" i="2" s="1"/>
  <c r="W25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M25" i="2"/>
  <c r="N25" i="2"/>
  <c r="O25" i="2"/>
  <c r="P25" i="2"/>
  <c r="Q25" i="2"/>
  <c r="R25" i="2"/>
  <c r="S25" i="2"/>
  <c r="T25" i="2"/>
  <c r="U25" i="2"/>
  <c r="M26" i="2"/>
  <c r="N26" i="2"/>
  <c r="O26" i="2"/>
  <c r="P26" i="2"/>
  <c r="Q26" i="2"/>
  <c r="R26" i="2"/>
  <c r="S26" i="2"/>
  <c r="T26" i="2"/>
  <c r="U26" i="2"/>
  <c r="M27" i="2"/>
  <c r="N27" i="2"/>
  <c r="O27" i="2"/>
  <c r="P27" i="2"/>
  <c r="Q27" i="2"/>
  <c r="R27" i="2"/>
  <c r="S27" i="2"/>
  <c r="T27" i="2"/>
  <c r="U27" i="2"/>
  <c r="M28" i="2"/>
  <c r="N28" i="2"/>
  <c r="O28" i="2"/>
  <c r="P28" i="2"/>
  <c r="Q28" i="2"/>
  <c r="R28" i="2"/>
  <c r="S28" i="2"/>
  <c r="T28" i="2"/>
  <c r="U28" i="2"/>
  <c r="M29" i="2"/>
  <c r="N29" i="2"/>
  <c r="O29" i="2"/>
  <c r="P29" i="2"/>
  <c r="Q29" i="2"/>
  <c r="R29" i="2"/>
  <c r="S29" i="2"/>
  <c r="T29" i="2"/>
  <c r="U29" i="2"/>
  <c r="M30" i="2"/>
  <c r="N30" i="2"/>
  <c r="O30" i="2"/>
  <c r="P30" i="2"/>
  <c r="Q30" i="2"/>
  <c r="R30" i="2"/>
  <c r="S30" i="2"/>
  <c r="T30" i="2"/>
  <c r="U30" i="2"/>
  <c r="M31" i="2"/>
  <c r="N31" i="2"/>
  <c r="O31" i="2"/>
  <c r="P31" i="2"/>
  <c r="Q31" i="2"/>
  <c r="R31" i="2"/>
  <c r="S31" i="2"/>
  <c r="T31" i="2"/>
  <c r="U31" i="2"/>
  <c r="M32" i="2"/>
  <c r="N32" i="2"/>
  <c r="O32" i="2"/>
  <c r="P32" i="2"/>
  <c r="Q32" i="2"/>
  <c r="R32" i="2"/>
  <c r="S32" i="2"/>
  <c r="T32" i="2"/>
  <c r="U32" i="2"/>
  <c r="M33" i="2"/>
  <c r="N33" i="2"/>
  <c r="O33" i="2"/>
  <c r="P33" i="2"/>
  <c r="Q33" i="2"/>
  <c r="R33" i="2"/>
  <c r="S33" i="2"/>
  <c r="T33" i="2"/>
  <c r="U33" i="2"/>
  <c r="M34" i="2"/>
  <c r="N34" i="2"/>
  <c r="O34" i="2"/>
  <c r="P34" i="2"/>
  <c r="Q34" i="2"/>
  <c r="R34" i="2"/>
  <c r="S34" i="2"/>
  <c r="T34" i="2"/>
  <c r="U34" i="2"/>
  <c r="M35" i="2"/>
  <c r="N35" i="2"/>
  <c r="O35" i="2"/>
  <c r="P35" i="2"/>
  <c r="Q35" i="2"/>
  <c r="R35" i="2"/>
  <c r="S35" i="2"/>
  <c r="T35" i="2"/>
  <c r="U35" i="2"/>
  <c r="M36" i="2"/>
  <c r="N36" i="2"/>
  <c r="O36" i="2"/>
  <c r="P36" i="2"/>
  <c r="Q36" i="2"/>
  <c r="R36" i="2"/>
  <c r="S36" i="2"/>
  <c r="T36" i="2"/>
  <c r="U36" i="2"/>
  <c r="M37" i="2"/>
  <c r="N37" i="2"/>
  <c r="O37" i="2"/>
  <c r="P37" i="2"/>
  <c r="Q37" i="2"/>
  <c r="R37" i="2"/>
  <c r="S37" i="2"/>
  <c r="T37" i="2"/>
  <c r="U37" i="2"/>
  <c r="M38" i="2"/>
  <c r="N38" i="2"/>
  <c r="O38" i="2"/>
  <c r="P38" i="2"/>
  <c r="Q38" i="2"/>
  <c r="R38" i="2"/>
  <c r="S38" i="2"/>
  <c r="T38" i="2"/>
  <c r="U38" i="2"/>
  <c r="M39" i="2"/>
  <c r="N39" i="2"/>
  <c r="O39" i="2"/>
  <c r="P39" i="2"/>
  <c r="Q39" i="2"/>
  <c r="R39" i="2"/>
  <c r="S39" i="2"/>
  <c r="T39" i="2"/>
  <c r="U39" i="2"/>
  <c r="M40" i="2"/>
  <c r="N40" i="2"/>
  <c r="O40" i="2"/>
  <c r="P40" i="2"/>
  <c r="Q40" i="2"/>
  <c r="R40" i="2"/>
  <c r="S40" i="2"/>
  <c r="T40" i="2"/>
  <c r="U40" i="2"/>
  <c r="M41" i="2"/>
  <c r="N41" i="2"/>
  <c r="O41" i="2"/>
  <c r="P41" i="2"/>
  <c r="Q41" i="2"/>
  <c r="R41" i="2"/>
  <c r="S41" i="2"/>
  <c r="T41" i="2"/>
  <c r="U41" i="2"/>
  <c r="M42" i="2"/>
  <c r="N42" i="2"/>
  <c r="O42" i="2"/>
  <c r="P42" i="2"/>
  <c r="Q42" i="2"/>
  <c r="R42" i="2"/>
  <c r="S42" i="2"/>
  <c r="T42" i="2"/>
  <c r="U42" i="2"/>
  <c r="M43" i="2"/>
  <c r="N43" i="2"/>
  <c r="O43" i="2"/>
  <c r="P43" i="2"/>
  <c r="Q43" i="2"/>
  <c r="R43" i="2"/>
  <c r="S43" i="2"/>
  <c r="T43" i="2"/>
  <c r="U43" i="2"/>
  <c r="M44" i="2"/>
  <c r="N44" i="2"/>
  <c r="O44" i="2"/>
  <c r="P44" i="2"/>
  <c r="Q44" i="2"/>
  <c r="R44" i="2"/>
  <c r="S44" i="2"/>
  <c r="T44" i="2"/>
  <c r="U44" i="2"/>
  <c r="M45" i="2"/>
  <c r="N45" i="2"/>
  <c r="O45" i="2"/>
  <c r="P45" i="2"/>
  <c r="Q45" i="2"/>
  <c r="R45" i="2"/>
  <c r="S45" i="2"/>
  <c r="T45" i="2"/>
  <c r="U45" i="2"/>
  <c r="M46" i="2"/>
  <c r="N46" i="2"/>
  <c r="O46" i="2"/>
  <c r="P46" i="2"/>
  <c r="Q46" i="2"/>
  <c r="R46" i="2"/>
  <c r="S46" i="2"/>
  <c r="T46" i="2"/>
  <c r="U46" i="2"/>
  <c r="M47" i="2"/>
  <c r="N47" i="2"/>
  <c r="O47" i="2"/>
  <c r="P47" i="2"/>
  <c r="Q47" i="2"/>
  <c r="R47" i="2"/>
  <c r="S47" i="2"/>
  <c r="T47" i="2"/>
  <c r="U47" i="2"/>
  <c r="L33" i="2"/>
  <c r="L42" i="2"/>
  <c r="L44" i="2"/>
  <c r="L45" i="2"/>
  <c r="L46" i="2"/>
  <c r="BI28" i="108" l="1"/>
  <c r="BI21" i="108"/>
  <c r="BI31" i="108"/>
  <c r="AY34" i="104"/>
  <c r="L40" i="2"/>
  <c r="L36" i="2"/>
  <c r="L32" i="2"/>
  <c r="L28" i="2"/>
  <c r="L29" i="2"/>
  <c r="L37" i="2"/>
  <c r="BI41" i="110"/>
  <c r="L38" i="2"/>
  <c r="L34" i="2"/>
  <c r="L30" i="2"/>
  <c r="L26" i="2"/>
  <c r="L27" i="2"/>
  <c r="L31" i="2"/>
  <c r="L35" i="2"/>
  <c r="L39" i="2"/>
  <c r="AY46" i="2"/>
  <c r="AY42" i="2"/>
  <c r="BI32" i="108"/>
  <c r="BI20" i="110"/>
  <c r="BI25" i="110"/>
  <c r="AH6" i="108"/>
  <c r="BI40" i="110"/>
  <c r="BI26" i="110"/>
  <c r="AY35" i="104"/>
  <c r="AY33" i="104"/>
  <c r="AY31" i="104"/>
  <c r="AY29" i="104"/>
  <c r="AY27" i="104"/>
  <c r="L34" i="104"/>
  <c r="L30" i="104"/>
  <c r="AY30" i="104"/>
  <c r="BI20" i="108"/>
  <c r="AK16" i="116"/>
  <c r="AZ16" i="116"/>
  <c r="AK18" i="116"/>
  <c r="AK22" i="116"/>
  <c r="AK26" i="116"/>
  <c r="AK34" i="116"/>
  <c r="AK38" i="116"/>
  <c r="AU42" i="116"/>
  <c r="BO42" i="116" s="1"/>
  <c r="AK46" i="116"/>
  <c r="AK13" i="116"/>
  <c r="AZ13" i="116"/>
  <c r="AU15" i="116"/>
  <c r="BO15" i="116" s="1"/>
  <c r="AK23" i="116"/>
  <c r="AK25" i="116"/>
  <c r="AK29" i="116"/>
  <c r="AK31" i="116"/>
  <c r="AK33" i="116"/>
  <c r="AZ33" i="116"/>
  <c r="AK39" i="116"/>
  <c r="AK41" i="116"/>
  <c r="AK45" i="116"/>
  <c r="BI18" i="110"/>
  <c r="BI23" i="110"/>
  <c r="BI15" i="110"/>
  <c r="BI39" i="110"/>
  <c r="BI32" i="110"/>
  <c r="BJ18" i="110"/>
  <c r="BI17" i="110"/>
  <c r="BJ45" i="110"/>
  <c r="AK15" i="116"/>
  <c r="AK17" i="116"/>
  <c r="AK19" i="116"/>
  <c r="AK21" i="116"/>
  <c r="AK27" i="116"/>
  <c r="AK35" i="116"/>
  <c r="AK37" i="116"/>
  <c r="AK43" i="116"/>
  <c r="AU45" i="116"/>
  <c r="BO45" i="116" s="1"/>
  <c r="AK12" i="116"/>
  <c r="AK14" i="116"/>
  <c r="AU18" i="116"/>
  <c r="BO18" i="116" s="1"/>
  <c r="AK20" i="116"/>
  <c r="AK24" i="116"/>
  <c r="AU26" i="116"/>
  <c r="BO26" i="116" s="1"/>
  <c r="AK28" i="116"/>
  <c r="AK30" i="116"/>
  <c r="AK32" i="116"/>
  <c r="AK36" i="116"/>
  <c r="AK40" i="116"/>
  <c r="AK42" i="116"/>
  <c r="AK44" i="116"/>
  <c r="BI21" i="110"/>
  <c r="BI14" i="110"/>
  <c r="B12" i="111"/>
  <c r="F12" i="111" s="1"/>
  <c r="E12" i="111"/>
  <c r="BI13" i="110"/>
  <c r="B11" i="111"/>
  <c r="F11" i="111" s="1"/>
  <c r="E11" i="111"/>
  <c r="D11" i="111"/>
  <c r="D12" i="111"/>
  <c r="AJ5" i="110" a="1"/>
  <c r="AJ5" i="110" s="1"/>
  <c r="AI7" i="110" a="1"/>
  <c r="AI7" i="110" s="1"/>
  <c r="BI44" i="110"/>
  <c r="AH6" i="110"/>
  <c r="BI43" i="110"/>
  <c r="BI33" i="110"/>
  <c r="BI29" i="110"/>
  <c r="BJ26" i="110"/>
  <c r="AY6" i="110"/>
  <c r="BJ15" i="110"/>
  <c r="AK5" i="110" a="1"/>
  <c r="AK5" i="110" s="1"/>
  <c r="BI19" i="110"/>
  <c r="BI27" i="110"/>
  <c r="AH5" i="110"/>
  <c r="AI5" i="110" a="1"/>
  <c r="AI5" i="110" s="1"/>
  <c r="AJ6" i="110" a="1"/>
  <c r="AJ6" i="110" s="1"/>
  <c r="AI6" i="110" a="1"/>
  <c r="AI6" i="110" s="1"/>
  <c r="BI47" i="110"/>
  <c r="AH7" i="110" a="1"/>
  <c r="AH7" i="110" s="1"/>
  <c r="AJ7" i="110" a="1"/>
  <c r="AJ7" i="110" s="1"/>
  <c r="BI37" i="110"/>
  <c r="BI24" i="110"/>
  <c r="BI12" i="110"/>
  <c r="BB5" i="110"/>
  <c r="AY7" i="110"/>
  <c r="BI34" i="110"/>
  <c r="BI45" i="110"/>
  <c r="BI16" i="110"/>
  <c r="BI30" i="110"/>
  <c r="BJ17" i="110"/>
  <c r="AH7" i="108" a="1"/>
  <c r="AH7" i="108" s="1"/>
  <c r="AJ6" i="108" a="1"/>
  <c r="AJ6" i="108" s="1"/>
  <c r="AI7" i="108" a="1"/>
  <c r="AI7" i="108" s="1"/>
  <c r="BI16" i="108"/>
  <c r="BI22" i="108"/>
  <c r="BI14" i="108"/>
  <c r="AJ7" i="108" a="1"/>
  <c r="AJ7" i="108" s="1"/>
  <c r="BI24" i="108"/>
  <c r="AK5" i="108"/>
  <c r="BI12" i="108"/>
  <c r="BB5" i="108"/>
  <c r="AY7" i="108"/>
  <c r="AY6" i="108"/>
  <c r="AH47" i="2"/>
  <c r="BJ47" i="2" s="1"/>
  <c r="AG39" i="2"/>
  <c r="AG35" i="2"/>
  <c r="AG31" i="2"/>
  <c r="AG27" i="2"/>
  <c r="AV38" i="2"/>
  <c r="AH29" i="2"/>
  <c r="BJ29" i="2" s="1"/>
  <c r="AH41" i="2"/>
  <c r="BJ41" i="2" s="1"/>
  <c r="AG37" i="2"/>
  <c r="AH33" i="2"/>
  <c r="BJ33" i="2" s="1"/>
  <c r="AG29" i="2"/>
  <c r="AH25" i="2"/>
  <c r="BJ25" i="2" s="1"/>
  <c r="AY44" i="2"/>
  <c r="AU40" i="2"/>
  <c r="AY43" i="2"/>
  <c r="AU36" i="104"/>
  <c r="AG34" i="104"/>
  <c r="AU32" i="104"/>
  <c r="AG30" i="104"/>
  <c r="AU28" i="104"/>
  <c r="L33" i="104"/>
  <c r="L29" i="104"/>
  <c r="AU35" i="104"/>
  <c r="AU33" i="104"/>
  <c r="AU31" i="104"/>
  <c r="AU29" i="104"/>
  <c r="AU27" i="104"/>
  <c r="AG36" i="104"/>
  <c r="BI36" i="104" s="1"/>
  <c r="AU34" i="104"/>
  <c r="AG32" i="104"/>
  <c r="BI32" i="104" s="1"/>
  <c r="AU30" i="104"/>
  <c r="AG28" i="104"/>
  <c r="BI28" i="104" s="1"/>
  <c r="AG35" i="104"/>
  <c r="AG33" i="104"/>
  <c r="BI33" i="104" s="1"/>
  <c r="AG31" i="104"/>
  <c r="AG29" i="104"/>
  <c r="AG27" i="104"/>
  <c r="AH46" i="2"/>
  <c r="BJ46" i="2" s="1"/>
  <c r="AH44" i="2"/>
  <c r="BJ44" i="2" s="1"/>
  <c r="AV43" i="2"/>
  <c r="AH36" i="2"/>
  <c r="BJ36" i="2" s="1"/>
  <c r="AH34" i="2"/>
  <c r="BJ34" i="2" s="1"/>
  <c r="AH32" i="2"/>
  <c r="BJ32" i="2" s="1"/>
  <c r="AH30" i="2"/>
  <c r="BJ30" i="2" s="1"/>
  <c r="AH28" i="2"/>
  <c r="BJ28" i="2" s="1"/>
  <c r="AH26" i="2"/>
  <c r="AG46" i="2"/>
  <c r="AH37" i="2"/>
  <c r="BJ37" i="2" s="1"/>
  <c r="AU46" i="2"/>
  <c r="AU32" i="2"/>
  <c r="AV44" i="2"/>
  <c r="AV30" i="2"/>
  <c r="AH42" i="2"/>
  <c r="BJ42" i="2" s="1"/>
  <c r="AH40" i="2"/>
  <c r="BJ40" i="2" s="1"/>
  <c r="AH38" i="2"/>
  <c r="BJ38" i="2" s="1"/>
  <c r="AV46" i="2"/>
  <c r="AU44" i="2"/>
  <c r="AH43" i="2"/>
  <c r="BJ43" i="2" s="1"/>
  <c r="AU42" i="2"/>
  <c r="AV40" i="2"/>
  <c r="AU38" i="2"/>
  <c r="AV36" i="2"/>
  <c r="AU34" i="2"/>
  <c r="AV32" i="2"/>
  <c r="AU30" i="2"/>
  <c r="AV28" i="2"/>
  <c r="AU26" i="2"/>
  <c r="AI26" i="2"/>
  <c r="BK26" i="2" s="1"/>
  <c r="AJ28" i="2"/>
  <c r="BL28" i="2" s="1"/>
  <c r="AJ30" i="2"/>
  <c r="BL30" i="2" s="1"/>
  <c r="AJ32" i="2"/>
  <c r="BL32" i="2" s="1"/>
  <c r="AG33" i="2"/>
  <c r="AJ34" i="2"/>
  <c r="BL34" i="2" s="1"/>
  <c r="AJ36" i="2"/>
  <c r="BL36" i="2" s="1"/>
  <c r="AJ38" i="2"/>
  <c r="BL38" i="2" s="1"/>
  <c r="AJ40" i="2"/>
  <c r="BL40" i="2" s="1"/>
  <c r="AG43" i="2"/>
  <c r="AU43" i="2"/>
  <c r="AU36" i="2"/>
  <c r="AU28" i="2"/>
  <c r="AV42" i="2"/>
  <c r="AV34" i="2"/>
  <c r="AV26" i="2"/>
  <c r="AV47" i="2"/>
  <c r="AU47" i="2"/>
  <c r="AG47" i="2"/>
  <c r="AV45" i="2"/>
  <c r="AU45" i="2"/>
  <c r="AG45" i="2"/>
  <c r="AV41" i="2"/>
  <c r="AU41" i="2"/>
  <c r="AG41" i="2"/>
  <c r="AV39" i="2"/>
  <c r="AU39" i="2"/>
  <c r="AI39" i="2"/>
  <c r="BK39" i="2" s="1"/>
  <c r="AV37" i="2"/>
  <c r="AU37" i="2"/>
  <c r="BI37" i="2" s="1"/>
  <c r="AI37" i="2"/>
  <c r="BK37" i="2" s="1"/>
  <c r="AV35" i="2"/>
  <c r="AU35" i="2"/>
  <c r="AI35" i="2"/>
  <c r="BK35" i="2" s="1"/>
  <c r="AV33" i="2"/>
  <c r="AU33" i="2"/>
  <c r="AI33" i="2"/>
  <c r="BK33" i="2" s="1"/>
  <c r="AV31" i="2"/>
  <c r="AU31" i="2"/>
  <c r="BI31" i="2" s="1"/>
  <c r="AI31" i="2"/>
  <c r="BK31" i="2" s="1"/>
  <c r="AV29" i="2"/>
  <c r="AU29" i="2"/>
  <c r="AI29" i="2"/>
  <c r="BK29" i="2" s="1"/>
  <c r="AV27" i="2"/>
  <c r="AU27" i="2"/>
  <c r="AI27" i="2"/>
  <c r="BK27" i="2" s="1"/>
  <c r="AV25" i="2"/>
  <c r="AU25" i="2"/>
  <c r="AG25" i="2"/>
  <c r="AI25" i="2"/>
  <c r="BK25" i="2" s="1"/>
  <c r="AJ25" i="2"/>
  <c r="BL25" i="2" s="1"/>
  <c r="AY25" i="2"/>
  <c r="L25" i="2"/>
  <c r="AG26" i="2"/>
  <c r="AJ27" i="2"/>
  <c r="BL27" i="2" s="1"/>
  <c r="AG28" i="2"/>
  <c r="AJ29" i="2"/>
  <c r="BL29" i="2" s="1"/>
  <c r="AG30" i="2"/>
  <c r="BI30" i="2" s="1"/>
  <c r="AJ31" i="2"/>
  <c r="BL31" i="2" s="1"/>
  <c r="AG32" i="2"/>
  <c r="AJ33" i="2"/>
  <c r="BL33" i="2" s="1"/>
  <c r="AG34" i="2"/>
  <c r="AJ35" i="2"/>
  <c r="BL35" i="2" s="1"/>
  <c r="AG36" i="2"/>
  <c r="BI36" i="2" s="1"/>
  <c r="AJ37" i="2"/>
  <c r="BL37" i="2" s="1"/>
  <c r="AG38" i="2"/>
  <c r="BI38" i="2" s="1"/>
  <c r="AJ39" i="2"/>
  <c r="BL39" i="2" s="1"/>
  <c r="AG40" i="2"/>
  <c r="AY41" i="2"/>
  <c r="L41" i="2"/>
  <c r="AG44" i="2"/>
  <c r="AG42" i="2"/>
  <c r="BI42" i="2" s="1"/>
  <c r="AH45" i="2"/>
  <c r="AH39" i="2"/>
  <c r="BJ39" i="2" s="1"/>
  <c r="AH35" i="2"/>
  <c r="BJ35" i="2" s="1"/>
  <c r="AH31" i="2"/>
  <c r="BJ31" i="2" s="1"/>
  <c r="AH27" i="2"/>
  <c r="BJ27" i="2" s="1"/>
  <c r="AJ26" i="2"/>
  <c r="BL26" i="2" s="1"/>
  <c r="AY27" i="2"/>
  <c r="AI28" i="2"/>
  <c r="BK28" i="2" s="1"/>
  <c r="AY29" i="2"/>
  <c r="AI30" i="2"/>
  <c r="BK30" i="2" s="1"/>
  <c r="AY31" i="2"/>
  <c r="AI32" i="2"/>
  <c r="BK32" i="2" s="1"/>
  <c r="AY33" i="2"/>
  <c r="AI34" i="2"/>
  <c r="BK34" i="2" s="1"/>
  <c r="AY35" i="2"/>
  <c r="AI36" i="2"/>
  <c r="BK36" i="2" s="1"/>
  <c r="AY37" i="2"/>
  <c r="AI38" i="2"/>
  <c r="BK38" i="2" s="1"/>
  <c r="AY39" i="2"/>
  <c r="AI40" i="2"/>
  <c r="BK40" i="2" s="1"/>
  <c r="AY47" i="2"/>
  <c r="AY45" i="2"/>
  <c r="B5" i="107"/>
  <c r="J5" i="107" s="1"/>
  <c r="BI27" i="104" l="1"/>
  <c r="BI35" i="104"/>
  <c r="BI39" i="2"/>
  <c r="BI34" i="2"/>
  <c r="BI26" i="2"/>
  <c r="BI29" i="2"/>
  <c r="BJ45" i="2"/>
  <c r="BI35" i="2"/>
  <c r="BI29" i="104"/>
  <c r="BI40" i="2"/>
  <c r="BI32" i="2"/>
  <c r="BI28" i="2"/>
  <c r="BI33" i="2"/>
  <c r="BB6" i="108"/>
  <c r="L11" i="111"/>
  <c r="BO10" i="116"/>
  <c r="BH26" i="116" s="1"/>
  <c r="BK42" i="116"/>
  <c r="L12" i="111"/>
  <c r="B10" i="111"/>
  <c r="F10" i="111" s="1"/>
  <c r="M12" i="111"/>
  <c r="M11" i="111"/>
  <c r="D9" i="111"/>
  <c r="E9" i="111"/>
  <c r="AK7" i="110" a="1"/>
  <c r="AK7" i="110" s="1"/>
  <c r="AK6" i="110" a="1"/>
  <c r="AK6" i="110" s="1"/>
  <c r="BB7" i="110" a="1"/>
  <c r="BB7" i="110" s="1"/>
  <c r="BB6" i="110"/>
  <c r="BB7" i="108" a="1"/>
  <c r="BB7" i="108" s="1"/>
  <c r="AK7" i="108" a="1"/>
  <c r="AK7" i="108" s="1"/>
  <c r="AK6" i="108" a="1"/>
  <c r="AK6" i="108" s="1"/>
  <c r="BI34" i="104"/>
  <c r="BI27" i="2"/>
  <c r="BI31" i="104"/>
  <c r="BI30" i="104"/>
  <c r="BI44" i="2"/>
  <c r="BI25" i="2"/>
  <c r="BI41" i="2"/>
  <c r="BI47" i="2"/>
  <c r="BI43" i="2"/>
  <c r="BI46" i="2"/>
  <c r="BJ26" i="2"/>
  <c r="BI45" i="2"/>
  <c r="J12" i="106"/>
  <c r="K12" i="106" s="1"/>
  <c r="G12" i="106" s="1"/>
  <c r="J11" i="106"/>
  <c r="K11" i="106" s="1"/>
  <c r="J10" i="106"/>
  <c r="K10" i="106" s="1"/>
  <c r="J9" i="106"/>
  <c r="K9" i="106" s="1"/>
  <c r="H7" i="106"/>
  <c r="J12" i="105"/>
  <c r="K12" i="105" s="1"/>
  <c r="J11" i="105"/>
  <c r="K11" i="105" s="1"/>
  <c r="J10" i="105"/>
  <c r="K10" i="105" s="1"/>
  <c r="J9" i="105"/>
  <c r="K9" i="105" s="1"/>
  <c r="H7" i="105"/>
  <c r="W26" i="104"/>
  <c r="AY26" i="104" s="1"/>
  <c r="U26" i="104"/>
  <c r="T26" i="104"/>
  <c r="S26" i="104"/>
  <c r="R26" i="104"/>
  <c r="Q26" i="104"/>
  <c r="P26" i="104"/>
  <c r="O26" i="104"/>
  <c r="N26" i="104"/>
  <c r="M26" i="104"/>
  <c r="J26" i="104"/>
  <c r="W25" i="104"/>
  <c r="AY25" i="104" s="1"/>
  <c r="U25" i="104"/>
  <c r="T25" i="104"/>
  <c r="S25" i="104"/>
  <c r="R25" i="104"/>
  <c r="Q25" i="104"/>
  <c r="P25" i="104"/>
  <c r="O25" i="104"/>
  <c r="N25" i="104"/>
  <c r="M25" i="104"/>
  <c r="J25" i="104"/>
  <c r="W24" i="104"/>
  <c r="AY24" i="104" s="1"/>
  <c r="U24" i="104"/>
  <c r="T24" i="104"/>
  <c r="S24" i="104"/>
  <c r="R24" i="104"/>
  <c r="Q24" i="104"/>
  <c r="P24" i="104"/>
  <c r="O24" i="104"/>
  <c r="N24" i="104"/>
  <c r="M24" i="104"/>
  <c r="J24" i="104"/>
  <c r="W23" i="104"/>
  <c r="AY23" i="104" s="1"/>
  <c r="U23" i="104"/>
  <c r="T23" i="104"/>
  <c r="S23" i="104"/>
  <c r="R23" i="104"/>
  <c r="Q23" i="104"/>
  <c r="P23" i="104"/>
  <c r="O23" i="104"/>
  <c r="N23" i="104"/>
  <c r="M23" i="104"/>
  <c r="J23" i="104"/>
  <c r="W22" i="104"/>
  <c r="AY22" i="104" s="1"/>
  <c r="U22" i="104"/>
  <c r="T22" i="104"/>
  <c r="S22" i="104"/>
  <c r="R22" i="104"/>
  <c r="Q22" i="104"/>
  <c r="P22" i="104"/>
  <c r="O22" i="104"/>
  <c r="N22" i="104"/>
  <c r="M22" i="104"/>
  <c r="J22" i="104"/>
  <c r="W21" i="104"/>
  <c r="AY21" i="104" s="1"/>
  <c r="U21" i="104"/>
  <c r="T21" i="104"/>
  <c r="S21" i="104"/>
  <c r="R21" i="104"/>
  <c r="Q21" i="104"/>
  <c r="P21" i="104"/>
  <c r="O21" i="104"/>
  <c r="N21" i="104"/>
  <c r="M21" i="104"/>
  <c r="J21" i="104"/>
  <c r="W20" i="104"/>
  <c r="AY20" i="104" s="1"/>
  <c r="U20" i="104"/>
  <c r="T20" i="104"/>
  <c r="S20" i="104"/>
  <c r="R20" i="104"/>
  <c r="Q20" i="104"/>
  <c r="P20" i="104"/>
  <c r="O20" i="104"/>
  <c r="N20" i="104"/>
  <c r="M20" i="104"/>
  <c r="J20" i="104"/>
  <c r="W19" i="104"/>
  <c r="AY19" i="104" s="1"/>
  <c r="U19" i="104"/>
  <c r="T19" i="104"/>
  <c r="S19" i="104"/>
  <c r="R19" i="104"/>
  <c r="Q19" i="104"/>
  <c r="P19" i="104"/>
  <c r="O19" i="104"/>
  <c r="N19" i="104"/>
  <c r="M19" i="104"/>
  <c r="J19" i="104"/>
  <c r="W18" i="104"/>
  <c r="AY18" i="104" s="1"/>
  <c r="U18" i="104"/>
  <c r="T18" i="104"/>
  <c r="S18" i="104"/>
  <c r="R18" i="104"/>
  <c r="Q18" i="104"/>
  <c r="P18" i="104"/>
  <c r="O18" i="104"/>
  <c r="N18" i="104"/>
  <c r="M18" i="104"/>
  <c r="J18" i="104"/>
  <c r="W17" i="104"/>
  <c r="AY17" i="104" s="1"/>
  <c r="U17" i="104"/>
  <c r="T17" i="104"/>
  <c r="S17" i="104"/>
  <c r="R17" i="104"/>
  <c r="Q17" i="104"/>
  <c r="P17" i="104"/>
  <c r="O17" i="104"/>
  <c r="N17" i="104"/>
  <c r="M17" i="104"/>
  <c r="J17" i="104"/>
  <c r="W16" i="104"/>
  <c r="AY16" i="104" s="1"/>
  <c r="U16" i="104"/>
  <c r="T16" i="104"/>
  <c r="S16" i="104"/>
  <c r="R16" i="104"/>
  <c r="Q16" i="104"/>
  <c r="P16" i="104"/>
  <c r="O16" i="104"/>
  <c r="N16" i="104"/>
  <c r="M16" i="104"/>
  <c r="J16" i="104"/>
  <c r="W15" i="104"/>
  <c r="AY15" i="104" s="1"/>
  <c r="U15" i="104"/>
  <c r="T15" i="104"/>
  <c r="S15" i="104"/>
  <c r="R15" i="104"/>
  <c r="Q15" i="104"/>
  <c r="P15" i="104"/>
  <c r="O15" i="104"/>
  <c r="N15" i="104"/>
  <c r="M15" i="104"/>
  <c r="J15" i="104"/>
  <c r="W14" i="104"/>
  <c r="AY14" i="104" s="1"/>
  <c r="U14" i="104"/>
  <c r="T14" i="104"/>
  <c r="S14" i="104"/>
  <c r="R14" i="104"/>
  <c r="Q14" i="104"/>
  <c r="P14" i="104"/>
  <c r="O14" i="104"/>
  <c r="N14" i="104"/>
  <c r="M14" i="104"/>
  <c r="J14" i="104"/>
  <c r="W13" i="104"/>
  <c r="AY13" i="104" s="1"/>
  <c r="U13" i="104"/>
  <c r="T13" i="104"/>
  <c r="S13" i="104"/>
  <c r="R13" i="104"/>
  <c r="Q13" i="104"/>
  <c r="P13" i="104"/>
  <c r="O13" i="104"/>
  <c r="N13" i="104"/>
  <c r="M13" i="104"/>
  <c r="J13" i="104"/>
  <c r="W12" i="104"/>
  <c r="AY12" i="104" s="1"/>
  <c r="U12" i="104"/>
  <c r="T12" i="104"/>
  <c r="S12" i="104"/>
  <c r="R12" i="104"/>
  <c r="Q12" i="104"/>
  <c r="P12" i="104"/>
  <c r="O12" i="104"/>
  <c r="N12" i="104"/>
  <c r="M12" i="104"/>
  <c r="J12" i="104"/>
  <c r="AY5" i="104"/>
  <c r="B9" i="106" s="1"/>
  <c r="F9" i="106" s="1"/>
  <c r="U13" i="2"/>
  <c r="U14" i="2"/>
  <c r="U15" i="2"/>
  <c r="U16" i="2"/>
  <c r="U17" i="2"/>
  <c r="U18" i="2"/>
  <c r="U19" i="2"/>
  <c r="U20" i="2"/>
  <c r="U21" i="2"/>
  <c r="U22" i="2"/>
  <c r="U23" i="2"/>
  <c r="U24" i="2"/>
  <c r="T13" i="2"/>
  <c r="T14" i="2"/>
  <c r="T15" i="2"/>
  <c r="T16" i="2"/>
  <c r="T17" i="2"/>
  <c r="T18" i="2"/>
  <c r="T19" i="2"/>
  <c r="T20" i="2"/>
  <c r="T21" i="2"/>
  <c r="T22" i="2"/>
  <c r="T23" i="2"/>
  <c r="T24" i="2"/>
  <c r="S14" i="2"/>
  <c r="S15" i="2"/>
  <c r="S16" i="2"/>
  <c r="S17" i="2"/>
  <c r="S18" i="2"/>
  <c r="S19" i="2"/>
  <c r="S20" i="2"/>
  <c r="S21" i="2"/>
  <c r="S22" i="2"/>
  <c r="S23" i="2"/>
  <c r="S24" i="2"/>
  <c r="S13" i="2"/>
  <c r="R23" i="2"/>
  <c r="R24" i="2"/>
  <c r="R22" i="2"/>
  <c r="R19" i="2"/>
  <c r="R20" i="2"/>
  <c r="R21" i="2"/>
  <c r="R18" i="2"/>
  <c r="R14" i="2"/>
  <c r="R15" i="2"/>
  <c r="R16" i="2"/>
  <c r="R17" i="2"/>
  <c r="R13" i="2"/>
  <c r="Q13" i="2"/>
  <c r="Q14" i="2"/>
  <c r="Q15" i="2"/>
  <c r="Q16" i="2"/>
  <c r="Q17" i="2"/>
  <c r="Q18" i="2"/>
  <c r="Q19" i="2"/>
  <c r="Q20" i="2"/>
  <c r="Q21" i="2"/>
  <c r="Q22" i="2"/>
  <c r="Q23" i="2"/>
  <c r="Q24" i="2"/>
  <c r="P13" i="2"/>
  <c r="P14" i="2"/>
  <c r="P15" i="2"/>
  <c r="P16" i="2"/>
  <c r="P17" i="2"/>
  <c r="P18" i="2"/>
  <c r="P19" i="2"/>
  <c r="P20" i="2"/>
  <c r="P21" i="2"/>
  <c r="P22" i="2"/>
  <c r="P23" i="2"/>
  <c r="P24" i="2"/>
  <c r="O13" i="2"/>
  <c r="O14" i="2"/>
  <c r="O15" i="2"/>
  <c r="O16" i="2"/>
  <c r="O17" i="2"/>
  <c r="O18" i="2"/>
  <c r="O19" i="2"/>
  <c r="O20" i="2"/>
  <c r="O21" i="2"/>
  <c r="O22" i="2"/>
  <c r="O23" i="2"/>
  <c r="O24" i="2"/>
  <c r="N13" i="2"/>
  <c r="N14" i="2"/>
  <c r="N15" i="2"/>
  <c r="N16" i="2"/>
  <c r="N17" i="2"/>
  <c r="N18" i="2"/>
  <c r="N19" i="2"/>
  <c r="N20" i="2"/>
  <c r="N21" i="2"/>
  <c r="N22" i="2"/>
  <c r="N23" i="2"/>
  <c r="N24" i="2"/>
  <c r="M13" i="2"/>
  <c r="M14" i="2"/>
  <c r="M15" i="2"/>
  <c r="M16" i="2"/>
  <c r="M17" i="2"/>
  <c r="M18" i="2"/>
  <c r="M19" i="2"/>
  <c r="M20" i="2"/>
  <c r="M21" i="2"/>
  <c r="M22" i="2"/>
  <c r="M23" i="2"/>
  <c r="M24" i="2"/>
  <c r="J13" i="2"/>
  <c r="J14" i="2"/>
  <c r="J15" i="2"/>
  <c r="J16" i="2"/>
  <c r="J17" i="2"/>
  <c r="J18" i="2"/>
  <c r="J19" i="2"/>
  <c r="J20" i="2"/>
  <c r="J21" i="2"/>
  <c r="J22" i="2"/>
  <c r="J23" i="2"/>
  <c r="J24" i="2"/>
  <c r="J12" i="2"/>
  <c r="O12" i="2"/>
  <c r="P12" i="2"/>
  <c r="Q12" i="2"/>
  <c r="R12" i="2"/>
  <c r="S12" i="2"/>
  <c r="T12" i="2"/>
  <c r="U12" i="2"/>
  <c r="N12" i="2"/>
  <c r="M12" i="2"/>
  <c r="M101" i="102"/>
  <c r="M102" i="102"/>
  <c r="M100" i="102"/>
  <c r="BJ42" i="116" l="1"/>
  <c r="BK15" i="116"/>
  <c r="BF15" i="116"/>
  <c r="AY26" i="116"/>
  <c r="BE18" i="116"/>
  <c r="AZ18" i="116"/>
  <c r="AY42" i="116"/>
  <c r="BJ15" i="116"/>
  <c r="BK26" i="116"/>
  <c r="AI5" i="104"/>
  <c r="AZ26" i="116"/>
  <c r="BF42" i="116"/>
  <c r="BG15" i="116"/>
  <c r="BJ17" i="116"/>
  <c r="BC17" i="116"/>
  <c r="AY27" i="116"/>
  <c r="AY35" i="116"/>
  <c r="BG41" i="116"/>
  <c r="BG35" i="116"/>
  <c r="BG19" i="116"/>
  <c r="AY17" i="116"/>
  <c r="BH41" i="116"/>
  <c r="BH39" i="116"/>
  <c r="BH35" i="116"/>
  <c r="BH27" i="116"/>
  <c r="BF19" i="116"/>
  <c r="BF17" i="116"/>
  <c r="AY19" i="116"/>
  <c r="BG27" i="116"/>
  <c r="BF41" i="116"/>
  <c r="BF39" i="116"/>
  <c r="BF35" i="116"/>
  <c r="BF27" i="116"/>
  <c r="BH19" i="116"/>
  <c r="BF30" i="116"/>
  <c r="BG37" i="116"/>
  <c r="AY32" i="116"/>
  <c r="AY23" i="116"/>
  <c r="AY31" i="116"/>
  <c r="BK33" i="116"/>
  <c r="BH34" i="116"/>
  <c r="AY21" i="116"/>
  <c r="BF22" i="116"/>
  <c r="AY46" i="116"/>
  <c r="AY14" i="116"/>
  <c r="BF38" i="116"/>
  <c r="AY41" i="116"/>
  <c r="BJ38" i="116"/>
  <c r="BK31" i="116"/>
  <c r="BK32" i="116"/>
  <c r="BJ21" i="116"/>
  <c r="BK27" i="116"/>
  <c r="BJ27" i="116"/>
  <c r="BJ28" i="116"/>
  <c r="BJ19" i="116"/>
  <c r="BK13" i="116"/>
  <c r="BJ14" i="116"/>
  <c r="BF21" i="116"/>
  <c r="BH25" i="116"/>
  <c r="BF31" i="116"/>
  <c r="BH37" i="116"/>
  <c r="BH43" i="116"/>
  <c r="BG14" i="116"/>
  <c r="BF14" i="116"/>
  <c r="BH22" i="116"/>
  <c r="BH24" i="116"/>
  <c r="BH28" i="116"/>
  <c r="BH30" i="116"/>
  <c r="BH32" i="116"/>
  <c r="BF36" i="116"/>
  <c r="BG39" i="116"/>
  <c r="BG43" i="116"/>
  <c r="BK43" i="116"/>
  <c r="AY43" i="116"/>
  <c r="AY29" i="116"/>
  <c r="BH12" i="116"/>
  <c r="AY40" i="116"/>
  <c r="AY36" i="116"/>
  <c r="AY30" i="116"/>
  <c r="AY22" i="116"/>
  <c r="BJ44" i="116"/>
  <c r="BK39" i="116"/>
  <c r="BK34" i="116"/>
  <c r="BK47" i="116"/>
  <c r="BJ32" i="116"/>
  <c r="BJ22" i="116"/>
  <c r="BK44" i="116"/>
  <c r="BJ35" i="116"/>
  <c r="BJ36" i="116"/>
  <c r="BK19" i="116"/>
  <c r="BK14" i="116"/>
  <c r="BJ16" i="116"/>
  <c r="BG20" i="116"/>
  <c r="BG22" i="116"/>
  <c r="BG24" i="116"/>
  <c r="BG30" i="116"/>
  <c r="BG32" i="116"/>
  <c r="BF37" i="116"/>
  <c r="BG12" i="116"/>
  <c r="BF24" i="116"/>
  <c r="BF32" i="116"/>
  <c r="BF25" i="116"/>
  <c r="BH29" i="116"/>
  <c r="AY28" i="116"/>
  <c r="AY20" i="116"/>
  <c r="AY24" i="116"/>
  <c r="AY44" i="116"/>
  <c r="BF43" i="116"/>
  <c r="BH40" i="116"/>
  <c r="BH36" i="116"/>
  <c r="AY12" i="116"/>
  <c r="AY39" i="116"/>
  <c r="BJ25" i="116"/>
  <c r="BJ43" i="116"/>
  <c r="BK22" i="116"/>
  <c r="BK35" i="116"/>
  <c r="BK30" i="116"/>
  <c r="BK46" i="116"/>
  <c r="BK28" i="116"/>
  <c r="BK12" i="116"/>
  <c r="BK16" i="116"/>
  <c r="BF23" i="116"/>
  <c r="BF29" i="116"/>
  <c r="BG34" i="116"/>
  <c r="BG38" i="116"/>
  <c r="BG46" i="116"/>
  <c r="BF20" i="116"/>
  <c r="BG23" i="116"/>
  <c r="BG25" i="116"/>
  <c r="BG29" i="116"/>
  <c r="BG31" i="116"/>
  <c r="BF34" i="116"/>
  <c r="BH38" i="116"/>
  <c r="BF40" i="116"/>
  <c r="BF46" i="116"/>
  <c r="AY37" i="116"/>
  <c r="AY25" i="116"/>
  <c r="AY38" i="116"/>
  <c r="AY34" i="116"/>
  <c r="BK25" i="116"/>
  <c r="BJ30" i="116"/>
  <c r="BJ39" i="116"/>
  <c r="BJ31" i="116"/>
  <c r="BK23" i="116"/>
  <c r="BJ47" i="116"/>
  <c r="BK38" i="116"/>
  <c r="BJ23" i="116"/>
  <c r="BK36" i="116"/>
  <c r="BJ46" i="116"/>
  <c r="BJ12" i="116"/>
  <c r="BK17" i="116"/>
  <c r="BJ34" i="116"/>
  <c r="BH14" i="116"/>
  <c r="BH21" i="116"/>
  <c r="BH23" i="116"/>
  <c r="BG28" i="116"/>
  <c r="BH31" i="116"/>
  <c r="BG36" i="116"/>
  <c r="BG40" i="116"/>
  <c r="BK21" i="116"/>
  <c r="BG21" i="116"/>
  <c r="BF28" i="116"/>
  <c r="BH46" i="116"/>
  <c r="BF12" i="116"/>
  <c r="AZ14" i="116"/>
  <c r="BA24" i="116"/>
  <c r="BA30" i="116"/>
  <c r="BA36" i="116"/>
  <c r="AZ38" i="116"/>
  <c r="BA44" i="116"/>
  <c r="AZ46" i="116"/>
  <c r="BA19" i="116"/>
  <c r="BA27" i="116"/>
  <c r="AZ29" i="116"/>
  <c r="BA31" i="116"/>
  <c r="BA37" i="116"/>
  <c r="AZ39" i="116"/>
  <c r="AZ41" i="116"/>
  <c r="BA23" i="116"/>
  <c r="BA29" i="116"/>
  <c r="BA39" i="116"/>
  <c r="BA22" i="116"/>
  <c r="AZ24" i="116"/>
  <c r="AZ30" i="116"/>
  <c r="AZ32" i="116"/>
  <c r="BA38" i="116"/>
  <c r="AZ40" i="116"/>
  <c r="AZ42" i="116"/>
  <c r="BA12" i="116"/>
  <c r="BA20" i="116"/>
  <c r="AZ22" i="116"/>
  <c r="BA28" i="116"/>
  <c r="BA32" i="116"/>
  <c r="AZ34" i="116"/>
  <c r="BA40" i="116"/>
  <c r="BE42" i="116"/>
  <c r="BE15" i="116"/>
  <c r="BE17" i="116"/>
  <c r="BA21" i="116"/>
  <c r="AZ23" i="116"/>
  <c r="AZ25" i="116"/>
  <c r="BA35" i="116"/>
  <c r="BA43" i="116"/>
  <c r="AZ15" i="116"/>
  <c r="AZ17" i="116"/>
  <c r="AZ19" i="116"/>
  <c r="AZ21" i="116"/>
  <c r="BA25" i="116"/>
  <c r="AZ27" i="116"/>
  <c r="AZ31" i="116"/>
  <c r="AZ35" i="116"/>
  <c r="AZ37" i="116"/>
  <c r="BA41" i="116"/>
  <c r="AZ43" i="116"/>
  <c r="AZ12" i="116"/>
  <c r="BA14" i="116"/>
  <c r="AZ20" i="116"/>
  <c r="BE26" i="116"/>
  <c r="AZ28" i="116"/>
  <c r="BA34" i="116"/>
  <c r="AZ36" i="116"/>
  <c r="AZ44" i="116"/>
  <c r="BA46" i="116"/>
  <c r="AY15" i="116"/>
  <c r="BH15" i="116"/>
  <c r="BE45" i="116"/>
  <c r="BJ26" i="116"/>
  <c r="BG26" i="116"/>
  <c r="BF26" i="116"/>
  <c r="AZ45" i="116"/>
  <c r="BG45" i="116"/>
  <c r="BF45" i="116"/>
  <c r="BF18" i="116"/>
  <c r="BH45" i="116"/>
  <c r="AY45" i="116"/>
  <c r="BJ18" i="116"/>
  <c r="AY18" i="116"/>
  <c r="E10" i="111"/>
  <c r="D10" i="111"/>
  <c r="L9" i="111"/>
  <c r="M9" i="111"/>
  <c r="G11" i="106"/>
  <c r="H11" i="106"/>
  <c r="H12" i="106"/>
  <c r="L13" i="104"/>
  <c r="L15" i="104"/>
  <c r="L17" i="104"/>
  <c r="L19" i="104"/>
  <c r="L21" i="104"/>
  <c r="L23" i="104"/>
  <c r="L25" i="104"/>
  <c r="AH5" i="104"/>
  <c r="AZ7" i="104" a="1"/>
  <c r="AZ7" i="104" s="1"/>
  <c r="E11" i="106" s="1"/>
  <c r="AZ6" i="104"/>
  <c r="D11" i="106" s="1"/>
  <c r="BA5" i="104"/>
  <c r="B12" i="106" s="1"/>
  <c r="F12" i="106" s="1"/>
  <c r="BA6" i="104"/>
  <c r="D12" i="106" s="1"/>
  <c r="AJ5" i="104"/>
  <c r="AZ5" i="104"/>
  <c r="B11" i="106" s="1"/>
  <c r="F11" i="106" s="1"/>
  <c r="BA7" i="104" a="1"/>
  <c r="BA7" i="104" s="1"/>
  <c r="E12" i="106" s="1"/>
  <c r="AW13" i="104"/>
  <c r="AW15" i="104"/>
  <c r="AW17" i="104"/>
  <c r="AW19" i="104"/>
  <c r="AW21" i="104"/>
  <c r="AW23" i="104"/>
  <c r="AW25" i="104"/>
  <c r="AU23" i="2"/>
  <c r="AV23" i="2"/>
  <c r="AU21" i="2"/>
  <c r="AV21" i="2"/>
  <c r="AU19" i="2"/>
  <c r="AV19" i="2"/>
  <c r="AU17" i="2"/>
  <c r="AV17" i="2"/>
  <c r="AU15" i="2"/>
  <c r="AV15" i="2"/>
  <c r="AU13" i="2"/>
  <c r="AV13" i="2"/>
  <c r="AV24" i="2"/>
  <c r="AU24" i="2"/>
  <c r="AV22" i="2"/>
  <c r="AU22" i="2"/>
  <c r="AV20" i="2"/>
  <c r="AU20" i="2"/>
  <c r="AV18" i="2"/>
  <c r="AU18" i="2"/>
  <c r="AV16" i="2"/>
  <c r="AU16" i="2"/>
  <c r="AU14" i="2"/>
  <c r="AV14" i="2"/>
  <c r="G11" i="105"/>
  <c r="H11" i="105"/>
  <c r="G12" i="105"/>
  <c r="H12" i="105"/>
  <c r="O12" i="106"/>
  <c r="O10" i="106" s="1"/>
  <c r="H9" i="106"/>
  <c r="G9" i="106"/>
  <c r="H10" i="106"/>
  <c r="G10" i="106"/>
  <c r="O12" i="105"/>
  <c r="O10" i="105" s="1"/>
  <c r="H9" i="105"/>
  <c r="G9" i="105"/>
  <c r="H10" i="105"/>
  <c r="G10" i="105"/>
  <c r="AW12" i="104"/>
  <c r="AX13" i="104"/>
  <c r="AW14" i="104"/>
  <c r="AX15" i="104"/>
  <c r="AW16" i="104"/>
  <c r="AX17" i="104"/>
  <c r="AW18" i="104"/>
  <c r="AX19" i="104"/>
  <c r="AW20" i="104"/>
  <c r="AX21" i="104"/>
  <c r="AW22" i="104"/>
  <c r="AX23" i="104"/>
  <c r="AW24" i="104"/>
  <c r="AX25" i="104"/>
  <c r="AW26" i="104"/>
  <c r="AY7" i="104"/>
  <c r="E9" i="106" s="1"/>
  <c r="AY6" i="104"/>
  <c r="D9" i="106" s="1"/>
  <c r="AH12" i="104"/>
  <c r="AJ12" i="104"/>
  <c r="AV12" i="104"/>
  <c r="AX12" i="104"/>
  <c r="AG13" i="104"/>
  <c r="AI13" i="104"/>
  <c r="AU13" i="104"/>
  <c r="AH14" i="104"/>
  <c r="AJ14" i="104"/>
  <c r="AV14" i="104"/>
  <c r="AX14" i="104"/>
  <c r="AG15" i="104"/>
  <c r="AI15" i="104"/>
  <c r="AU15" i="104"/>
  <c r="AH16" i="104"/>
  <c r="AJ16" i="104"/>
  <c r="AV16" i="104"/>
  <c r="AX16" i="104"/>
  <c r="AG17" i="104"/>
  <c r="AI17" i="104"/>
  <c r="AU17" i="104"/>
  <c r="AH18" i="104"/>
  <c r="AJ18" i="104"/>
  <c r="AV18" i="104"/>
  <c r="AX18" i="104"/>
  <c r="AG19" i="104"/>
  <c r="AI19" i="104"/>
  <c r="AU19" i="104"/>
  <c r="AH20" i="104"/>
  <c r="AJ20" i="104"/>
  <c r="AV20" i="104"/>
  <c r="AX20" i="104"/>
  <c r="AG21" i="104"/>
  <c r="AI21" i="104"/>
  <c r="AU21" i="104"/>
  <c r="AH22" i="104"/>
  <c r="AJ22" i="104"/>
  <c r="AV22" i="104"/>
  <c r="AX22" i="104"/>
  <c r="AG23" i="104"/>
  <c r="AI23" i="104"/>
  <c r="AU23" i="104"/>
  <c r="AH24" i="104"/>
  <c r="AJ24" i="104"/>
  <c r="AV24" i="104"/>
  <c r="AX24" i="104"/>
  <c r="AG25" i="104"/>
  <c r="AI25" i="104"/>
  <c r="AU25" i="104"/>
  <c r="AH26" i="104"/>
  <c r="AJ26" i="104"/>
  <c r="AV26" i="104"/>
  <c r="AX26" i="104"/>
  <c r="L12" i="104"/>
  <c r="AG12" i="104"/>
  <c r="AI12" i="104"/>
  <c r="AU12" i="104"/>
  <c r="AH13" i="104"/>
  <c r="AJ13" i="104"/>
  <c r="AV13" i="104"/>
  <c r="L14" i="104"/>
  <c r="AG14" i="104"/>
  <c r="AI14" i="104"/>
  <c r="AU14" i="104"/>
  <c r="AH15" i="104"/>
  <c r="AJ15" i="104"/>
  <c r="AV15" i="104"/>
  <c r="L16" i="104"/>
  <c r="AG16" i="104"/>
  <c r="AI16" i="104"/>
  <c r="AU16" i="104"/>
  <c r="AH17" i="104"/>
  <c r="AJ17" i="104"/>
  <c r="AV17" i="104"/>
  <c r="L18" i="104"/>
  <c r="AG18" i="104"/>
  <c r="AI18" i="104"/>
  <c r="AU18" i="104"/>
  <c r="AH19" i="104"/>
  <c r="AJ19" i="104"/>
  <c r="AV19" i="104"/>
  <c r="L20" i="104"/>
  <c r="AG20" i="104"/>
  <c r="AI20" i="104"/>
  <c r="AU20" i="104"/>
  <c r="AH21" i="104"/>
  <c r="AJ21" i="104"/>
  <c r="AV21" i="104"/>
  <c r="L22" i="104"/>
  <c r="AG22" i="104"/>
  <c r="AI22" i="104"/>
  <c r="AU22" i="104"/>
  <c r="AH23" i="104"/>
  <c r="AJ23" i="104"/>
  <c r="AV23" i="104"/>
  <c r="L24" i="104"/>
  <c r="AG24" i="104"/>
  <c r="AI24" i="104"/>
  <c r="AU24" i="104"/>
  <c r="AH25" i="104"/>
  <c r="AJ25" i="104"/>
  <c r="AV25" i="104"/>
  <c r="L26" i="104"/>
  <c r="AG26" i="104"/>
  <c r="AI26" i="104"/>
  <c r="AU26" i="104"/>
  <c r="AZ5" i="2"/>
  <c r="BI26" i="104" l="1"/>
  <c r="BI18" i="104"/>
  <c r="BI23" i="104"/>
  <c r="BI15" i="104"/>
  <c r="BI24" i="104"/>
  <c r="BI16" i="104"/>
  <c r="BI21" i="104"/>
  <c r="BI13" i="104"/>
  <c r="L11" i="106"/>
  <c r="AI6" i="116" a="1"/>
  <c r="AI6" i="116" s="1"/>
  <c r="AZ51" i="116"/>
  <c r="AZ52" i="116"/>
  <c r="AZ5" i="116"/>
  <c r="AZ53" i="116"/>
  <c r="AZ58" i="116" s="1"/>
  <c r="AZ54" i="116"/>
  <c r="AZ6" i="116"/>
  <c r="AZ7" i="116"/>
  <c r="AI7" i="116" a="1"/>
  <c r="AI7" i="116" s="1"/>
  <c r="AJ7" i="116" a="1"/>
  <c r="AJ7" i="116" s="1"/>
  <c r="AJ6" i="116" a="1"/>
  <c r="AJ6" i="116" s="1"/>
  <c r="AY53" i="116"/>
  <c r="AY6" i="116"/>
  <c r="AY7" i="116"/>
  <c r="AY5" i="116"/>
  <c r="AY52" i="116"/>
  <c r="AY54" i="116"/>
  <c r="AY58" i="116" s="1"/>
  <c r="AH7" i="116" a="1"/>
  <c r="AH7" i="116" s="1"/>
  <c r="AY51" i="116"/>
  <c r="AH6" i="116"/>
  <c r="BE53" i="116"/>
  <c r="BE51" i="116"/>
  <c r="BA7" i="116"/>
  <c r="BA6" i="116"/>
  <c r="BE52" i="116"/>
  <c r="BE57" i="116" s="1"/>
  <c r="BE54" i="116"/>
  <c r="BA5" i="116"/>
  <c r="BB7" i="116" a="1"/>
  <c r="BB7" i="116" s="1"/>
  <c r="AK6" i="116" a="1"/>
  <c r="AK6" i="116" s="1"/>
  <c r="BB6" i="116"/>
  <c r="BJ53" i="116"/>
  <c r="BJ58" i="116" s="1"/>
  <c r="BJ54" i="116"/>
  <c r="BB5" i="116"/>
  <c r="BJ51" i="116"/>
  <c r="BJ56" i="116" s="1"/>
  <c r="BJ52" i="116"/>
  <c r="BJ57" i="116" s="1"/>
  <c r="AK7" i="116" a="1"/>
  <c r="AK7" i="116" s="1"/>
  <c r="L10" i="111"/>
  <c r="M10" i="111"/>
  <c r="M11" i="106"/>
  <c r="BI20" i="104"/>
  <c r="BI12" i="104"/>
  <c r="BI25" i="104"/>
  <c r="BI17" i="104"/>
  <c r="BI22" i="104"/>
  <c r="BI14" i="104"/>
  <c r="BI19" i="104"/>
  <c r="L12" i="106"/>
  <c r="M12" i="106"/>
  <c r="L9" i="106"/>
  <c r="M9" i="106"/>
  <c r="AI7" i="104" a="1"/>
  <c r="AI7" i="104" s="1"/>
  <c r="AH6" i="104"/>
  <c r="AJ7" i="104" a="1"/>
  <c r="AJ7" i="104" s="1"/>
  <c r="AH7" i="104" a="1"/>
  <c r="AH7" i="104" s="1"/>
  <c r="AJ6" i="104" a="1"/>
  <c r="AJ6" i="104" s="1"/>
  <c r="BB5" i="104"/>
  <c r="B10" i="106" s="1"/>
  <c r="F10" i="106" s="1"/>
  <c r="AK5" i="104"/>
  <c r="AY56" i="116" l="1"/>
  <c r="AZ57" i="116"/>
  <c r="BE58" i="116"/>
  <c r="BE56" i="116"/>
  <c r="AY57" i="116"/>
  <c r="AZ56" i="116"/>
  <c r="BB6" i="104"/>
  <c r="D10" i="106" s="1"/>
  <c r="AK6" i="104" a="1"/>
  <c r="AK6" i="104" s="1"/>
  <c r="BB7" i="104" a="1"/>
  <c r="BB7" i="104" s="1"/>
  <c r="E10" i="106" s="1"/>
  <c r="AK7" i="104" a="1"/>
  <c r="AK7" i="104" s="1"/>
  <c r="L10" i="106" l="1"/>
  <c r="M10" i="106"/>
  <c r="BH12" i="2"/>
  <c r="W13" i="2"/>
  <c r="AY13" i="2" s="1"/>
  <c r="W14" i="2"/>
  <c r="AY14" i="2" s="1"/>
  <c r="W15" i="2"/>
  <c r="AY15" i="2" s="1"/>
  <c r="W16" i="2"/>
  <c r="AY16" i="2" s="1"/>
  <c r="W17" i="2"/>
  <c r="AY17" i="2" s="1"/>
  <c r="W18" i="2"/>
  <c r="AY18" i="2" s="1"/>
  <c r="W19" i="2"/>
  <c r="AY19" i="2" s="1"/>
  <c r="W20" i="2"/>
  <c r="AY20" i="2" s="1"/>
  <c r="W21" i="2"/>
  <c r="AY21" i="2" s="1"/>
  <c r="W22" i="2"/>
  <c r="AY22" i="2" s="1"/>
  <c r="W23" i="2"/>
  <c r="AY23" i="2" s="1"/>
  <c r="W24" i="2"/>
  <c r="AY24" i="2" s="1"/>
  <c r="W12" i="2"/>
  <c r="M6" i="102"/>
  <c r="M9" i="102"/>
  <c r="M10" i="102"/>
  <c r="M11" i="102"/>
  <c r="M12" i="102"/>
  <c r="M13" i="102"/>
  <c r="M14" i="102"/>
  <c r="M15" i="102"/>
  <c r="M16" i="102"/>
  <c r="M17" i="102"/>
  <c r="M18" i="102"/>
  <c r="M19" i="102"/>
  <c r="M20" i="102"/>
  <c r="M21" i="102"/>
  <c r="M22" i="102"/>
  <c r="M23" i="102"/>
  <c r="M26" i="102"/>
  <c r="M27" i="102"/>
  <c r="M28" i="102"/>
  <c r="M29" i="102"/>
  <c r="M30" i="102"/>
  <c r="M31" i="102"/>
  <c r="M32" i="102"/>
  <c r="M33" i="102"/>
  <c r="M34" i="102"/>
  <c r="M35" i="102"/>
  <c r="M36" i="102"/>
  <c r="M37" i="102"/>
  <c r="M38" i="102"/>
  <c r="M39" i="102"/>
  <c r="M42" i="102"/>
  <c r="M43" i="102"/>
  <c r="M44" i="102"/>
  <c r="M45" i="102"/>
  <c r="M46" i="102"/>
  <c r="M47" i="102"/>
  <c r="M48" i="102"/>
  <c r="M49" i="102"/>
  <c r="M50" i="102"/>
  <c r="M51" i="102"/>
  <c r="M52" i="102"/>
  <c r="M53" i="102"/>
  <c r="M54" i="102"/>
  <c r="M55" i="102"/>
  <c r="M58" i="102"/>
  <c r="M59" i="102"/>
  <c r="M60" i="102"/>
  <c r="M61" i="102"/>
  <c r="M62" i="102"/>
  <c r="M63" i="102"/>
  <c r="M64" i="102"/>
  <c r="M65" i="102"/>
  <c r="M66" i="102"/>
  <c r="M67" i="102"/>
  <c r="M68" i="102"/>
  <c r="M69" i="102"/>
  <c r="M72" i="102"/>
  <c r="M73" i="102"/>
  <c r="M74" i="102"/>
  <c r="M75" i="102"/>
  <c r="M76" i="102"/>
  <c r="M77" i="102"/>
  <c r="M78" i="102"/>
  <c r="M79" i="102"/>
  <c r="M82" i="102"/>
  <c r="M83" i="102"/>
  <c r="M84" i="102"/>
  <c r="M85" i="102"/>
  <c r="M86" i="102"/>
  <c r="M87" i="102"/>
  <c r="M88" i="102"/>
  <c r="M89" i="102"/>
  <c r="M90" i="102"/>
  <c r="M93" i="102"/>
  <c r="M94" i="102"/>
  <c r="M95" i="102"/>
  <c r="M96" i="102"/>
  <c r="M97" i="102"/>
  <c r="M3" i="102"/>
  <c r="V12" i="121" l="1"/>
  <c r="V13" i="121"/>
  <c r="V32" i="121"/>
  <c r="V30" i="121"/>
  <c r="V28" i="121"/>
  <c r="V26" i="121"/>
  <c r="V24" i="121"/>
  <c r="V22" i="121"/>
  <c r="V20" i="121"/>
  <c r="V18" i="121"/>
  <c r="V16" i="121"/>
  <c r="V14" i="121"/>
  <c r="V29" i="121"/>
  <c r="V27" i="121"/>
  <c r="V25" i="121"/>
  <c r="V23" i="121"/>
  <c r="V33" i="121"/>
  <c r="V31" i="121"/>
  <c r="V21" i="121"/>
  <c r="V19" i="121"/>
  <c r="V17" i="121"/>
  <c r="V15" i="121"/>
  <c r="V34" i="108"/>
  <c r="V33" i="108"/>
  <c r="V32" i="108"/>
  <c r="V29" i="108"/>
  <c r="V28" i="108"/>
  <c r="V27" i="108"/>
  <c r="V25" i="108"/>
  <c r="V24" i="108"/>
  <c r="V23" i="108"/>
  <c r="V22" i="108"/>
  <c r="V21" i="108"/>
  <c r="V20" i="108"/>
  <c r="V19" i="108"/>
  <c r="V17" i="108"/>
  <c r="V16" i="108"/>
  <c r="V15" i="108"/>
  <c r="V14" i="108"/>
  <c r="V13" i="108"/>
  <c r="V12" i="108"/>
  <c r="V36" i="108"/>
  <c r="V35" i="108"/>
  <c r="V31" i="108"/>
  <c r="V30" i="108"/>
  <c r="V26" i="108"/>
  <c r="V18" i="108"/>
  <c r="V27" i="104"/>
  <c r="V29" i="104"/>
  <c r="V31" i="104"/>
  <c r="V33" i="104"/>
  <c r="V35" i="104"/>
  <c r="V28" i="104"/>
  <c r="V30" i="104"/>
  <c r="V32" i="104"/>
  <c r="V34" i="104"/>
  <c r="V36" i="104"/>
  <c r="V26" i="104"/>
  <c r="V24" i="104"/>
  <c r="V23" i="104"/>
  <c r="V22" i="104"/>
  <c r="V21" i="104"/>
  <c r="V20" i="104"/>
  <c r="V19" i="104"/>
  <c r="V18" i="104"/>
  <c r="V25" i="104"/>
  <c r="V13" i="104"/>
  <c r="V12" i="104"/>
  <c r="V14" i="104"/>
  <c r="V17" i="104"/>
  <c r="V16" i="104"/>
  <c r="V15" i="104"/>
  <c r="BA5" i="2"/>
  <c r="AW23" i="2"/>
  <c r="AX23" i="2"/>
  <c r="AJ23" i="2"/>
  <c r="BL23" i="2" s="1"/>
  <c r="AI23" i="2"/>
  <c r="BK23" i="2" s="1"/>
  <c r="AH23" i="2"/>
  <c r="BJ23" i="2" s="1"/>
  <c r="AG23" i="2"/>
  <c r="BI23" i="2" s="1"/>
  <c r="AX21" i="2"/>
  <c r="AJ21" i="2"/>
  <c r="BL21" i="2" s="1"/>
  <c r="AW21" i="2"/>
  <c r="AI21" i="2"/>
  <c r="BK21" i="2" s="1"/>
  <c r="AH21" i="2"/>
  <c r="BJ21" i="2" s="1"/>
  <c r="AG21" i="2"/>
  <c r="BI21" i="2" s="1"/>
  <c r="AW19" i="2"/>
  <c r="AX19" i="2"/>
  <c r="AJ19" i="2"/>
  <c r="BL19" i="2" s="1"/>
  <c r="AI19" i="2"/>
  <c r="BK19" i="2" s="1"/>
  <c r="AH19" i="2"/>
  <c r="BJ19" i="2" s="1"/>
  <c r="AG19" i="2"/>
  <c r="BI19" i="2" s="1"/>
  <c r="AX17" i="2"/>
  <c r="AJ17" i="2"/>
  <c r="BL17" i="2" s="1"/>
  <c r="AW17" i="2"/>
  <c r="AI17" i="2"/>
  <c r="BK17" i="2" s="1"/>
  <c r="AH17" i="2"/>
  <c r="BJ17" i="2" s="1"/>
  <c r="AG17" i="2"/>
  <c r="BI17" i="2" s="1"/>
  <c r="AW15" i="2"/>
  <c r="AX15" i="2"/>
  <c r="AJ15" i="2"/>
  <c r="BL15" i="2" s="1"/>
  <c r="AI15" i="2"/>
  <c r="BK15" i="2" s="1"/>
  <c r="AH15" i="2"/>
  <c r="BJ15" i="2" s="1"/>
  <c r="AG15" i="2"/>
  <c r="BI15" i="2" s="1"/>
  <c r="AX12" i="2"/>
  <c r="AV12" i="2"/>
  <c r="AW12" i="2"/>
  <c r="AU12" i="2"/>
  <c r="AJ12" i="2"/>
  <c r="AI12" i="2"/>
  <c r="AH12" i="2"/>
  <c r="AW24" i="2"/>
  <c r="AX24" i="2"/>
  <c r="AJ24" i="2"/>
  <c r="BL24" i="2" s="1"/>
  <c r="AI24" i="2"/>
  <c r="BK24" i="2" s="1"/>
  <c r="AH24" i="2"/>
  <c r="BJ24" i="2" s="1"/>
  <c r="AG24" i="2"/>
  <c r="BI24" i="2" s="1"/>
  <c r="AW22" i="2"/>
  <c r="AX22" i="2"/>
  <c r="AJ22" i="2"/>
  <c r="BL22" i="2" s="1"/>
  <c r="AI22" i="2"/>
  <c r="BK22" i="2" s="1"/>
  <c r="AH22" i="2"/>
  <c r="BJ22" i="2" s="1"/>
  <c r="AG22" i="2"/>
  <c r="BI22" i="2" s="1"/>
  <c r="AW20" i="2"/>
  <c r="AX20" i="2"/>
  <c r="AJ20" i="2"/>
  <c r="BL20" i="2" s="1"/>
  <c r="AI20" i="2"/>
  <c r="BK20" i="2" s="1"/>
  <c r="AH20" i="2"/>
  <c r="BJ20" i="2" s="1"/>
  <c r="AG20" i="2"/>
  <c r="BI20" i="2" s="1"/>
  <c r="AW18" i="2"/>
  <c r="AX18" i="2"/>
  <c r="AJ18" i="2"/>
  <c r="BL18" i="2" s="1"/>
  <c r="AI18" i="2"/>
  <c r="BK18" i="2" s="1"/>
  <c r="AH18" i="2"/>
  <c r="BJ18" i="2" s="1"/>
  <c r="AG18" i="2"/>
  <c r="BI18" i="2" s="1"/>
  <c r="AW16" i="2"/>
  <c r="AX16" i="2"/>
  <c r="AJ16" i="2"/>
  <c r="BL16" i="2" s="1"/>
  <c r="AI16" i="2"/>
  <c r="BK16" i="2" s="1"/>
  <c r="AH16" i="2"/>
  <c r="BJ16" i="2" s="1"/>
  <c r="AG16" i="2"/>
  <c r="BI16" i="2" s="1"/>
  <c r="AW14" i="2"/>
  <c r="AX14" i="2"/>
  <c r="AJ14" i="2"/>
  <c r="BL14" i="2" s="1"/>
  <c r="AI14" i="2"/>
  <c r="BK14" i="2" s="1"/>
  <c r="AH14" i="2"/>
  <c r="BJ14" i="2" s="1"/>
  <c r="AG14" i="2"/>
  <c r="BI14" i="2" s="1"/>
  <c r="AW13" i="2"/>
  <c r="AX13" i="2"/>
  <c r="AJ13" i="2"/>
  <c r="BL13" i="2" s="1"/>
  <c r="AI13" i="2"/>
  <c r="BK13" i="2" s="1"/>
  <c r="AH13" i="2"/>
  <c r="BJ13" i="2" s="1"/>
  <c r="AG13" i="2"/>
  <c r="BI13" i="2" s="1"/>
  <c r="AG12" i="2"/>
  <c r="L13" i="2"/>
  <c r="L14" i="2"/>
  <c r="L15" i="2"/>
  <c r="L16" i="2"/>
  <c r="L17" i="2"/>
  <c r="L18" i="2"/>
  <c r="L19" i="2"/>
  <c r="L20" i="2"/>
  <c r="L21" i="2"/>
  <c r="L22" i="2"/>
  <c r="L23" i="2"/>
  <c r="L24" i="2"/>
  <c r="AY5" i="2" l="1"/>
  <c r="BB5" i="2"/>
  <c r="BJ12" i="2" l="1"/>
  <c r="BF12" i="2"/>
  <c r="BG12" i="2"/>
  <c r="BL12" i="2"/>
  <c r="BK12" i="2"/>
  <c r="L12" i="2"/>
  <c r="C5" i="107" l="1"/>
  <c r="AJ5" i="2" a="1"/>
  <c r="AJ5" i="2" s="1"/>
  <c r="B12" i="105" s="1"/>
  <c r="F12" i="105" s="1"/>
  <c r="AH5" i="2"/>
  <c r="B9" i="105" s="1"/>
  <c r="F9" i="105" s="1"/>
  <c r="AK5" i="2" a="1"/>
  <c r="AK5" i="2" s="1"/>
  <c r="B10" i="105" s="1"/>
  <c r="F10" i="105" s="1"/>
  <c r="AI5" i="2" a="1"/>
  <c r="AI5" i="2" s="1"/>
  <c r="AY12" i="2"/>
  <c r="D5" i="107" s="1"/>
  <c r="BI12" i="2"/>
  <c r="AK7" i="2" s="1" a="1"/>
  <c r="AK7" i="2" s="1"/>
  <c r="E10" i="105" s="1"/>
  <c r="AH7" i="2" l="1" a="1"/>
  <c r="AH7" i="2" s="1"/>
  <c r="AK6" i="2" a="1"/>
  <c r="AK6" i="2" s="1"/>
  <c r="E5" i="107" a="1"/>
  <c r="E5" i="107" s="1"/>
  <c r="F5" i="107" s="1"/>
  <c r="G5" i="107"/>
  <c r="B11" i="105"/>
  <c r="F11" i="105" s="1"/>
  <c r="AH6" i="2"/>
  <c r="D9" i="105" s="1"/>
  <c r="BB7" i="2" a="1"/>
  <c r="BB7" i="2" s="1"/>
  <c r="BB6" i="2"/>
  <c r="AY7" i="2"/>
  <c r="AY6" i="2"/>
  <c r="D10" i="105" l="1"/>
  <c r="L10" i="105" s="1"/>
  <c r="E9" i="105"/>
  <c r="M9" i="105" s="1"/>
  <c r="M10" i="105"/>
  <c r="AZ12" i="2"/>
  <c r="BA12" i="2"/>
  <c r="BB12" i="2"/>
  <c r="BC12" i="2"/>
  <c r="BD12" i="2"/>
  <c r="BE12" i="2"/>
  <c r="AJ6" i="2" l="1" a="1"/>
  <c r="AJ6" i="2" s="1"/>
  <c r="L9" i="105"/>
  <c r="N5" i="107" a="1"/>
  <c r="N5" i="107" s="1"/>
  <c r="L5" i="107" a="1"/>
  <c r="L5" i="107" s="1"/>
  <c r="K5" i="107" a="1"/>
  <c r="K5" i="107" s="1"/>
  <c r="M5" i="107" a="1"/>
  <c r="M5" i="107" s="1"/>
  <c r="AZ7" i="2" a="1"/>
  <c r="AZ7" i="2" s="1"/>
  <c r="AJ7" i="2" a="1"/>
  <c r="AJ7" i="2" s="1"/>
  <c r="E12" i="105" s="1"/>
  <c r="AI7" i="2" a="1"/>
  <c r="AI7" i="2" s="1"/>
  <c r="E11" i="105" s="1"/>
  <c r="BA6" i="2"/>
  <c r="AZ6" i="2"/>
  <c r="BA7" i="2" a="1"/>
  <c r="BA7" i="2" s="1"/>
  <c r="J9" i="1"/>
  <c r="K9" i="1" s="1"/>
  <c r="G9" i="1" s="1"/>
  <c r="J10" i="1"/>
  <c r="K10" i="1" s="1"/>
  <c r="J11" i="1"/>
  <c r="K11" i="1" s="1"/>
  <c r="H11" i="1" s="1"/>
  <c r="J12" i="1"/>
  <c r="K12" i="1" s="1"/>
  <c r="H12" i="1" s="1"/>
  <c r="H7" i="1"/>
  <c r="L12" i="105" l="1"/>
  <c r="M12" i="105"/>
  <c r="L11" i="105"/>
  <c r="M11" i="105"/>
  <c r="D12" i="1"/>
  <c r="E11" i="1"/>
  <c r="E12" i="1"/>
  <c r="E9" i="1"/>
  <c r="G11" i="1"/>
  <c r="H10" i="1"/>
  <c r="G10" i="1"/>
  <c r="G12" i="1"/>
  <c r="H9" i="1"/>
  <c r="O12" i="1"/>
  <c r="O10" i="1" s="1"/>
  <c r="B9" i="1" l="1"/>
  <c r="F9" i="1" s="1"/>
  <c r="B10" i="1"/>
  <c r="F10" i="1" s="1"/>
  <c r="E10" i="1"/>
  <c r="D11" i="1"/>
  <c r="D9" i="1"/>
  <c r="D10" i="1"/>
  <c r="B11" i="1"/>
  <c r="F11" i="1" s="1"/>
  <c r="B12" i="1"/>
  <c r="F12" i="1" s="1"/>
  <c r="L9" i="1" l="1"/>
  <c r="M12" i="1"/>
  <c r="L11" i="1"/>
  <c r="L12" i="1"/>
  <c r="M11" i="1"/>
  <c r="M10" i="1"/>
  <c r="M9" i="1"/>
  <c r="L10" i="1"/>
</calcChain>
</file>

<file path=xl/comments1.xml><?xml version="1.0" encoding="utf-8"?>
<comments xmlns="http://schemas.openxmlformats.org/spreadsheetml/2006/main">
  <authors>
    <author>Aleš</author>
  </authors>
  <commentList>
    <comment ref="D4" authorId="0" shapeId="0">
      <text>
        <r>
          <rPr>
            <b/>
            <sz val="8"/>
            <color indexed="81"/>
            <rFont val="Tahoma"/>
            <family val="2"/>
            <charset val="238"/>
          </rPr>
          <t>Input Structure's name and ID.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  <charset val="238"/>
          </rPr>
          <t>Direction of driving</t>
        </r>
      </text>
    </comment>
    <comment ref="D6" authorId="0" shapeId="0">
      <text>
        <r>
          <rPr>
            <b/>
            <sz val="8"/>
            <color indexed="81"/>
            <rFont val="Tahoma"/>
            <family val="2"/>
            <charset val="238"/>
          </rPr>
          <t>Input first date of calibration</t>
        </r>
      </text>
    </comment>
  </commentList>
</comments>
</file>

<file path=xl/comments2.xml><?xml version="1.0" encoding="utf-8"?>
<comments xmlns="http://schemas.openxmlformats.org/spreadsheetml/2006/main">
  <authors>
    <author>Aleš</author>
  </authors>
  <commentList>
    <comment ref="D4" authorId="0" shapeId="0">
      <text>
        <r>
          <rPr>
            <b/>
            <sz val="8"/>
            <color indexed="81"/>
            <rFont val="Tahoma"/>
            <family val="2"/>
            <charset val="238"/>
          </rPr>
          <t>Input Structure's name and ID.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  <charset val="238"/>
          </rPr>
          <t>Direction of driving</t>
        </r>
      </text>
    </comment>
    <comment ref="D6" authorId="0" shapeId="0">
      <text>
        <r>
          <rPr>
            <b/>
            <sz val="8"/>
            <color indexed="81"/>
            <rFont val="Tahoma"/>
            <family val="2"/>
            <charset val="238"/>
          </rPr>
          <t>Input first date of calibration</t>
        </r>
      </text>
    </comment>
  </commentList>
</comments>
</file>

<file path=xl/sharedStrings.xml><?xml version="1.0" encoding="utf-8"?>
<sst xmlns="http://schemas.openxmlformats.org/spreadsheetml/2006/main" count="2363" uniqueCount="383">
  <si>
    <t>Localisation :</t>
  </si>
  <si>
    <t>Sens :</t>
  </si>
  <si>
    <t>TOUS VEHICULES</t>
  </si>
  <si>
    <t>PT</t>
  </si>
  <si>
    <t>ES</t>
  </si>
  <si>
    <t>ESG</t>
  </si>
  <si>
    <t>GE</t>
  </si>
  <si>
    <t>Voie :</t>
  </si>
  <si>
    <t>Nombre</t>
  </si>
  <si>
    <t>Nombre pesée :</t>
  </si>
  <si>
    <t>Erreur moyenne</t>
  </si>
  <si>
    <t>Ecart type</t>
  </si>
  <si>
    <t>N°</t>
  </si>
  <si>
    <t>Vit</t>
  </si>
  <si>
    <t>Q</t>
  </si>
  <si>
    <t>pos</t>
  </si>
  <si>
    <t>Te</t>
  </si>
  <si>
    <t>Silhouette</t>
  </si>
  <si>
    <t>Groupe de l'essieu</t>
  </si>
  <si>
    <t>Erreur relative en %</t>
  </si>
  <si>
    <t>Type</t>
  </si>
  <si>
    <t>VTR</t>
  </si>
  <si>
    <t>E1</t>
  </si>
  <si>
    <t>E2</t>
  </si>
  <si>
    <t>E3</t>
  </si>
  <si>
    <t>E4</t>
  </si>
  <si>
    <t>E5</t>
  </si>
  <si>
    <t>E6</t>
  </si>
  <si>
    <t>GE1</t>
  </si>
  <si>
    <t>GE2</t>
  </si>
  <si>
    <t>Poids en marche en kg</t>
  </si>
  <si>
    <t>Poids statiques en kg</t>
  </si>
  <si>
    <t>COST 323 : European Specifications on WIM</t>
  </si>
  <si>
    <t>Accuracy calculation (9. Initial verification/10. In service verification)</t>
  </si>
  <si>
    <t>Fulfil the green cells, and if necessary the blue ones</t>
  </si>
  <si>
    <t>Test plan</t>
  </si>
  <si>
    <t>Initial verification (Yes=1, No=0):</t>
  </si>
  <si>
    <t>rr2</t>
  </si>
  <si>
    <t>I</t>
  </si>
  <si>
    <t>SYSTEM</t>
  </si>
  <si>
    <t>Number</t>
  </si>
  <si>
    <t>Identified</t>
  </si>
  <si>
    <t>Mean</t>
  </si>
  <si>
    <t>Std deviat</t>
  </si>
  <si>
    <t>Class</t>
  </si>
  <si>
    <t>class</t>
  </si>
  <si>
    <t>p</t>
  </si>
  <si>
    <t>Accepted</t>
  </si>
  <si>
    <t>See definitons on lines 42 and below</t>
  </si>
  <si>
    <t>Entity</t>
  </si>
  <si>
    <t>(%)</t>
  </si>
  <si>
    <t>gross weight</t>
  </si>
  <si>
    <t>group of axles</t>
  </si>
  <si>
    <t>single axle</t>
  </si>
  <si>
    <t>axle of group</t>
  </si>
  <si>
    <t>(1)</t>
  </si>
  <si>
    <t>"r1"=full repeatability</t>
  </si>
  <si>
    <t>Users' instructions:</t>
  </si>
  <si>
    <t>"r2"=extended repeatability</t>
  </si>
  <si>
    <t>1.</t>
  </si>
  <si>
    <t xml:space="preserve">Enter the test conditions in cells B5 and D5, and put "1" in cell M4 if the same data sample </t>
  </si>
  <si>
    <t>"rr1"=limited reproducibility</t>
  </si>
  <si>
    <t>was used for calibration (initial verification), "0" otherwise (in service verification)</t>
  </si>
  <si>
    <t>"rr2"=full reproducibility</t>
  </si>
  <si>
    <t>2.</t>
  </si>
  <si>
    <t>Enter the test statistics (on relative errors) in cells B9 to B12 and D9 to E12</t>
  </si>
  <si>
    <t>"I"=environmental repeatability</t>
  </si>
  <si>
    <t>3. (option)</t>
  </si>
  <si>
    <t>"II"=environmental limited reproducibility</t>
  </si>
  <si>
    <t>4.</t>
  </si>
  <si>
    <t>Start the command "Tools/Solver/Solve/keep the results"</t>
  </si>
  <si>
    <t>"III"=environmental full reproducibility</t>
  </si>
  <si>
    <t xml:space="preserve"> - "Outils/Solveur/Résoudre/Garder la solution du solveur", and then OK if successful</t>
  </si>
  <si>
    <t xml:space="preserve">if the solver doesn't find an accepted solution, </t>
  </si>
  <si>
    <t>Definitons</t>
  </si>
  <si>
    <r>
      <t xml:space="preserve">Conditions </t>
    </r>
    <r>
      <rPr>
        <b/>
        <vertAlign val="superscript"/>
        <sz val="10"/>
        <rFont val="Arial"/>
        <family val="2"/>
      </rPr>
      <t>(1)</t>
    </r>
  </si>
  <si>
    <r>
      <t>Env</t>
    </r>
    <r>
      <rPr>
        <b/>
        <vertAlign val="superscript"/>
        <sz val="10"/>
        <rFont val="Arial"/>
        <family val="2"/>
      </rPr>
      <t>t</t>
    </r>
  </si>
  <si>
    <r>
      <t>p</t>
    </r>
    <r>
      <rPr>
        <b/>
        <vertAlign val="subscript"/>
        <sz val="10"/>
        <rFont val="Arial"/>
        <family val="2"/>
      </rPr>
      <t>o</t>
    </r>
  </si>
  <si>
    <r>
      <t>d</t>
    </r>
    <r>
      <rPr>
        <b/>
        <vertAlign val="subscript"/>
        <sz val="10"/>
        <rFont val="Arial"/>
        <family val="2"/>
      </rPr>
      <t>min</t>
    </r>
  </si>
  <si>
    <r>
      <t>d</t>
    </r>
    <r>
      <rPr>
        <b/>
        <vertAlign val="subscript"/>
        <sz val="10"/>
        <rFont val="Arial"/>
        <family val="2"/>
      </rPr>
      <t>c</t>
    </r>
  </si>
  <si>
    <r>
      <t>p</t>
    </r>
    <r>
      <rPr>
        <b/>
        <sz val="10"/>
        <rFont val="Arial"/>
        <family val="2"/>
      </rPr>
      <t>'</t>
    </r>
  </si>
  <si>
    <r>
      <t xml:space="preserve">Initialise the expected values of </t>
    </r>
    <r>
      <rPr>
        <sz val="10"/>
        <color indexed="12"/>
        <rFont val="Symbol"/>
        <family val="1"/>
        <charset val="2"/>
      </rPr>
      <t>d</t>
    </r>
    <r>
      <rPr>
        <vertAlign val="subscript"/>
        <sz val="10"/>
        <color indexed="12"/>
        <rFont val="Arial"/>
        <family val="2"/>
      </rPr>
      <t>min</t>
    </r>
    <r>
      <rPr>
        <sz val="10"/>
        <color indexed="12"/>
        <rFont val="Arial"/>
        <family val="2"/>
      </rPr>
      <t xml:space="preserve"> in cells I9 to I12 </t>
    </r>
    <r>
      <rPr>
        <b/>
        <i/>
        <sz val="10"/>
        <color indexed="12"/>
        <rFont val="Arial"/>
        <family val="2"/>
      </rPr>
      <t>(only if step 4. fails)</t>
    </r>
  </si>
  <si>
    <r>
      <t xml:space="preserve">return to step 3. and modify the initial values of </t>
    </r>
    <r>
      <rPr>
        <b/>
        <i/>
        <sz val="10"/>
        <color indexed="12"/>
        <rFont val="Symbol"/>
        <family val="1"/>
        <charset val="2"/>
      </rPr>
      <t>d</t>
    </r>
    <r>
      <rPr>
        <b/>
        <i/>
        <vertAlign val="subscript"/>
        <sz val="10"/>
        <color indexed="12"/>
        <rFont val="Arial"/>
        <family val="2"/>
      </rPr>
      <t>min</t>
    </r>
  </si>
  <si>
    <r>
      <t>Number</t>
    </r>
    <r>
      <rPr>
        <sz val="10"/>
        <color indexed="58"/>
        <rFont val="Arial"/>
        <family val="2"/>
      </rPr>
      <t>: number of measured vehicles/axles/etc. which are valid and kept for the test (may be less than those of the test plan)</t>
    </r>
  </si>
  <si>
    <r>
      <t>Identified</t>
    </r>
    <r>
      <rPr>
        <sz val="10"/>
        <color indexed="58"/>
        <rFont val="Arial"/>
        <family val="2"/>
      </rPr>
      <t>: percentage of the total number of measured vehicles/axles/etc. which are valid and kept for the test (enter by hand)</t>
    </r>
  </si>
  <si>
    <r>
      <t>Mean, Std Deviation</t>
    </r>
    <r>
      <rPr>
        <sz val="10"/>
        <color indexed="58"/>
        <rFont val="Arial"/>
        <family val="2"/>
      </rPr>
      <t>: mean and standard deviation of the individual relative errors with respect to the static reference loads</t>
    </r>
  </si>
  <si>
    <r>
      <t>p</t>
    </r>
    <r>
      <rPr>
        <sz val="8"/>
        <color indexed="58"/>
        <rFont val="Symbol"/>
        <family val="1"/>
        <charset val="2"/>
      </rPr>
      <t>o</t>
    </r>
    <r>
      <rPr>
        <sz val="10"/>
        <color indexed="58"/>
        <rFont val="Arial"/>
        <family val="2"/>
      </rPr>
      <t xml:space="preserve">: minimum required level of confidence within the class tolerance 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, i.e. of the confidence interval [-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;</t>
    </r>
    <r>
      <rPr>
        <sz val="10"/>
        <color indexed="58"/>
        <rFont val="Symbol"/>
        <family val="1"/>
        <charset val="2"/>
      </rPr>
      <t>d</t>
    </r>
    <r>
      <rPr>
        <sz val="10"/>
        <color indexed="58"/>
        <rFont val="Arial"/>
        <family val="2"/>
      </rPr>
      <t>]</t>
    </r>
  </si>
  <si>
    <r>
      <t>d</t>
    </r>
    <r>
      <rPr>
        <i/>
        <sz val="8"/>
        <color indexed="58"/>
        <rFont val="Arial"/>
        <family val="2"/>
      </rPr>
      <t>min</t>
    </r>
    <r>
      <rPr>
        <sz val="10"/>
        <color indexed="58"/>
        <rFont val="Arial"/>
        <family val="2"/>
      </rPr>
      <t xml:space="preserve">: for each criterion, tolerance (half width of the confidence interval) which exactly corresponds to the minimum required level of confidence </t>
    </r>
    <r>
      <rPr>
        <sz val="10"/>
        <color indexed="58"/>
        <rFont val="Symbol"/>
        <family val="1"/>
        <charset val="2"/>
      </rPr>
      <t>p</t>
    </r>
    <r>
      <rPr>
        <sz val="8"/>
        <color indexed="58"/>
        <rFont val="Symbol"/>
        <family val="1"/>
        <charset val="2"/>
      </rPr>
      <t>o</t>
    </r>
  </si>
  <si>
    <r>
      <t>d</t>
    </r>
    <r>
      <rPr>
        <i/>
        <sz val="8"/>
        <color indexed="58"/>
        <rFont val="Arial"/>
        <family val="2"/>
      </rPr>
      <t>c</t>
    </r>
    <r>
      <rPr>
        <sz val="10"/>
        <color indexed="58"/>
        <rFont val="Arial"/>
        <family val="2"/>
      </rPr>
      <t xml:space="preserve">: "best acceptable interpolated class for the given criterion", i.e. tolerance on the GW which exactly corresponds to the </t>
    </r>
    <r>
      <rPr>
        <sz val="10"/>
        <color indexed="58"/>
        <rFont val="Symbol"/>
        <family val="1"/>
        <charset val="2"/>
      </rPr>
      <t>d</t>
    </r>
    <r>
      <rPr>
        <sz val="8"/>
        <color indexed="58"/>
        <rFont val="Arial"/>
        <family val="2"/>
      </rPr>
      <t xml:space="preserve">min </t>
    </r>
    <r>
      <rPr>
        <sz val="10"/>
        <color indexed="58"/>
        <rFont val="Arial"/>
        <family val="2"/>
      </rPr>
      <t>of the given criterion</t>
    </r>
  </si>
  <si>
    <t>Senlis</t>
  </si>
  <si>
    <t>E7</t>
  </si>
  <si>
    <t>E8</t>
  </si>
  <si>
    <t>GE3</t>
  </si>
  <si>
    <t>GE4</t>
  </si>
  <si>
    <t>T2S3</t>
  </si>
  <si>
    <t>Taux de charge</t>
  </si>
  <si>
    <t>moto</t>
  </si>
  <si>
    <t>C2</t>
  </si>
  <si>
    <t>V2</t>
  </si>
  <si>
    <t>B2</t>
  </si>
  <si>
    <t>C2 ou T2</t>
  </si>
  <si>
    <t>U2</t>
  </si>
  <si>
    <t>V2R1</t>
  </si>
  <si>
    <t>B2R1</t>
  </si>
  <si>
    <t>T2S1</t>
  </si>
  <si>
    <t>C2R1</t>
  </si>
  <si>
    <t>B3</t>
  </si>
  <si>
    <t>T3</t>
  </si>
  <si>
    <t>C3B</t>
  </si>
  <si>
    <t>C3A</t>
  </si>
  <si>
    <t>B2R2A</t>
  </si>
  <si>
    <t>C2R2A</t>
  </si>
  <si>
    <t>V2R2S</t>
  </si>
  <si>
    <t>B2R2B</t>
  </si>
  <si>
    <t>T2S2</t>
  </si>
  <si>
    <t>C2R2B</t>
  </si>
  <si>
    <t>V2R2J</t>
  </si>
  <si>
    <t>B3R1</t>
  </si>
  <si>
    <t>C3BR1</t>
  </si>
  <si>
    <t>T3S1</t>
  </si>
  <si>
    <t>C4B</t>
  </si>
  <si>
    <t>C3AR1</t>
  </si>
  <si>
    <t>B4</t>
  </si>
  <si>
    <t>C4A</t>
  </si>
  <si>
    <t>C2R3A</t>
  </si>
  <si>
    <t>C2R3B</t>
  </si>
  <si>
    <t>B3R2A</t>
  </si>
  <si>
    <t>C3BR2A</t>
  </si>
  <si>
    <t>B3R2B</t>
  </si>
  <si>
    <t>T3S2</t>
  </si>
  <si>
    <t>C3BR2B</t>
  </si>
  <si>
    <t>B2R3A</t>
  </si>
  <si>
    <t>B2R3B</t>
  </si>
  <si>
    <t>C3AR2A</t>
  </si>
  <si>
    <t>C3AR2B</t>
  </si>
  <si>
    <t>B4R1</t>
  </si>
  <si>
    <t>C5</t>
  </si>
  <si>
    <t>T2S4</t>
  </si>
  <si>
    <t>T2SxRx</t>
  </si>
  <si>
    <t>C3BR3A</t>
  </si>
  <si>
    <t>T3S3</t>
  </si>
  <si>
    <t>C3BR3B</t>
  </si>
  <si>
    <t>B3R3A</t>
  </si>
  <si>
    <t>B3R3B</t>
  </si>
  <si>
    <t>C3AR3A</t>
  </si>
  <si>
    <t>C3AR3B</t>
  </si>
  <si>
    <t>B4R2A</t>
  </si>
  <si>
    <t>B4R2B</t>
  </si>
  <si>
    <t>C2RxRX</t>
  </si>
  <si>
    <t>C2RxRx</t>
  </si>
  <si>
    <t>T3S4</t>
  </si>
  <si>
    <t>T3SxRx</t>
  </si>
  <si>
    <t>C3BRxRx</t>
  </si>
  <si>
    <t>C3aRxRx</t>
  </si>
  <si>
    <t>B4R3A</t>
  </si>
  <si>
    <t>B4R3B</t>
  </si>
  <si>
    <t>T2SxRX</t>
  </si>
  <si>
    <t>C4BR4B</t>
  </si>
  <si>
    <t>C4BR4A</t>
  </si>
  <si>
    <t>C3ARxRx</t>
  </si>
  <si>
    <t>C4AR4A</t>
  </si>
  <si>
    <t>T3SxSx</t>
  </si>
  <si>
    <t>C4BR5</t>
  </si>
  <si>
    <t>C4AR5</t>
  </si>
  <si>
    <t>C4AR4B</t>
  </si>
  <si>
    <t>PTM</t>
  </si>
  <si>
    <t>VL INCONNU 9E</t>
  </si>
  <si>
    <t>VTR INCONNU 9E</t>
  </si>
  <si>
    <t>VL INCONNU 8E</t>
  </si>
  <si>
    <t>VTR INCONNU 8E</t>
  </si>
  <si>
    <t>VL INCONNU 7E</t>
  </si>
  <si>
    <t>VTR INCONNU 7E</t>
  </si>
  <si>
    <t>VL INCONNU 6E</t>
  </si>
  <si>
    <t>VTR INCONNU 6E</t>
  </si>
  <si>
    <t>VL INCONNU 5E</t>
  </si>
  <si>
    <t>VTR INCONNU 5E</t>
  </si>
  <si>
    <t>VL INCONNU 4E</t>
  </si>
  <si>
    <t>VTR INCONNU 4E</t>
  </si>
  <si>
    <t>VL INCONNU 3E</t>
  </si>
  <si>
    <t>VTR INCONNU 3E</t>
  </si>
  <si>
    <t>N° Immatriculation</t>
  </si>
  <si>
    <t>Date de Mesures</t>
  </si>
  <si>
    <t>Heure SiWIM</t>
  </si>
  <si>
    <t>Heure Chamant</t>
  </si>
  <si>
    <t>E9</t>
  </si>
  <si>
    <t>NE</t>
  </si>
  <si>
    <t>EG1</t>
  </si>
  <si>
    <t>EG2</t>
  </si>
  <si>
    <t>EG3</t>
  </si>
  <si>
    <t>EG4</t>
  </si>
  <si>
    <t>EG5</t>
  </si>
  <si>
    <t>EG6</t>
  </si>
  <si>
    <t>EG7</t>
  </si>
  <si>
    <t>EG8</t>
  </si>
  <si>
    <t>EG9</t>
  </si>
  <si>
    <t>PTC Max (Kg)</t>
  </si>
  <si>
    <t>Statistiques sur les erreurs relatives (Tous les véhicules)</t>
  </si>
  <si>
    <t>Citerne</t>
  </si>
  <si>
    <t>T2R3</t>
  </si>
  <si>
    <t>T3R3</t>
  </si>
  <si>
    <t>Province-Paris</t>
  </si>
  <si>
    <t>Lente et rapide</t>
  </si>
  <si>
    <t>Statistiques sur les erreurs relatives (Véhicules avec taux de charge &gt; 90%)</t>
  </si>
  <si>
    <t>Date</t>
  </si>
  <si>
    <t>Taille</t>
  </si>
  <si>
    <t>&gt;-+5%</t>
  </si>
  <si>
    <t>Max</t>
  </si>
  <si>
    <t>Type PL</t>
  </si>
  <si>
    <t>&gt;-+2,5%</t>
  </si>
  <si>
    <t>Hors tolérance sur PT avec taux de charge &gt; 0,9</t>
  </si>
  <si>
    <t>Hors tolérance sur Essieux avec taux de charge &gt;0,9</t>
  </si>
  <si>
    <t>2017-08-02-09-05-11-722</t>
  </si>
  <si>
    <t>2017-08-02-09-09-49-525</t>
  </si>
  <si>
    <t>2017-08-02-09-13-30-593</t>
  </si>
  <si>
    <t>2017-08-02-09-15-16-908</t>
  </si>
  <si>
    <t>2017-08-02-09-24-11-591</t>
  </si>
  <si>
    <t>2017-08-02-09-28-56-009</t>
  </si>
  <si>
    <t>2017-08-02-09-34-45-441</t>
  </si>
  <si>
    <t>2017-08-02-09-41-19-126</t>
  </si>
  <si>
    <t>2017-08-02-10-10-14-917</t>
  </si>
  <si>
    <t>2017-08-02-10-28-59-781</t>
  </si>
  <si>
    <t>2017-08-02-10-40-07-267</t>
  </si>
  <si>
    <t>2017-08-02-10-47-24-812</t>
  </si>
  <si>
    <t>2017-08-02-14-20-25-470</t>
  </si>
  <si>
    <t>2017-08-02-14-29-37-421</t>
  </si>
  <si>
    <t>2017-08-02-14-44-49-195</t>
  </si>
  <si>
    <t>2017-08-02-14-47-51-570</t>
  </si>
  <si>
    <t>2017-08-02-14-53-39-785</t>
  </si>
  <si>
    <t>2017-08-02-14-59-07-761</t>
  </si>
  <si>
    <t>2017-08-02-15-02-38-878</t>
  </si>
  <si>
    <t>2017-08-02-15-12-58-107</t>
  </si>
  <si>
    <t>2017-08-02-15-18-13-884</t>
  </si>
  <si>
    <t>2017-08-02-15-24-58-621</t>
  </si>
  <si>
    <t>2017-08-02-15-27-25-650</t>
  </si>
  <si>
    <t>2017-08-02-15-31-06-888</t>
  </si>
  <si>
    <t>2017-08-02-15-33-26-626</t>
  </si>
  <si>
    <t>2017-08-02-15-42-13-246</t>
  </si>
  <si>
    <t>2017-08-02-15-42-35-431</t>
  </si>
  <si>
    <t>2017-08-02-15-47-48-748</t>
  </si>
  <si>
    <t>2017-08-02-15-52-32-119</t>
  </si>
  <si>
    <t>2017-08-02-15-56-20-675</t>
  </si>
  <si>
    <t>2017-08-02-16-09-50-513</t>
  </si>
  <si>
    <t>2017-08-02-16-20-04-835</t>
  </si>
  <si>
    <t>2017-08-02-16-23-55-908</t>
  </si>
  <si>
    <t>2017-08-02-16-24-23-498</t>
  </si>
  <si>
    <t>2017-08-02-16-00-47-363</t>
  </si>
  <si>
    <t>EE 315 NW</t>
  </si>
  <si>
    <t>EF 605 PJ</t>
  </si>
  <si>
    <t>EG 699 NC</t>
  </si>
  <si>
    <t>BW 042 AD</t>
  </si>
  <si>
    <t>CB 973 TL</t>
  </si>
  <si>
    <t>EB 046 LT</t>
  </si>
  <si>
    <t>CK 475 GB</t>
  </si>
  <si>
    <t>BZ 284 YT</t>
  </si>
  <si>
    <t>DC 546 BW</t>
  </si>
  <si>
    <t>DC 522 JM</t>
  </si>
  <si>
    <t>3125 JHW</t>
  </si>
  <si>
    <t>CZ 613 HD</t>
  </si>
  <si>
    <t>DM 320 EG</t>
  </si>
  <si>
    <t>DB 340 FS</t>
  </si>
  <si>
    <t>BV 529 BR</t>
  </si>
  <si>
    <t>DK 944 DR</t>
  </si>
  <si>
    <t>BP 114 ZT</t>
  </si>
  <si>
    <t>BN 874 TC</t>
  </si>
  <si>
    <t>DR 116 KD</t>
  </si>
  <si>
    <t>H 0172 BC</t>
  </si>
  <si>
    <t>DA 596 SR</t>
  </si>
  <si>
    <t>WGM 17362</t>
  </si>
  <si>
    <t>CK 227 VR</t>
  </si>
  <si>
    <t>98 BBT 7</t>
  </si>
  <si>
    <t>877 BBY 35</t>
  </si>
  <si>
    <t>DS 481 FA</t>
  </si>
  <si>
    <t>EG 495 TT</t>
  </si>
  <si>
    <t>DM 462 FR</t>
  </si>
  <si>
    <t>ELC 23645</t>
  </si>
  <si>
    <t>CE 929 ZS</t>
  </si>
  <si>
    <t>DTR 42275</t>
  </si>
  <si>
    <t>BX SZ 78</t>
  </si>
  <si>
    <t>DH 040 RH</t>
  </si>
  <si>
    <t>CC 138 CX</t>
  </si>
  <si>
    <t>DV 341 ZQ</t>
  </si>
  <si>
    <t>AR 12 MGY</t>
  </si>
  <si>
    <t>207-08-02-11-16-55-451</t>
  </si>
  <si>
    <t>NORMANDIE</t>
  </si>
  <si>
    <t>Honfleur-Lehavre</t>
  </si>
  <si>
    <t>2017-07-05-10-34-54-976</t>
  </si>
  <si>
    <t>2017-07-05-10-52-12-658</t>
  </si>
  <si>
    <t>2017-07-05-11-06-43-333</t>
  </si>
  <si>
    <t>2017-07-05-11-22-10-382</t>
  </si>
  <si>
    <t>2017-07-05-11-38-52-017</t>
  </si>
  <si>
    <t>2017-07-05-11-53-41-556</t>
  </si>
  <si>
    <t>2017-07-05-12-10-11-013</t>
  </si>
  <si>
    <t>2017-07-05-12-23-40-113</t>
  </si>
  <si>
    <t>2017-07-05-14-25-06-132</t>
  </si>
  <si>
    <t>2017-07-05-14-38-57-521</t>
  </si>
  <si>
    <t>2017-07-05-14-53-02-972</t>
  </si>
  <si>
    <t>2017-07-05-15-08-35-283</t>
  </si>
  <si>
    <t>2017-07-05-15-27-10-011</t>
  </si>
  <si>
    <t>2017-07-05-15-41-42-126</t>
  </si>
  <si>
    <t>2017-07-05-15-55-57-996</t>
  </si>
  <si>
    <t>2017-07-05-16-11-39-218</t>
  </si>
  <si>
    <t>2017-07-05-16-25-55-453</t>
  </si>
  <si>
    <t>2017-07-05-16-40-34-591</t>
  </si>
  <si>
    <t>2017-07-05-16-55-57-714</t>
  </si>
  <si>
    <t>2017-07-06-08-34-31-537</t>
  </si>
  <si>
    <t>2017-07-06-09-01-45-753</t>
  </si>
  <si>
    <t>2017-07-06-09-15-19-408</t>
  </si>
  <si>
    <t>2017-07-06-09-29-09-917</t>
  </si>
  <si>
    <t>2017-07-06-09-42-38-447</t>
  </si>
  <si>
    <t>2017-08-02-11-16-55-451</t>
  </si>
  <si>
    <t>Normandie</t>
  </si>
  <si>
    <t>2017-08-02-09-41-19-128</t>
  </si>
  <si>
    <t>2017-08-02-09-34-45-437</t>
  </si>
  <si>
    <t>2017-08-02-10-10-14-916</t>
  </si>
  <si>
    <t>2017-08-02-10-47-24-814</t>
  </si>
  <si>
    <t>2017-08-02-11-16-55-453</t>
  </si>
  <si>
    <t>2017-08-02-15-18-13-882</t>
  </si>
  <si>
    <t>2017-08-02-15-52-32-121</t>
  </si>
  <si>
    <t>2017-08-02-15-56-20-677</t>
  </si>
  <si>
    <t>2017-08-02-16-09-50-511</t>
  </si>
  <si>
    <t>2017-08-02-16-24-23-496</t>
  </si>
  <si>
    <t>AX1</t>
  </si>
  <si>
    <t>AX2</t>
  </si>
  <si>
    <t>AX3</t>
  </si>
  <si>
    <t>AX4</t>
  </si>
  <si>
    <t>AX5</t>
  </si>
  <si>
    <t>AX6</t>
  </si>
  <si>
    <t>r1</t>
  </si>
  <si>
    <t>T</t>
  </si>
  <si>
    <t>/1</t>
  </si>
  <si>
    <t>Select Language:</t>
  </si>
  <si>
    <t>English</t>
  </si>
  <si>
    <t>full reproducibility (more than 10 vehicles from random traffic)</t>
  </si>
  <si>
    <t>environmental repeatability (short-term measurements at constant weather conditions)</t>
  </si>
  <si>
    <t>No</t>
  </si>
  <si>
    <t>Confidnce Interval:</t>
  </si>
  <si>
    <t>COST 323</t>
  </si>
  <si>
    <t>Identif.</t>
  </si>
  <si>
    <r>
      <t>π</t>
    </r>
    <r>
      <rPr>
        <b/>
        <vertAlign val="subscript"/>
        <sz val="11"/>
        <rFont val="Calibri"/>
        <family val="2"/>
        <charset val="238"/>
        <scheme val="minor"/>
      </rPr>
      <t>o</t>
    </r>
  </si>
  <si>
    <t>δ</t>
  </si>
  <si>
    <r>
      <t>δ</t>
    </r>
    <r>
      <rPr>
        <b/>
        <vertAlign val="subscript"/>
        <sz val="11"/>
        <rFont val="Calibri"/>
        <family val="2"/>
        <charset val="238"/>
        <scheme val="minor"/>
      </rPr>
      <t>min</t>
    </r>
  </si>
  <si>
    <r>
      <t>δc</t>
    </r>
    <r>
      <rPr>
        <vertAlign val="subscript"/>
        <sz val="11"/>
        <rFont val="Calibri"/>
        <family val="2"/>
        <charset val="238"/>
        <scheme val="minor"/>
      </rPr>
      <t>riter.</t>
    </r>
  </si>
  <si>
    <r>
      <t>δ</t>
    </r>
    <r>
      <rPr>
        <vertAlign val="subscript"/>
        <sz val="11"/>
        <rFont val="Calibri"/>
        <family val="2"/>
        <charset val="238"/>
        <scheme val="minor"/>
      </rPr>
      <t>class</t>
    </r>
  </si>
  <si>
    <t>π</t>
  </si>
  <si>
    <r>
      <t>π</t>
    </r>
    <r>
      <rPr>
        <b/>
        <vertAlign val="subscript"/>
        <sz val="11"/>
        <rFont val="Calibri"/>
        <family val="2"/>
        <charset val="238"/>
        <scheme val="minor"/>
      </rPr>
      <t>crit</t>
    </r>
  </si>
  <si>
    <t>p'</t>
  </si>
  <si>
    <t>Os iz zaprege</t>
  </si>
  <si>
    <t>Test Conditions:</t>
  </si>
  <si>
    <t>r2</t>
  </si>
  <si>
    <t>rr1</t>
  </si>
  <si>
    <t>Environmental Conditions:</t>
  </si>
  <si>
    <t>II</t>
  </si>
  <si>
    <t>III</t>
  </si>
  <si>
    <t>RCS</t>
  </si>
  <si>
    <t>Nombre pesée:</t>
  </si>
  <si>
    <t>Minimal Axle Load:</t>
  </si>
  <si>
    <t>ton</t>
  </si>
  <si>
    <t>Minimal Average Axle Load:</t>
  </si>
  <si>
    <t>Error</t>
  </si>
  <si>
    <t>&gt;0.1</t>
  </si>
  <si>
    <t>&lt;=0.1</t>
  </si>
  <si>
    <t>&lt;=0.05</t>
  </si>
  <si>
    <t>ESG2</t>
  </si>
  <si>
    <t>ESG3</t>
  </si>
  <si>
    <t>ESG4</t>
  </si>
  <si>
    <t>ESG5</t>
  </si>
  <si>
    <t>ESG6</t>
  </si>
  <si>
    <t>RCS Percentile:</t>
  </si>
  <si>
    <t>GVW</t>
  </si>
  <si>
    <t>SA</t>
  </si>
  <si>
    <t>AG</t>
  </si>
  <si>
    <t>GA</t>
  </si>
  <si>
    <t>Equal axles vehicle 2017-08-02-16-23-55-908:</t>
  </si>
  <si>
    <t>Yes</t>
  </si>
  <si>
    <t>2017-08-02-14-29-37-419</t>
  </si>
  <si>
    <t>full repeatability (1 vehicle at constant driving conditions)</t>
  </si>
  <si>
    <t>extended repeatability (1 vehicle with different loads and varying driving conditions)</t>
  </si>
  <si>
    <t>limited reproducibility (2 to 10 different vehicles under any traffic conditions)</t>
  </si>
  <si>
    <t>limited environmental reproducibility (short-term measurements at varying weather conditions)</t>
  </si>
  <si>
    <t>full  environmental reproducibility (long-term measurements at varying weather conditions)</t>
  </si>
  <si>
    <t>MP</t>
  </si>
  <si>
    <t>0,14</t>
  </si>
  <si>
    <t>1207-08-02-11-16-55-451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</si>
</sst>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_-* #,##0&quot;F&quot;_-;\-* #,##0&quot;F&quot;_-;_-* &quot;-&quot;&quot;F&quot;_-;_-@_-"/>
    <numFmt numFmtId="166" formatCode="[$-F400]h:mm:ss\ AM/PM"/>
    <numFmt numFmtId="167" formatCode="d/\ mmmm\ yyyy"/>
    <numFmt numFmtId="168" formatCode="ddd\,\ d/\ mmmm\ yyyy"/>
    <numFmt numFmtId="169" formatCode="d/mmmm\ yyyy"/>
    <numFmt numFmtId="170" formatCode="0.0%"/>
  </numFmts>
  <fonts count="68">
    <font>
      <sz val="10"/>
      <name val="Arial"/>
      <family val="2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b/>
      <vertAlign val="super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b/>
      <sz val="10"/>
      <name val="Times New Roman"/>
      <family val="1"/>
    </font>
    <font>
      <sz val="10"/>
      <name val="Symbol"/>
      <family val="1"/>
      <charset val="2"/>
    </font>
    <font>
      <i/>
      <sz val="10"/>
      <color indexed="58"/>
      <name val="Arial"/>
      <family val="2"/>
    </font>
    <font>
      <b/>
      <i/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2"/>
      <name val="Symbol"/>
      <family val="1"/>
      <charset val="2"/>
    </font>
    <font>
      <vertAlign val="subscript"/>
      <sz val="10"/>
      <color indexed="12"/>
      <name val="Arial"/>
      <family val="2"/>
    </font>
    <font>
      <b/>
      <i/>
      <sz val="10"/>
      <color indexed="12"/>
      <name val="Symbol"/>
      <family val="1"/>
      <charset val="2"/>
    </font>
    <font>
      <b/>
      <i/>
      <vertAlign val="subscript"/>
      <sz val="10"/>
      <color indexed="12"/>
      <name val="Arial"/>
      <family val="2"/>
    </font>
    <font>
      <b/>
      <sz val="10"/>
      <color indexed="58"/>
      <name val="Arial"/>
      <family val="2"/>
    </font>
    <font>
      <sz val="10"/>
      <color indexed="58"/>
      <name val="Arial"/>
      <family val="2"/>
    </font>
    <font>
      <sz val="8"/>
      <color indexed="58"/>
      <name val="Symbol"/>
      <family val="1"/>
      <charset val="2"/>
    </font>
    <font>
      <sz val="10"/>
      <color indexed="58"/>
      <name val="Symbol"/>
      <family val="1"/>
      <charset val="2"/>
    </font>
    <font>
      <i/>
      <sz val="8"/>
      <color indexed="58"/>
      <name val="Arial"/>
      <family val="2"/>
    </font>
    <font>
      <i/>
      <sz val="10"/>
      <color indexed="58"/>
      <name val="Symbol"/>
      <family val="1"/>
      <charset val="2"/>
    </font>
    <font>
      <sz val="8"/>
      <color indexed="58"/>
      <name val="Arial"/>
      <family val="2"/>
    </font>
    <font>
      <sz val="12"/>
      <name val="Arial"/>
      <family val="2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8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4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1"/>
      <color theme="1"/>
      <name val="Myriad Pro Cond"/>
      <family val="2"/>
      <charset val="238"/>
    </font>
    <font>
      <sz val="14"/>
      <name val="Verdana"/>
      <family val="2"/>
    </font>
    <font>
      <b/>
      <sz val="12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0"/>
      <color indexed="9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name val="Calibri"/>
      <family val="2"/>
      <charset val="238"/>
    </font>
    <font>
      <vertAlign val="subscript"/>
      <sz val="11"/>
      <name val="Calibri"/>
      <family val="2"/>
      <charset val="238"/>
      <scheme val="minor"/>
    </font>
    <font>
      <sz val="11"/>
      <name val="Calibri"/>
      <family val="2"/>
      <charset val="238"/>
    </font>
    <font>
      <b/>
      <sz val="10"/>
      <color indexed="9"/>
      <name val="Calibri"/>
      <family val="2"/>
      <charset val="238"/>
      <scheme val="minor"/>
    </font>
    <font>
      <b/>
      <sz val="10"/>
      <color indexed="12"/>
      <name val="Calibri"/>
      <family val="2"/>
      <charset val="238"/>
      <scheme val="minor"/>
    </font>
    <font>
      <sz val="10"/>
      <color indexed="12"/>
      <name val="Calibri"/>
      <family val="2"/>
      <charset val="238"/>
      <scheme val="minor"/>
    </font>
    <font>
      <b/>
      <i/>
      <sz val="10"/>
      <color indexed="12"/>
      <name val="Calibri"/>
      <family val="2"/>
      <charset val="238"/>
      <scheme val="minor"/>
    </font>
    <font>
      <b/>
      <sz val="8"/>
      <color indexed="81"/>
      <name val="Tahoma"/>
      <family val="2"/>
      <charset val="238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indexed="44"/>
        <bgColor indexed="49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indexed="3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indexed="11"/>
      </patternFill>
    </fill>
    <fill>
      <patternFill patternType="solid">
        <fgColor rgb="FFFDE8D7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/>
      <right/>
      <top style="hair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70">
    <xf numFmtId="0" fontId="0" fillId="0" borderId="0"/>
    <xf numFmtId="0" fontId="3" fillId="0" borderId="0"/>
    <xf numFmtId="0" fontId="2" fillId="0" borderId="0"/>
    <xf numFmtId="9" fontId="12" fillId="0" borderId="0" applyFill="0" applyBorder="0" applyAlignment="0" applyProtection="0"/>
    <xf numFmtId="0" fontId="42" fillId="0" borderId="0"/>
    <xf numFmtId="0" fontId="46" fillId="0" borderId="0"/>
    <xf numFmtId="9" fontId="46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3" fillId="24" borderId="0" applyNumberFormat="0" applyBorder="0" applyAlignment="0" applyProtection="0"/>
    <xf numFmtId="0" fontId="64" fillId="31" borderId="0" applyNumberFormat="0" applyBorder="0" applyAlignment="0" applyProtection="0"/>
    <xf numFmtId="0" fontId="63" fillId="24" borderId="0" applyNumberFormat="0" applyBorder="0" applyAlignment="0" applyProtection="0"/>
    <xf numFmtId="0" fontId="1" fillId="28" borderId="0" applyNumberFormat="0" applyBorder="0" applyAlignment="0" applyProtection="0"/>
    <xf numFmtId="0" fontId="39" fillId="21" borderId="0" applyNumberFormat="0" applyBorder="0" applyAlignment="0" applyProtection="0"/>
    <xf numFmtId="0" fontId="39" fillId="23" borderId="0" applyNumberFormat="0" applyBorder="0" applyAlignment="0" applyProtection="0"/>
    <xf numFmtId="0" fontId="65" fillId="25" borderId="0" applyNumberFormat="0" applyBorder="0" applyAlignment="0" applyProtection="0"/>
    <xf numFmtId="0" fontId="39" fillId="27" borderId="0" applyNumberFormat="0" applyBorder="0" applyAlignment="0" applyProtection="0"/>
    <xf numFmtId="0" fontId="39" fillId="29" borderId="0" applyNumberFormat="0" applyBorder="0" applyAlignment="0" applyProtection="0"/>
    <xf numFmtId="0" fontId="39" fillId="20" borderId="0" applyNumberFormat="0" applyBorder="0" applyAlignment="0" applyProtection="0"/>
    <xf numFmtId="0" fontId="39" fillId="22" borderId="0" applyNumberFormat="0" applyBorder="0" applyAlignment="0" applyProtection="0"/>
    <xf numFmtId="0" fontId="39" fillId="26" borderId="0" applyNumberFormat="0" applyBorder="0" applyAlignment="0" applyProtection="0"/>
    <xf numFmtId="0" fontId="39" fillId="30" borderId="0" applyNumberFormat="0" applyBorder="0" applyAlignment="0" applyProtection="0"/>
    <xf numFmtId="0" fontId="36" fillId="17" borderId="0" applyNumberFormat="0" applyBorder="0" applyAlignment="0" applyProtection="0"/>
    <xf numFmtId="0" fontId="66" fillId="16" borderId="0" applyNumberFormat="0" applyBorder="0" applyAlignment="0" applyProtection="0"/>
    <xf numFmtId="0" fontId="35" fillId="16" borderId="0" applyNumberFormat="0" applyBorder="0" applyAlignment="0" applyProtection="0"/>
    <xf numFmtId="0" fontId="38" fillId="19" borderId="11" applyNumberFormat="0" applyAlignment="0" applyProtection="0"/>
    <xf numFmtId="0" fontId="37" fillId="18" borderId="0" applyNumberFormat="0" applyBorder="0" applyAlignment="0" applyProtection="0"/>
    <xf numFmtId="0" fontId="67" fillId="0" borderId="0"/>
    <xf numFmtId="0" fontId="1" fillId="0" borderId="0"/>
    <xf numFmtId="0" fontId="63" fillId="0" borderId="0"/>
    <xf numFmtId="0" fontId="63" fillId="0" borderId="0"/>
    <xf numFmtId="0" fontId="64" fillId="0" borderId="0"/>
    <xf numFmtId="0" fontId="46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455">
    <xf numFmtId="0" fontId="0" fillId="0" borderId="0" xfId="0"/>
    <xf numFmtId="0" fontId="4" fillId="0" borderId="2" xfId="0" applyFont="1" applyFill="1" applyBorder="1" applyAlignment="1">
      <alignment horizontal="center"/>
    </xf>
    <xf numFmtId="0" fontId="0" fillId="0" borderId="2" xfId="0" applyBorder="1"/>
    <xf numFmtId="0" fontId="2" fillId="0" borderId="0" xfId="2"/>
    <xf numFmtId="0" fontId="7" fillId="0" borderId="0" xfId="2" applyFont="1" applyAlignment="1">
      <alignment vertical="top"/>
    </xf>
    <xf numFmtId="0" fontId="8" fillId="0" borderId="0" xfId="2" applyFont="1"/>
    <xf numFmtId="0" fontId="9" fillId="0" borderId="0" xfId="2" applyFont="1"/>
    <xf numFmtId="0" fontId="11" fillId="0" borderId="2" xfId="2" applyFont="1" applyBorder="1" applyAlignment="1">
      <alignment horizontal="left"/>
    </xf>
    <xf numFmtId="0" fontId="11" fillId="0" borderId="2" xfId="2" applyFont="1" applyBorder="1"/>
    <xf numFmtId="0" fontId="11" fillId="0" borderId="5" xfId="2" applyFont="1" applyBorder="1"/>
    <xf numFmtId="0" fontId="2" fillId="0" borderId="7" xfId="2" applyBorder="1"/>
    <xf numFmtId="0" fontId="2" fillId="0" borderId="1" xfId="2" applyBorder="1"/>
    <xf numFmtId="0" fontId="2" fillId="0" borderId="2" xfId="2" applyBorder="1" applyAlignment="1">
      <alignment horizontal="center"/>
    </xf>
    <xf numFmtId="0" fontId="2" fillId="0" borderId="2" xfId="2" applyBorder="1"/>
    <xf numFmtId="0" fontId="12" fillId="0" borderId="5" xfId="2" applyFont="1" applyBorder="1" applyAlignment="1" applyProtection="1">
      <alignment horizontal="right"/>
      <protection locked="0"/>
    </xf>
    <xf numFmtId="0" fontId="12" fillId="0" borderId="1" xfId="2" applyFont="1" applyBorder="1" applyAlignment="1" applyProtection="1">
      <alignment horizontal="center"/>
      <protection locked="0"/>
    </xf>
    <xf numFmtId="0" fontId="12" fillId="0" borderId="2" xfId="2" applyFont="1" applyBorder="1" applyAlignment="1" applyProtection="1">
      <alignment horizontal="center"/>
      <protection locked="0"/>
    </xf>
    <xf numFmtId="0" fontId="11" fillId="0" borderId="0" xfId="2" applyFont="1" applyBorder="1" applyAlignment="1">
      <alignment horizontal="center" vertical="center"/>
    </xf>
    <xf numFmtId="0" fontId="2" fillId="0" borderId="0" xfId="2" applyBorder="1" applyAlignment="1">
      <alignment horizontal="center" vertical="center"/>
    </xf>
    <xf numFmtId="1" fontId="2" fillId="0" borderId="0" xfId="2" applyNumberFormat="1" applyBorder="1" applyAlignment="1">
      <alignment horizontal="center" vertical="center"/>
    </xf>
    <xf numFmtId="2" fontId="2" fillId="0" borderId="0" xfId="2" applyNumberFormat="1" applyBorder="1" applyAlignment="1">
      <alignment horizontal="center" vertical="center"/>
    </xf>
    <xf numFmtId="164" fontId="2" fillId="0" borderId="0" xfId="2" applyNumberFormat="1" applyBorder="1" applyAlignment="1">
      <alignment horizontal="center" vertical="center"/>
    </xf>
    <xf numFmtId="164" fontId="11" fillId="0" borderId="0" xfId="2" applyNumberFormat="1" applyFont="1" applyBorder="1" applyAlignment="1">
      <alignment horizontal="center" vertical="center"/>
    </xf>
    <xf numFmtId="164" fontId="2" fillId="0" borderId="0" xfId="2" applyNumberFormat="1" applyBorder="1"/>
    <xf numFmtId="0" fontId="11" fillId="0" borderId="2" xfId="2" applyFont="1" applyBorder="1" applyAlignment="1">
      <alignment horizontal="center" vertical="center"/>
    </xf>
    <xf numFmtId="0" fontId="14" fillId="0" borderId="2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6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1" fillId="0" borderId="3" xfId="2" applyFont="1" applyBorder="1" applyAlignment="1">
      <alignment horizontal="center" vertical="center"/>
    </xf>
    <xf numFmtId="0" fontId="17" fillId="0" borderId="0" xfId="2" applyFont="1" applyAlignment="1">
      <alignment horizontal="left"/>
    </xf>
    <xf numFmtId="0" fontId="18" fillId="0" borderId="2" xfId="2" applyFont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2" fillId="0" borderId="9" xfId="2" applyBorder="1" applyAlignment="1">
      <alignment horizontal="center" vertical="center"/>
    </xf>
    <xf numFmtId="0" fontId="11" fillId="0" borderId="4" xfId="2" applyFont="1" applyBorder="1" applyAlignment="1">
      <alignment horizontal="center" vertical="center"/>
    </xf>
    <xf numFmtId="0" fontId="2" fillId="4" borderId="2" xfId="2" applyFill="1" applyBorder="1" applyAlignment="1" applyProtection="1">
      <alignment horizontal="center" vertical="center"/>
      <protection locked="0"/>
    </xf>
    <xf numFmtId="164" fontId="2" fillId="4" borderId="2" xfId="2" applyNumberFormat="1" applyFill="1" applyBorder="1" applyAlignment="1" applyProtection="1">
      <alignment horizontal="center" vertical="center"/>
      <protection locked="0"/>
    </xf>
    <xf numFmtId="2" fontId="2" fillId="4" borderId="2" xfId="2" applyNumberFormat="1" applyFill="1" applyBorder="1" applyAlignment="1" applyProtection="1">
      <alignment horizontal="center" vertical="center"/>
      <protection locked="0"/>
    </xf>
    <xf numFmtId="164" fontId="2" fillId="0" borderId="2" xfId="2" applyNumberFormat="1" applyBorder="1" applyAlignment="1">
      <alignment horizontal="center" vertical="center"/>
    </xf>
    <xf numFmtId="164" fontId="11" fillId="0" borderId="2" xfId="2" applyNumberFormat="1" applyFont="1" applyBorder="1" applyAlignment="1">
      <alignment horizontal="center" vertical="center"/>
    </xf>
    <xf numFmtId="1" fontId="2" fillId="0" borderId="2" xfId="2" applyNumberFormat="1" applyBorder="1" applyAlignment="1">
      <alignment horizontal="center" vertical="center"/>
    </xf>
    <xf numFmtId="164" fontId="2" fillId="5" borderId="2" xfId="2" applyNumberFormat="1" applyFill="1" applyBorder="1" applyAlignment="1" applyProtection="1">
      <alignment horizontal="center" vertical="center"/>
      <protection locked="0"/>
    </xf>
    <xf numFmtId="164" fontId="2" fillId="0" borderId="9" xfId="2" applyNumberFormat="1" applyBorder="1" applyAlignment="1">
      <alignment horizontal="center" vertical="center"/>
    </xf>
    <xf numFmtId="164" fontId="2" fillId="0" borderId="3" xfId="2" applyNumberFormat="1" applyBorder="1"/>
    <xf numFmtId="164" fontId="2" fillId="0" borderId="5" xfId="2" applyNumberFormat="1" applyBorder="1" applyAlignment="1">
      <alignment horizontal="center" vertical="center"/>
    </xf>
    <xf numFmtId="164" fontId="11" fillId="0" borderId="10" xfId="2" applyNumberFormat="1" applyFont="1" applyBorder="1" applyAlignment="1">
      <alignment horizontal="center"/>
    </xf>
    <xf numFmtId="164" fontId="2" fillId="0" borderId="6" xfId="2" applyNumberFormat="1" applyBorder="1" applyAlignment="1">
      <alignment horizontal="center" vertical="center"/>
    </xf>
    <xf numFmtId="164" fontId="2" fillId="0" borderId="10" xfId="2" applyNumberFormat="1" applyBorder="1"/>
    <xf numFmtId="1" fontId="19" fillId="0" borderId="4" xfId="2" applyNumberFormat="1" applyFont="1" applyBorder="1" applyAlignment="1" applyProtection="1">
      <alignment horizontal="center"/>
    </xf>
    <xf numFmtId="0" fontId="2" fillId="0" borderId="0" xfId="2" quotePrefix="1" applyAlignment="1">
      <alignment horizontal="left"/>
    </xf>
    <xf numFmtId="0" fontId="20" fillId="0" borderId="0" xfId="2" applyFont="1"/>
    <xf numFmtId="0" fontId="21" fillId="0" borderId="0" xfId="2" applyFont="1"/>
    <xf numFmtId="0" fontId="16" fillId="0" borderId="0" xfId="2" applyFont="1"/>
    <xf numFmtId="0" fontId="21" fillId="0" borderId="0" xfId="2" applyFont="1" applyAlignment="1">
      <alignment horizontal="center"/>
    </xf>
    <xf numFmtId="0" fontId="22" fillId="0" borderId="0" xfId="2" applyFont="1"/>
    <xf numFmtId="0" fontId="27" fillId="0" borderId="0" xfId="2" applyFont="1"/>
    <xf numFmtId="0" fontId="17" fillId="0" borderId="0" xfId="2" applyFont="1"/>
    <xf numFmtId="0" fontId="30" fillId="0" borderId="0" xfId="2" applyFont="1"/>
    <xf numFmtId="0" fontId="32" fillId="0" borderId="0" xfId="2" applyFont="1"/>
    <xf numFmtId="0" fontId="28" fillId="0" borderId="0" xfId="2" applyFont="1"/>
    <xf numFmtId="14" fontId="0" fillId="0" borderId="2" xfId="0" applyNumberFormat="1" applyFont="1" applyFill="1" applyBorder="1" applyAlignment="1" applyProtection="1"/>
    <xf numFmtId="49" fontId="0" fillId="0" borderId="2" xfId="0" applyNumberFormat="1" applyFill="1" applyBorder="1" applyAlignment="1" applyProtection="1"/>
    <xf numFmtId="21" fontId="0" fillId="0" borderId="2" xfId="0" applyNumberFormat="1" applyBorder="1"/>
    <xf numFmtId="49" fontId="0" fillId="0" borderId="2" xfId="0" applyNumberFormat="1" applyFont="1" applyFill="1" applyBorder="1" applyAlignment="1" applyProtection="1"/>
    <xf numFmtId="0" fontId="4" fillId="0" borderId="2" xfId="1" applyNumberFormat="1" applyFont="1" applyFill="1" applyBorder="1" applyAlignment="1" applyProtection="1">
      <alignment horizontal="center"/>
      <protection locked="0"/>
    </xf>
    <xf numFmtId="20" fontId="4" fillId="0" borderId="2" xfId="0" applyNumberFormat="1" applyFont="1" applyFill="1" applyBorder="1" applyAlignment="1">
      <alignment horizontal="center"/>
    </xf>
    <xf numFmtId="10" fontId="4" fillId="0" borderId="0" xfId="0" applyNumberFormat="1" applyFont="1" applyAlignment="1">
      <alignment horizontal="center"/>
    </xf>
    <xf numFmtId="0" fontId="34" fillId="0" borderId="0" xfId="0" applyFont="1"/>
    <xf numFmtId="0" fontId="34" fillId="0" borderId="2" xfId="0" applyFont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10" fontId="6" fillId="0" borderId="0" xfId="1" applyNumberFormat="1" applyFont="1" applyFill="1" applyBorder="1" applyAlignment="1">
      <alignment horizontal="center"/>
    </xf>
    <xf numFmtId="10" fontId="6" fillId="0" borderId="0" xfId="3" applyNumberFormat="1" applyFont="1" applyFill="1" applyBorder="1" applyAlignment="1" applyProtection="1">
      <alignment horizontal="center"/>
    </xf>
    <xf numFmtId="14" fontId="0" fillId="0" borderId="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2" fontId="4" fillId="8" borderId="2" xfId="1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6" fillId="7" borderId="2" xfId="0" applyNumberFormat="1" applyFont="1" applyFill="1" applyBorder="1" applyAlignment="1">
      <alignment horizontal="center"/>
    </xf>
    <xf numFmtId="0" fontId="6" fillId="0" borderId="2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6" fillId="0" borderId="0" xfId="1" applyNumberFormat="1" applyFont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6" fillId="0" borderId="0" xfId="3" applyNumberFormat="1" applyFont="1" applyFill="1" applyBorder="1" applyAlignment="1" applyProtection="1">
      <alignment horizontal="center"/>
    </xf>
    <xf numFmtId="0" fontId="4" fillId="0" borderId="0" xfId="0" applyNumberFormat="1" applyFont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0" fontId="4" fillId="0" borderId="2" xfId="0" applyNumberFormat="1" applyFont="1" applyFill="1" applyBorder="1" applyAlignment="1">
      <alignment horizontal="center"/>
    </xf>
    <xf numFmtId="0" fontId="4" fillId="9" borderId="2" xfId="0" applyNumberFormat="1" applyFont="1" applyFill="1" applyBorder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4" fillId="8" borderId="2" xfId="0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/>
    <xf numFmtId="0" fontId="4" fillId="0" borderId="0" xfId="0" applyNumberFormat="1" applyFont="1" applyFill="1" applyBorder="1" applyAlignment="1"/>
    <xf numFmtId="10" fontId="4" fillId="0" borderId="0" xfId="3" applyNumberFormat="1" applyFont="1" applyFill="1" applyBorder="1" applyAlignment="1" applyProtection="1">
      <alignment horizontal="center"/>
      <protection locked="0"/>
    </xf>
    <xf numFmtId="0" fontId="4" fillId="10" borderId="2" xfId="0" applyFont="1" applyFill="1" applyBorder="1" applyAlignment="1">
      <alignment horizontal="center"/>
    </xf>
    <xf numFmtId="0" fontId="4" fillId="10" borderId="2" xfId="0" applyNumberFormat="1" applyFont="1" applyFill="1" applyBorder="1" applyAlignment="1">
      <alignment horizontal="center"/>
    </xf>
    <xf numFmtId="0" fontId="4" fillId="10" borderId="2" xfId="1" applyNumberFormat="1" applyFont="1" applyFill="1" applyBorder="1" applyAlignment="1" applyProtection="1">
      <alignment horizontal="center"/>
      <protection locked="0"/>
    </xf>
    <xf numFmtId="10" fontId="4" fillId="10" borderId="2" xfId="1" applyNumberFormat="1" applyFont="1" applyFill="1" applyBorder="1" applyAlignment="1" applyProtection="1">
      <alignment horizontal="center"/>
      <protection locked="0"/>
    </xf>
    <xf numFmtId="2" fontId="4" fillId="9" borderId="2" xfId="0" applyNumberFormat="1" applyFont="1" applyFill="1" applyBorder="1" applyAlignment="1">
      <alignment horizontal="center"/>
    </xf>
    <xf numFmtId="2" fontId="4" fillId="10" borderId="2" xfId="0" applyNumberFormat="1" applyFont="1" applyFill="1" applyBorder="1" applyAlignment="1">
      <alignment horizontal="center"/>
    </xf>
    <xf numFmtId="2" fontId="4" fillId="10" borderId="2" xfId="1" applyNumberFormat="1" applyFont="1" applyFill="1" applyBorder="1" applyAlignment="1">
      <alignment horizontal="center" vertical="center"/>
    </xf>
    <xf numFmtId="2" fontId="4" fillId="10" borderId="2" xfId="1" applyNumberFormat="1" applyFont="1" applyFill="1" applyBorder="1" applyAlignment="1">
      <alignment horizontal="center"/>
    </xf>
    <xf numFmtId="2" fontId="4" fillId="3" borderId="2" xfId="0" applyNumberFormat="1" applyFont="1" applyFill="1" applyBorder="1" applyAlignment="1" applyProtection="1">
      <alignment horizontal="center"/>
      <protection locked="0"/>
    </xf>
    <xf numFmtId="2" fontId="4" fillId="9" borderId="2" xfId="3" applyNumberFormat="1" applyFont="1" applyFill="1" applyBorder="1" applyAlignment="1" applyProtection="1">
      <alignment horizontal="center"/>
      <protection locked="0"/>
    </xf>
    <xf numFmtId="2" fontId="4" fillId="10" borderId="0" xfId="0" applyNumberFormat="1" applyFont="1" applyFill="1" applyAlignment="1">
      <alignment horizontal="center"/>
    </xf>
    <xf numFmtId="2" fontId="4" fillId="9" borderId="2" xfId="0" applyNumberFormat="1" applyFont="1" applyFill="1" applyBorder="1" applyAlignment="1" applyProtection="1">
      <alignment horizontal="center"/>
      <protection locked="0"/>
    </xf>
    <xf numFmtId="2" fontId="4" fillId="10" borderId="2" xfId="0" applyNumberFormat="1" applyFont="1" applyFill="1" applyBorder="1" applyAlignment="1" applyProtection="1">
      <alignment horizontal="center"/>
      <protection locked="0"/>
    </xf>
    <xf numFmtId="2" fontId="4" fillId="10" borderId="2" xfId="1" applyNumberFormat="1" applyFont="1" applyFill="1" applyBorder="1" applyAlignment="1" applyProtection="1">
      <alignment horizontal="center"/>
      <protection locked="0"/>
    </xf>
    <xf numFmtId="2" fontId="6" fillId="10" borderId="2" xfId="0" applyNumberFormat="1" applyFont="1" applyFill="1" applyBorder="1" applyAlignment="1">
      <alignment horizontal="center"/>
    </xf>
    <xf numFmtId="2" fontId="0" fillId="10" borderId="2" xfId="0" applyNumberFormat="1" applyFont="1" applyFill="1" applyBorder="1" applyAlignment="1" applyProtection="1">
      <alignment horizontal="center"/>
    </xf>
    <xf numFmtId="2" fontId="0" fillId="10" borderId="2" xfId="0" applyNumberFormat="1" applyFont="1" applyFill="1" applyBorder="1" applyAlignment="1">
      <alignment horizontal="center"/>
    </xf>
    <xf numFmtId="0" fontId="34" fillId="11" borderId="2" xfId="0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/>
    <xf numFmtId="10" fontId="6" fillId="0" borderId="2" xfId="1" applyNumberFormat="1" applyFont="1" applyFill="1" applyBorder="1" applyAlignment="1">
      <alignment horizontal="center"/>
    </xf>
    <xf numFmtId="10" fontId="6" fillId="0" borderId="2" xfId="3" applyNumberFormat="1" applyFont="1" applyFill="1" applyBorder="1" applyAlignment="1" applyProtection="1">
      <alignment horizontal="center"/>
    </xf>
    <xf numFmtId="0" fontId="6" fillId="14" borderId="2" xfId="0" applyNumberFormat="1" applyFont="1" applyFill="1" applyBorder="1" applyAlignment="1">
      <alignment horizontal="center"/>
    </xf>
    <xf numFmtId="0" fontId="6" fillId="0" borderId="2" xfId="3" applyNumberFormat="1" applyFont="1" applyFill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11" fillId="15" borderId="2" xfId="0" applyFont="1" applyFill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0" fontId="11" fillId="0" borderId="2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0" fontId="0" fillId="0" borderId="2" xfId="0" applyNumberFormat="1" applyFont="1" applyFill="1" applyBorder="1" applyAlignment="1" applyProtection="1">
      <alignment horizontal="left"/>
    </xf>
    <xf numFmtId="20" fontId="4" fillId="0" borderId="2" xfId="0" applyNumberFormat="1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ont="1" applyFill="1" applyBorder="1" applyAlignment="1" applyProtection="1">
      <alignment horizontal="center" vertical="center"/>
    </xf>
    <xf numFmtId="0" fontId="4" fillId="0" borderId="2" xfId="1" applyNumberFormat="1" applyFont="1" applyFill="1" applyBorder="1" applyAlignment="1" applyProtection="1">
      <alignment horizontal="center" vertical="center"/>
      <protection locked="0"/>
    </xf>
    <xf numFmtId="10" fontId="4" fillId="10" borderId="2" xfId="1" applyNumberFormat="1" applyFont="1" applyFill="1" applyBorder="1" applyAlignment="1" applyProtection="1">
      <alignment horizontal="center" vertical="center"/>
      <protection locked="0"/>
    </xf>
    <xf numFmtId="0" fontId="0" fillId="0" borderId="2" xfId="0" applyNumberFormat="1" applyFont="1" applyFill="1" applyBorder="1" applyAlignment="1">
      <alignment horizontal="center" vertical="center"/>
    </xf>
    <xf numFmtId="2" fontId="4" fillId="9" borderId="2" xfId="0" applyNumberFormat="1" applyFont="1" applyFill="1" applyBorder="1" applyAlignment="1">
      <alignment horizontal="center" vertical="center"/>
    </xf>
    <xf numFmtId="2" fontId="4" fillId="10" borderId="2" xfId="0" applyNumberFormat="1" applyFont="1" applyFill="1" applyBorder="1" applyAlignment="1">
      <alignment horizontal="center" vertical="center"/>
    </xf>
    <xf numFmtId="2" fontId="4" fillId="8" borderId="2" xfId="1" applyNumberFormat="1" applyFont="1" applyFill="1" applyBorder="1" applyAlignment="1" applyProtection="1">
      <alignment horizontal="center" vertical="center"/>
      <protection locked="0"/>
    </xf>
    <xf numFmtId="2" fontId="4" fillId="3" borderId="2" xfId="0" applyNumberFormat="1" applyFont="1" applyFill="1" applyBorder="1" applyAlignment="1" applyProtection="1">
      <alignment horizontal="center" vertical="center"/>
      <protection locked="0"/>
    </xf>
    <xf numFmtId="10" fontId="4" fillId="9" borderId="2" xfId="3" applyNumberFormat="1" applyFont="1" applyFill="1" applyBorder="1" applyAlignment="1" applyProtection="1">
      <alignment horizontal="center" vertical="center"/>
      <protection locked="0"/>
    </xf>
    <xf numFmtId="0" fontId="4" fillId="0" borderId="2" xfId="0" applyNumberFormat="1" applyFont="1" applyFill="1" applyBorder="1" applyAlignment="1">
      <alignment horizontal="center" vertical="center"/>
    </xf>
    <xf numFmtId="2" fontId="4" fillId="10" borderId="0" xfId="0" applyNumberFormat="1" applyFont="1" applyFill="1" applyAlignment="1">
      <alignment horizontal="center" vertical="center"/>
    </xf>
    <xf numFmtId="166" fontId="0" fillId="0" borderId="2" xfId="0" applyNumberFormat="1" applyFont="1" applyFill="1" applyBorder="1" applyAlignment="1">
      <alignment horizontal="center" vertical="center"/>
    </xf>
    <xf numFmtId="0" fontId="4" fillId="10" borderId="2" xfId="0" applyNumberFormat="1" applyFont="1" applyFill="1" applyBorder="1" applyAlignment="1">
      <alignment horizontal="center" vertical="center"/>
    </xf>
    <xf numFmtId="20" fontId="4" fillId="0" borderId="2" xfId="1" applyNumberFormat="1" applyFont="1" applyFill="1" applyBorder="1" applyAlignment="1" applyProtection="1">
      <alignment horizontal="center" vertical="center"/>
      <protection locked="0"/>
    </xf>
    <xf numFmtId="2" fontId="4" fillId="10" borderId="2" xfId="0" applyNumberFormat="1" applyFont="1" applyFill="1" applyBorder="1" applyAlignment="1" applyProtection="1">
      <alignment horizontal="center" vertical="center"/>
      <protection locked="0"/>
    </xf>
    <xf numFmtId="2" fontId="4" fillId="10" borderId="2" xfId="1" applyNumberFormat="1" applyFont="1" applyFill="1" applyBorder="1" applyAlignment="1" applyProtection="1">
      <alignment horizontal="center" vertical="center"/>
      <protection locked="0"/>
    </xf>
    <xf numFmtId="0" fontId="4" fillId="10" borderId="2" xfId="1" applyNumberFormat="1" applyFont="1" applyFill="1" applyBorder="1" applyAlignment="1" applyProtection="1">
      <alignment horizontal="center" vertical="center"/>
      <protection locked="0"/>
    </xf>
    <xf numFmtId="2" fontId="6" fillId="10" borderId="2" xfId="0" applyNumberFormat="1" applyFont="1" applyFill="1" applyBorder="1" applyAlignment="1">
      <alignment horizontal="center" vertical="center"/>
    </xf>
    <xf numFmtId="2" fontId="0" fillId="10" borderId="2" xfId="0" applyNumberFormat="1" applyFont="1" applyFill="1" applyBorder="1" applyAlignment="1" applyProtection="1">
      <alignment horizontal="center" vertical="center"/>
    </xf>
    <xf numFmtId="2" fontId="0" fillId="10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9" fontId="0" fillId="0" borderId="2" xfId="0" applyNumberFormat="1" applyFill="1" applyBorder="1" applyAlignment="1" applyProtection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49" fontId="0" fillId="0" borderId="2" xfId="0" applyNumberFormat="1" applyFont="1" applyFill="1" applyBorder="1" applyAlignment="1" applyProtection="1">
      <alignment horizontal="center" vertical="center"/>
    </xf>
    <xf numFmtId="10" fontId="12" fillId="9" borderId="2" xfId="3" applyNumberFormat="1" applyFill="1" applyBorder="1" applyAlignment="1" applyProtection="1">
      <alignment horizontal="center"/>
      <protection locked="0"/>
    </xf>
    <xf numFmtId="0" fontId="6" fillId="7" borderId="2" xfId="0" applyNumberFormat="1" applyFont="1" applyFill="1" applyBorder="1" applyAlignment="1">
      <alignment horizontal="center"/>
    </xf>
    <xf numFmtId="0" fontId="41" fillId="7" borderId="2" xfId="0" applyNumberFormat="1" applyFont="1" applyFill="1" applyBorder="1" applyAlignment="1">
      <alignment horizontal="center"/>
    </xf>
    <xf numFmtId="0" fontId="43" fillId="0" borderId="2" xfId="0" applyFont="1" applyFill="1" applyBorder="1" applyAlignment="1">
      <alignment horizontal="center"/>
    </xf>
    <xf numFmtId="0" fontId="43" fillId="10" borderId="2" xfId="0" applyFont="1" applyFill="1" applyBorder="1" applyAlignment="1">
      <alignment horizontal="center"/>
    </xf>
    <xf numFmtId="0" fontId="43" fillId="0" borderId="2" xfId="1" applyNumberFormat="1" applyFont="1" applyFill="1" applyBorder="1" applyAlignment="1" applyProtection="1">
      <alignment horizontal="center"/>
      <protection locked="0"/>
    </xf>
    <xf numFmtId="10" fontId="43" fillId="10" borderId="2" xfId="1" applyNumberFormat="1" applyFont="1" applyFill="1" applyBorder="1" applyAlignment="1" applyProtection="1">
      <alignment horizontal="center"/>
      <protection locked="0"/>
    </xf>
    <xf numFmtId="20" fontId="43" fillId="0" borderId="2" xfId="0" applyNumberFormat="1" applyFont="1" applyFill="1" applyBorder="1" applyAlignment="1">
      <alignment horizontal="center"/>
    </xf>
    <xf numFmtId="0" fontId="43" fillId="0" borderId="2" xfId="0" applyNumberFormat="1" applyFont="1" applyFill="1" applyBorder="1" applyAlignment="1">
      <alignment horizontal="center"/>
    </xf>
    <xf numFmtId="0" fontId="43" fillId="10" borderId="2" xfId="0" applyNumberFormat="1" applyFont="1" applyFill="1" applyBorder="1" applyAlignment="1">
      <alignment horizontal="center"/>
    </xf>
    <xf numFmtId="0" fontId="43" fillId="10" borderId="2" xfId="1" applyNumberFormat="1" applyFont="1" applyFill="1" applyBorder="1" applyAlignment="1" applyProtection="1">
      <alignment horizontal="center"/>
      <protection locked="0"/>
    </xf>
    <xf numFmtId="14" fontId="43" fillId="0" borderId="2" xfId="0" applyNumberFormat="1" applyFont="1" applyFill="1" applyBorder="1" applyAlignment="1" applyProtection="1"/>
    <xf numFmtId="49" fontId="43" fillId="0" borderId="2" xfId="0" applyNumberFormat="1" applyFont="1" applyFill="1" applyBorder="1" applyAlignment="1" applyProtection="1"/>
    <xf numFmtId="21" fontId="43" fillId="0" borderId="2" xfId="0" applyNumberFormat="1" applyFont="1" applyBorder="1"/>
    <xf numFmtId="0" fontId="43" fillId="0" borderId="2" xfId="0" applyFont="1" applyBorder="1"/>
    <xf numFmtId="0" fontId="43" fillId="0" borderId="2" xfId="0" applyNumberFormat="1" applyFont="1" applyFill="1" applyBorder="1" applyAlignment="1" applyProtection="1">
      <alignment horizontal="center"/>
    </xf>
    <xf numFmtId="10" fontId="43" fillId="9" borderId="2" xfId="3" applyNumberFormat="1" applyFont="1" applyFill="1" applyBorder="1" applyAlignment="1" applyProtection="1">
      <alignment horizontal="center"/>
      <protection locked="0"/>
    </xf>
    <xf numFmtId="166" fontId="43" fillId="0" borderId="2" xfId="0" applyNumberFormat="1" applyFont="1" applyFill="1" applyBorder="1" applyAlignment="1">
      <alignment horizontal="center"/>
    </xf>
    <xf numFmtId="10" fontId="43" fillId="9" borderId="2" xfId="3" applyNumberFormat="1" applyFont="1" applyFill="1" applyBorder="1" applyAlignment="1" applyProtection="1">
      <alignment horizontal="right"/>
      <protection locked="0"/>
    </xf>
    <xf numFmtId="2" fontId="4" fillId="9" borderId="2" xfId="3" applyNumberFormat="1" applyFont="1" applyFill="1" applyBorder="1" applyAlignment="1" applyProtection="1">
      <alignment horizontal="right"/>
      <protection locked="0"/>
    </xf>
    <xf numFmtId="2" fontId="43" fillId="9" borderId="2" xfId="0" applyNumberFormat="1" applyFont="1" applyFill="1" applyBorder="1" applyAlignment="1">
      <alignment horizontal="right"/>
    </xf>
    <xf numFmtId="2" fontId="43" fillId="10" borderId="2" xfId="0" applyNumberFormat="1" applyFont="1" applyFill="1" applyBorder="1" applyAlignment="1">
      <alignment horizontal="right"/>
    </xf>
    <xf numFmtId="2" fontId="43" fillId="10" borderId="2" xfId="1" applyNumberFormat="1" applyFont="1" applyFill="1" applyBorder="1" applyAlignment="1">
      <alignment horizontal="right" vertical="center"/>
    </xf>
    <xf numFmtId="2" fontId="43" fillId="10" borderId="2" xfId="1" applyNumberFormat="1" applyFont="1" applyFill="1" applyBorder="1" applyAlignment="1">
      <alignment horizontal="right"/>
    </xf>
    <xf numFmtId="2" fontId="43" fillId="8" borderId="2" xfId="1" applyNumberFormat="1" applyFont="1" applyFill="1" applyBorder="1" applyAlignment="1" applyProtection="1">
      <alignment horizontal="right"/>
      <protection locked="0"/>
    </xf>
    <xf numFmtId="2" fontId="43" fillId="3" borderId="2" xfId="0" applyNumberFormat="1" applyFont="1" applyFill="1" applyBorder="1" applyAlignment="1" applyProtection="1">
      <alignment horizontal="right"/>
      <protection locked="0"/>
    </xf>
    <xf numFmtId="2" fontId="43" fillId="10" borderId="0" xfId="0" applyNumberFormat="1" applyFont="1" applyFill="1" applyAlignment="1">
      <alignment horizontal="right"/>
    </xf>
    <xf numFmtId="2" fontId="43" fillId="10" borderId="2" xfId="0" applyNumberFormat="1" applyFont="1" applyFill="1" applyBorder="1" applyAlignment="1" applyProtection="1">
      <alignment horizontal="right"/>
      <protection locked="0"/>
    </xf>
    <xf numFmtId="2" fontId="41" fillId="10" borderId="2" xfId="0" applyNumberFormat="1" applyFont="1" applyFill="1" applyBorder="1" applyAlignment="1">
      <alignment horizontal="right"/>
    </xf>
    <xf numFmtId="2" fontId="43" fillId="10" borderId="2" xfId="1" applyNumberFormat="1" applyFont="1" applyFill="1" applyBorder="1" applyAlignment="1" applyProtection="1">
      <alignment horizontal="right"/>
      <protection locked="0"/>
    </xf>
    <xf numFmtId="2" fontId="0" fillId="0" borderId="0" xfId="0" applyNumberFormat="1"/>
    <xf numFmtId="0" fontId="0" fillId="8" borderId="0" xfId="0" applyFill="1"/>
    <xf numFmtId="0" fontId="0" fillId="0" borderId="5" xfId="2" applyFont="1" applyBorder="1" applyAlignment="1" applyProtection="1">
      <alignment horizontal="right"/>
      <protection locked="0"/>
    </xf>
    <xf numFmtId="0" fontId="44" fillId="0" borderId="0" xfId="4" applyFont="1"/>
    <xf numFmtId="0" fontId="44" fillId="0" borderId="0" xfId="4" applyFont="1" applyAlignment="1">
      <alignment horizontal="right"/>
    </xf>
    <xf numFmtId="0" fontId="45" fillId="0" borderId="0" xfId="4" applyFont="1" applyAlignment="1">
      <alignment horizontal="right"/>
    </xf>
    <xf numFmtId="0" fontId="45" fillId="0" borderId="0" xfId="4" applyFont="1" applyAlignment="1">
      <alignment horizontal="left"/>
    </xf>
    <xf numFmtId="0" fontId="46" fillId="0" borderId="0" xfId="5" applyNumberFormat="1" applyAlignment="1">
      <alignment horizontal="right"/>
    </xf>
    <xf numFmtId="0" fontId="46" fillId="0" borderId="0" xfId="5" applyNumberFormat="1"/>
    <xf numFmtId="0" fontId="47" fillId="0" borderId="0" xfId="4" applyFont="1"/>
    <xf numFmtId="0" fontId="40" fillId="0" borderId="0" xfId="4" applyFont="1"/>
    <xf numFmtId="0" fontId="42" fillId="0" borderId="0" xfId="4"/>
    <xf numFmtId="0" fontId="49" fillId="0" borderId="0" xfId="4" applyFont="1" applyAlignment="1">
      <alignment vertical="top"/>
    </xf>
    <xf numFmtId="0" fontId="50" fillId="0" borderId="0" xfId="4" applyFont="1" applyAlignment="1">
      <alignment horizontal="left" vertical="top"/>
    </xf>
    <xf numFmtId="0" fontId="50" fillId="0" borderId="0" xfId="4" applyFont="1" applyAlignment="1">
      <alignment vertical="top"/>
    </xf>
    <xf numFmtId="0" fontId="40" fillId="0" borderId="0" xfId="4" applyFont="1" applyAlignment="1">
      <alignment horizontal="center"/>
    </xf>
    <xf numFmtId="167" fontId="50" fillId="0" borderId="0" xfId="4" applyNumberFormat="1" applyFont="1" applyAlignment="1">
      <alignment horizontal="center" vertical="top"/>
    </xf>
    <xf numFmtId="169" fontId="49" fillId="0" borderId="0" xfId="4" applyNumberFormat="1" applyFont="1" applyAlignment="1">
      <alignment horizontal="left" vertical="top"/>
    </xf>
    <xf numFmtId="2" fontId="49" fillId="0" borderId="0" xfId="4" applyNumberFormat="1" applyFont="1"/>
    <xf numFmtId="0" fontId="51" fillId="0" borderId="0" xfId="4" applyFont="1" applyAlignment="1">
      <alignment horizontal="center" vertical="top"/>
    </xf>
    <xf numFmtId="0" fontId="51" fillId="0" borderId="0" xfId="4" applyFont="1" applyBorder="1" applyAlignment="1">
      <alignment horizontal="center" vertical="top"/>
    </xf>
    <xf numFmtId="0" fontId="40" fillId="0" borderId="0" xfId="4" applyFont="1" applyBorder="1" applyAlignment="1">
      <alignment horizontal="center" vertical="center"/>
    </xf>
    <xf numFmtId="1" fontId="40" fillId="0" borderId="0" xfId="4" applyNumberFormat="1" applyFont="1" applyBorder="1" applyAlignment="1">
      <alignment horizontal="center" vertical="center"/>
    </xf>
    <xf numFmtId="9" fontId="40" fillId="0" borderId="0" xfId="6" applyFont="1" applyBorder="1" applyAlignment="1">
      <alignment horizontal="left" vertical="top"/>
    </xf>
    <xf numFmtId="2" fontId="40" fillId="0" borderId="0" xfId="4" applyNumberFormat="1" applyFont="1" applyBorder="1" applyAlignment="1">
      <alignment horizontal="center" vertical="center"/>
    </xf>
    <xf numFmtId="164" fontId="40" fillId="0" borderId="0" xfId="4" applyNumberFormat="1" applyFont="1" applyBorder="1" applyAlignment="1">
      <alignment horizontal="center" vertical="center"/>
    </xf>
    <xf numFmtId="164" fontId="52" fillId="0" borderId="0" xfId="4" applyNumberFormat="1" applyFont="1" applyBorder="1" applyAlignment="1">
      <alignment horizontal="center" vertical="center"/>
    </xf>
    <xf numFmtId="164" fontId="40" fillId="0" borderId="0" xfId="4" applyNumberFormat="1" applyFont="1" applyBorder="1"/>
    <xf numFmtId="9" fontId="53" fillId="0" borderId="0" xfId="4" applyNumberFormat="1" applyFont="1"/>
    <xf numFmtId="0" fontId="50" fillId="0" borderId="13" xfId="4" applyFont="1" applyBorder="1" applyAlignment="1">
      <alignment horizontal="center" vertical="center"/>
    </xf>
    <xf numFmtId="0" fontId="50" fillId="0" borderId="14" xfId="4" applyFont="1" applyBorder="1" applyAlignment="1">
      <alignment horizontal="center" vertical="center"/>
    </xf>
    <xf numFmtId="0" fontId="50" fillId="0" borderId="15" xfId="4" applyFont="1" applyBorder="1" applyAlignment="1">
      <alignment horizontal="center" vertical="center"/>
    </xf>
    <xf numFmtId="0" fontId="55" fillId="0" borderId="13" xfId="4" applyFont="1" applyBorder="1" applyAlignment="1">
      <alignment horizontal="center" vertical="center"/>
    </xf>
    <xf numFmtId="0" fontId="49" fillId="0" borderId="14" xfId="4" applyFont="1" applyBorder="1" applyAlignment="1">
      <alignment horizontal="center" vertical="center"/>
    </xf>
    <xf numFmtId="0" fontId="57" fillId="0" borderId="13" xfId="4" applyFont="1" applyBorder="1" applyAlignment="1">
      <alignment horizontal="center" vertical="center"/>
    </xf>
    <xf numFmtId="0" fontId="50" fillId="0" borderId="8" xfId="4" applyFont="1" applyBorder="1" applyAlignment="1">
      <alignment horizontal="center" vertical="center"/>
    </xf>
    <xf numFmtId="0" fontId="53" fillId="0" borderId="0" xfId="4" applyFont="1"/>
    <xf numFmtId="0" fontId="49" fillId="0" borderId="17" xfId="4" applyFont="1" applyBorder="1" applyAlignment="1">
      <alignment horizontal="center" vertical="center"/>
    </xf>
    <xf numFmtId="0" fontId="49" fillId="0" borderId="18" xfId="4" applyFont="1" applyBorder="1" applyAlignment="1">
      <alignment horizontal="center" vertical="center"/>
    </xf>
    <xf numFmtId="0" fontId="49" fillId="0" borderId="19" xfId="4" applyFont="1" applyBorder="1" applyAlignment="1">
      <alignment horizontal="center" vertical="center"/>
    </xf>
    <xf numFmtId="0" fontId="49" fillId="0" borderId="9" xfId="4" applyFont="1" applyBorder="1" applyAlignment="1">
      <alignment horizontal="center" vertical="center"/>
    </xf>
    <xf numFmtId="0" fontId="50" fillId="0" borderId="12" xfId="4" applyFont="1" applyBorder="1" applyAlignment="1">
      <alignment horizontal="center" vertical="center"/>
    </xf>
    <xf numFmtId="1" fontId="49" fillId="0" borderId="12" xfId="4" applyNumberFormat="1" applyFont="1" applyFill="1" applyBorder="1" applyAlignment="1" applyProtection="1">
      <alignment horizontal="center" vertical="center"/>
      <protection locked="0"/>
    </xf>
    <xf numFmtId="170" fontId="49" fillId="0" borderId="13" xfId="7" applyNumberFormat="1" applyFont="1" applyFill="1" applyBorder="1" applyAlignment="1" applyProtection="1">
      <alignment horizontal="center" vertical="center"/>
      <protection locked="0"/>
    </xf>
    <xf numFmtId="2" fontId="49" fillId="0" borderId="14" xfId="4" applyNumberFormat="1" applyFont="1" applyFill="1" applyBorder="1" applyAlignment="1" applyProtection="1">
      <alignment horizontal="right" vertical="center" indent="1"/>
      <protection locked="0"/>
    </xf>
    <xf numFmtId="2" fontId="49" fillId="0" borderId="14" xfId="4" applyNumberFormat="1" applyFont="1" applyFill="1" applyBorder="1" applyAlignment="1" applyProtection="1">
      <alignment horizontal="center" vertical="center"/>
      <protection locked="0"/>
    </xf>
    <xf numFmtId="2" fontId="49" fillId="0" borderId="15" xfId="4" applyNumberFormat="1" applyFont="1" applyBorder="1" applyAlignment="1">
      <alignment horizontal="center" vertical="center"/>
    </xf>
    <xf numFmtId="164" fontId="50" fillId="0" borderId="12" xfId="4" applyNumberFormat="1" applyFont="1" applyBorder="1" applyAlignment="1">
      <alignment horizontal="center" vertical="center"/>
    </xf>
    <xf numFmtId="164" fontId="49" fillId="0" borderId="13" xfId="4" applyNumberFormat="1" applyFont="1" applyBorder="1" applyAlignment="1">
      <alignment horizontal="center" vertical="center"/>
    </xf>
    <xf numFmtId="2" fontId="49" fillId="0" borderId="14" xfId="4" applyNumberFormat="1" applyFont="1" applyBorder="1" applyAlignment="1" applyProtection="1">
      <alignment horizontal="center" vertical="center"/>
      <protection locked="0"/>
    </xf>
    <xf numFmtId="2" fontId="49" fillId="0" borderId="14" xfId="4" applyNumberFormat="1" applyFont="1" applyBorder="1" applyAlignment="1">
      <alignment horizontal="center" vertical="center"/>
    </xf>
    <xf numFmtId="1" fontId="49" fillId="0" borderId="15" xfId="4" applyNumberFormat="1" applyFont="1" applyBorder="1" applyAlignment="1">
      <alignment horizontal="center" vertical="center"/>
    </xf>
    <xf numFmtId="164" fontId="49" fillId="0" borderId="15" xfId="4" applyNumberFormat="1" applyFont="1" applyBorder="1" applyAlignment="1">
      <alignment horizontal="center" vertical="center"/>
    </xf>
    <xf numFmtId="164" fontId="49" fillId="0" borderId="9" xfId="4" applyNumberFormat="1" applyFont="1" applyBorder="1" applyAlignment="1">
      <alignment horizontal="center" vertical="center"/>
    </xf>
    <xf numFmtId="0" fontId="50" fillId="0" borderId="20" xfId="4" applyFont="1" applyBorder="1" applyAlignment="1">
      <alignment horizontal="center" vertical="center"/>
    </xf>
    <xf numFmtId="0" fontId="49" fillId="0" borderId="20" xfId="4" applyFont="1" applyFill="1" applyBorder="1" applyAlignment="1" applyProtection="1">
      <alignment horizontal="center" vertical="center"/>
      <protection locked="0"/>
    </xf>
    <xf numFmtId="170" fontId="49" fillId="0" borderId="21" xfId="7" applyNumberFormat="1" applyFont="1" applyFill="1" applyBorder="1" applyAlignment="1" applyProtection="1">
      <alignment horizontal="center" vertical="center"/>
      <protection locked="0"/>
    </xf>
    <xf numFmtId="2" fontId="49" fillId="0" borderId="22" xfId="4" applyNumberFormat="1" applyFont="1" applyFill="1" applyBorder="1" applyAlignment="1" applyProtection="1">
      <alignment horizontal="right" vertical="center" indent="1"/>
      <protection locked="0"/>
    </xf>
    <xf numFmtId="2" fontId="49" fillId="0" borderId="22" xfId="4" applyNumberFormat="1" applyFont="1" applyFill="1" applyBorder="1" applyAlignment="1" applyProtection="1">
      <alignment horizontal="center" vertical="center"/>
      <protection locked="0"/>
    </xf>
    <xf numFmtId="2" fontId="49" fillId="0" borderId="23" xfId="4" applyNumberFormat="1" applyFont="1" applyBorder="1" applyAlignment="1">
      <alignment horizontal="center" vertical="center"/>
    </xf>
    <xf numFmtId="164" fontId="50" fillId="0" borderId="20" xfId="4" applyNumberFormat="1" applyFont="1" applyBorder="1" applyAlignment="1">
      <alignment horizontal="center" vertical="center"/>
    </xf>
    <xf numFmtId="164" fontId="49" fillId="0" borderId="21" xfId="4" applyNumberFormat="1" applyFont="1" applyBorder="1" applyAlignment="1">
      <alignment horizontal="center" vertical="center"/>
    </xf>
    <xf numFmtId="2" fontId="49" fillId="0" borderId="22" xfId="4" applyNumberFormat="1" applyFont="1" applyBorder="1" applyAlignment="1" applyProtection="1">
      <alignment horizontal="center" vertical="center"/>
      <protection locked="0"/>
    </xf>
    <xf numFmtId="2" fontId="49" fillId="0" borderId="22" xfId="4" applyNumberFormat="1" applyFont="1" applyBorder="1" applyAlignment="1">
      <alignment horizontal="center" vertical="center"/>
    </xf>
    <xf numFmtId="1" fontId="49" fillId="0" borderId="23" xfId="4" applyNumberFormat="1" applyFont="1" applyBorder="1" applyAlignment="1">
      <alignment horizontal="center" vertical="center"/>
    </xf>
    <xf numFmtId="164" fontId="49" fillId="0" borderId="23" xfId="4" applyNumberFormat="1" applyFont="1" applyBorder="1" applyAlignment="1">
      <alignment horizontal="center" vertical="center"/>
    </xf>
    <xf numFmtId="164" fontId="49" fillId="0" borderId="5" xfId="4" applyNumberFormat="1" applyFont="1" applyBorder="1" applyAlignment="1">
      <alignment horizontal="center" vertical="center"/>
    </xf>
    <xf numFmtId="164" fontId="40" fillId="0" borderId="0" xfId="4" applyNumberFormat="1" applyFont="1"/>
    <xf numFmtId="0" fontId="50" fillId="0" borderId="24" xfId="4" applyFont="1" applyBorder="1" applyAlignment="1">
      <alignment horizontal="center" vertical="center"/>
    </xf>
    <xf numFmtId="170" fontId="49" fillId="0" borderId="25" xfId="7" applyNumberFormat="1" applyFont="1" applyFill="1" applyBorder="1" applyAlignment="1" applyProtection="1">
      <alignment horizontal="center" vertical="center"/>
      <protection locked="0"/>
    </xf>
    <xf numFmtId="164" fontId="50" fillId="0" borderId="24" xfId="4" applyNumberFormat="1" applyFont="1" applyBorder="1" applyAlignment="1">
      <alignment horizontal="center" vertical="center"/>
    </xf>
    <xf numFmtId="164" fontId="49" fillId="0" borderId="25" xfId="4" applyNumberFormat="1" applyFont="1" applyBorder="1" applyAlignment="1">
      <alignment horizontal="center" vertical="center"/>
    </xf>
    <xf numFmtId="2" fontId="49" fillId="0" borderId="26" xfId="4" applyNumberFormat="1" applyFont="1" applyBorder="1" applyAlignment="1" applyProtection="1">
      <alignment horizontal="center" vertical="center"/>
      <protection locked="0"/>
    </xf>
    <xf numFmtId="2" fontId="49" fillId="0" borderId="26" xfId="4" applyNumberFormat="1" applyFont="1" applyBorder="1" applyAlignment="1">
      <alignment horizontal="center" vertical="center"/>
    </xf>
    <xf numFmtId="1" fontId="49" fillId="0" borderId="27" xfId="4" applyNumberFormat="1" applyFont="1" applyBorder="1" applyAlignment="1">
      <alignment horizontal="center" vertical="center"/>
    </xf>
    <xf numFmtId="164" fontId="49" fillId="0" borderId="27" xfId="4" applyNumberFormat="1" applyFont="1" applyBorder="1" applyAlignment="1">
      <alignment horizontal="center" vertical="center"/>
    </xf>
    <xf numFmtId="164" fontId="49" fillId="0" borderId="6" xfId="4" applyNumberFormat="1" applyFont="1" applyBorder="1" applyAlignment="1">
      <alignment horizontal="center" vertical="center"/>
    </xf>
    <xf numFmtId="0" fontId="50" fillId="0" borderId="16" xfId="4" applyFont="1" applyBorder="1" applyAlignment="1">
      <alignment horizontal="center" vertical="center"/>
    </xf>
    <xf numFmtId="0" fontId="49" fillId="0" borderId="16" xfId="4" applyFont="1" applyFill="1" applyBorder="1" applyAlignment="1" applyProtection="1">
      <alignment horizontal="center" vertical="center"/>
      <protection locked="0"/>
    </xf>
    <xf numFmtId="170" fontId="49" fillId="0" borderId="17" xfId="7" applyNumberFormat="1" applyFont="1" applyFill="1" applyBorder="1" applyAlignment="1" applyProtection="1">
      <alignment horizontal="center" vertical="center"/>
      <protection locked="0"/>
    </xf>
    <xf numFmtId="2" fontId="49" fillId="0" borderId="18" xfId="4" applyNumberFormat="1" applyFont="1" applyFill="1" applyBorder="1" applyAlignment="1" applyProtection="1">
      <alignment horizontal="right" vertical="center" indent="1"/>
      <protection locked="0"/>
    </xf>
    <xf numFmtId="2" fontId="49" fillId="0" borderId="18" xfId="4" applyNumberFormat="1" applyFont="1" applyFill="1" applyBorder="1" applyAlignment="1" applyProtection="1">
      <alignment horizontal="center" vertical="center"/>
      <protection locked="0"/>
    </xf>
    <xf numFmtId="2" fontId="49" fillId="0" borderId="19" xfId="4" applyNumberFormat="1" applyFont="1" applyBorder="1" applyAlignment="1">
      <alignment horizontal="center" vertical="center"/>
    </xf>
    <xf numFmtId="164" fontId="50" fillId="0" borderId="16" xfId="4" applyNumberFormat="1" applyFont="1" applyBorder="1" applyAlignment="1">
      <alignment horizontal="center" vertical="center"/>
    </xf>
    <xf numFmtId="164" fontId="49" fillId="0" borderId="17" xfId="4" applyNumberFormat="1" applyFont="1" applyBorder="1" applyAlignment="1">
      <alignment horizontal="center" vertical="center"/>
    </xf>
    <xf numFmtId="2" fontId="49" fillId="0" borderId="18" xfId="4" applyNumberFormat="1" applyFont="1" applyBorder="1" applyAlignment="1" applyProtection="1">
      <alignment horizontal="center" vertical="center"/>
      <protection locked="0"/>
    </xf>
    <xf numFmtId="2" fontId="49" fillId="0" borderId="18" xfId="4" applyNumberFormat="1" applyFont="1" applyBorder="1" applyAlignment="1">
      <alignment horizontal="center" vertical="center"/>
    </xf>
    <xf numFmtId="164" fontId="49" fillId="0" borderId="19" xfId="4" applyNumberFormat="1" applyFont="1" applyBorder="1" applyAlignment="1">
      <alignment horizontal="center" vertical="center"/>
    </xf>
    <xf numFmtId="0" fontId="58" fillId="0" borderId="0" xfId="4" applyFont="1" applyBorder="1" applyAlignment="1">
      <alignment horizontal="center" vertical="center"/>
    </xf>
    <xf numFmtId="0" fontId="51" fillId="0" borderId="0" xfId="4" applyFont="1" applyBorder="1" applyAlignment="1" applyProtection="1">
      <alignment horizontal="center" vertical="center"/>
      <protection locked="0"/>
    </xf>
    <xf numFmtId="164" fontId="51" fillId="0" borderId="0" xfId="4" applyNumberFormat="1" applyFont="1" applyBorder="1" applyAlignment="1" applyProtection="1">
      <alignment horizontal="center" vertical="center"/>
      <protection locked="0"/>
    </xf>
    <xf numFmtId="2" fontId="51" fillId="0" borderId="0" xfId="4" applyNumberFormat="1" applyFont="1" applyBorder="1" applyAlignment="1" applyProtection="1">
      <alignment horizontal="center" vertical="center"/>
      <protection locked="0"/>
    </xf>
    <xf numFmtId="164" fontId="51" fillId="0" borderId="0" xfId="4" applyNumberFormat="1" applyFont="1" applyBorder="1" applyAlignment="1">
      <alignment horizontal="center" vertical="center"/>
    </xf>
    <xf numFmtId="164" fontId="58" fillId="0" borderId="0" xfId="4" applyNumberFormat="1" applyFont="1" applyBorder="1" applyAlignment="1">
      <alignment horizontal="center" vertical="center"/>
    </xf>
    <xf numFmtId="1" fontId="51" fillId="0" borderId="0" xfId="4" applyNumberFormat="1" applyFont="1" applyBorder="1" applyAlignment="1">
      <alignment horizontal="center" vertical="center"/>
    </xf>
    <xf numFmtId="0" fontId="40" fillId="0" borderId="0" xfId="4" quotePrefix="1" applyFont="1" applyAlignment="1">
      <alignment horizontal="left"/>
    </xf>
    <xf numFmtId="0" fontId="59" fillId="0" borderId="0" xfId="4" applyFont="1" applyAlignment="1">
      <alignment horizontal="center"/>
    </xf>
    <xf numFmtId="0" fontId="60" fillId="0" borderId="0" xfId="4" applyFont="1"/>
    <xf numFmtId="0" fontId="61" fillId="0" borderId="0" xfId="4" applyFont="1"/>
    <xf numFmtId="0" fontId="40" fillId="0" borderId="28" xfId="4" applyFont="1" applyBorder="1" applyAlignment="1">
      <alignment horizontal="left"/>
    </xf>
    <xf numFmtId="0" fontId="51" fillId="0" borderId="28" xfId="4" applyFont="1" applyBorder="1" applyAlignment="1">
      <alignment horizontal="center"/>
    </xf>
    <xf numFmtId="0" fontId="40" fillId="0" borderId="0" xfId="4" applyFont="1" applyBorder="1" applyAlignment="1">
      <alignment horizontal="left"/>
    </xf>
    <xf numFmtId="0" fontId="51" fillId="0" borderId="0" xfId="4" applyFont="1" applyBorder="1" applyAlignment="1">
      <alignment horizontal="center"/>
    </xf>
    <xf numFmtId="0" fontId="40" fillId="0" borderId="29" xfId="4" applyFont="1" applyBorder="1" applyAlignment="1">
      <alignment horizontal="left"/>
    </xf>
    <xf numFmtId="0" fontId="51" fillId="0" borderId="29" xfId="4" applyFont="1" applyBorder="1" applyAlignment="1">
      <alignment horizontal="center"/>
    </xf>
    <xf numFmtId="0" fontId="49" fillId="0" borderId="0" xfId="4" applyFont="1" applyAlignment="1">
      <alignment vertical="center"/>
    </xf>
    <xf numFmtId="10" fontId="4" fillId="9" borderId="1" xfId="3" applyNumberFormat="1" applyFont="1" applyFill="1" applyBorder="1" applyAlignment="1" applyProtection="1">
      <alignment horizontal="center" vertical="center"/>
      <protection locked="0"/>
    </xf>
    <xf numFmtId="0" fontId="4" fillId="0" borderId="30" xfId="0" applyFont="1" applyBorder="1" applyAlignment="1">
      <alignment horizontal="center" vertical="center"/>
    </xf>
    <xf numFmtId="49" fontId="4" fillId="0" borderId="30" xfId="0" applyNumberFormat="1" applyFont="1" applyFill="1" applyBorder="1" applyAlignment="1" applyProtection="1">
      <alignment horizontal="center" vertical="center"/>
    </xf>
    <xf numFmtId="21" fontId="4" fillId="0" borderId="30" xfId="0" applyNumberFormat="1" applyFont="1" applyBorder="1" applyAlignment="1">
      <alignment horizontal="center" vertical="center"/>
    </xf>
    <xf numFmtId="20" fontId="4" fillId="0" borderId="30" xfId="0" applyNumberFormat="1" applyFont="1" applyFill="1" applyBorder="1" applyAlignment="1">
      <alignment horizontal="center" vertical="center"/>
    </xf>
    <xf numFmtId="0" fontId="4" fillId="10" borderId="30" xfId="0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0" fontId="4" fillId="0" borderId="30" xfId="0" applyNumberFormat="1" applyFont="1" applyFill="1" applyBorder="1" applyAlignment="1" applyProtection="1">
      <alignment horizontal="center" vertical="center"/>
    </xf>
    <xf numFmtId="0" fontId="4" fillId="0" borderId="30" xfId="1" applyNumberFormat="1" applyFont="1" applyFill="1" applyBorder="1" applyAlignment="1" applyProtection="1">
      <alignment horizontal="center" vertical="center"/>
      <protection locked="0"/>
    </xf>
    <xf numFmtId="10" fontId="4" fillId="10" borderId="30" xfId="1" applyNumberFormat="1" applyFont="1" applyFill="1" applyBorder="1" applyAlignment="1" applyProtection="1">
      <alignment horizontal="center" vertical="center"/>
      <protection locked="0"/>
    </xf>
    <xf numFmtId="0" fontId="4" fillId="0" borderId="30" xfId="0" applyNumberFormat="1" applyFont="1" applyFill="1" applyBorder="1" applyAlignment="1">
      <alignment horizontal="center" vertical="center"/>
    </xf>
    <xf numFmtId="2" fontId="4" fillId="9" borderId="30" xfId="0" applyNumberFormat="1" applyFont="1" applyFill="1" applyBorder="1" applyAlignment="1">
      <alignment horizontal="center" vertical="center"/>
    </xf>
    <xf numFmtId="2" fontId="4" fillId="10" borderId="30" xfId="0" applyNumberFormat="1" applyFont="1" applyFill="1" applyBorder="1" applyAlignment="1">
      <alignment horizontal="center" vertical="center"/>
    </xf>
    <xf numFmtId="2" fontId="4" fillId="10" borderId="30" xfId="1" applyNumberFormat="1" applyFont="1" applyFill="1" applyBorder="1" applyAlignment="1">
      <alignment horizontal="center" vertical="center"/>
    </xf>
    <xf numFmtId="2" fontId="4" fillId="8" borderId="30" xfId="1" applyNumberFormat="1" applyFont="1" applyFill="1" applyBorder="1" applyAlignment="1" applyProtection="1">
      <alignment horizontal="center" vertical="center"/>
      <protection locked="0"/>
    </xf>
    <xf numFmtId="2" fontId="4" fillId="3" borderId="30" xfId="0" applyNumberFormat="1" applyFont="1" applyFill="1" applyBorder="1" applyAlignment="1" applyProtection="1">
      <alignment horizontal="center" vertical="center"/>
      <protection locked="0"/>
    </xf>
    <xf numFmtId="10" fontId="4" fillId="9" borderId="30" xfId="3" applyNumberFormat="1" applyFont="1" applyFill="1" applyBorder="1" applyAlignment="1" applyProtection="1">
      <alignment horizontal="center" vertical="center"/>
      <protection locked="0"/>
    </xf>
    <xf numFmtId="166" fontId="4" fillId="0" borderId="30" xfId="0" applyNumberFormat="1" applyFont="1" applyFill="1" applyBorder="1" applyAlignment="1">
      <alignment horizontal="center" vertical="center"/>
    </xf>
    <xf numFmtId="0" fontId="4" fillId="10" borderId="30" xfId="0" applyNumberFormat="1" applyFont="1" applyFill="1" applyBorder="1" applyAlignment="1">
      <alignment horizontal="center" vertical="center"/>
    </xf>
    <xf numFmtId="20" fontId="4" fillId="0" borderId="30" xfId="1" applyNumberFormat="1" applyFont="1" applyFill="1" applyBorder="1" applyAlignment="1" applyProtection="1">
      <alignment horizontal="center" vertical="center"/>
      <protection locked="0"/>
    </xf>
    <xf numFmtId="2" fontId="4" fillId="10" borderId="30" xfId="0" applyNumberFormat="1" applyFont="1" applyFill="1" applyBorder="1" applyAlignment="1" applyProtection="1">
      <alignment horizontal="center" vertical="center"/>
      <protection locked="0"/>
    </xf>
    <xf numFmtId="2" fontId="4" fillId="10" borderId="30" xfId="1" applyNumberFormat="1" applyFont="1" applyFill="1" applyBorder="1" applyAlignment="1" applyProtection="1">
      <alignment horizontal="center" vertical="center"/>
      <protection locked="0"/>
    </xf>
    <xf numFmtId="0" fontId="4" fillId="10" borderId="30" xfId="1" applyNumberFormat="1" applyFont="1" applyFill="1" applyBorder="1" applyAlignment="1" applyProtection="1">
      <alignment horizontal="center" vertical="center"/>
      <protection locked="0"/>
    </xf>
    <xf numFmtId="2" fontId="0" fillId="10" borderId="30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49" fontId="4" fillId="0" borderId="31" xfId="0" applyNumberFormat="1" applyFont="1" applyFill="1" applyBorder="1" applyAlignment="1" applyProtection="1">
      <alignment horizontal="center" vertical="center"/>
    </xf>
    <xf numFmtId="21" fontId="4" fillId="0" borderId="31" xfId="0" applyNumberFormat="1" applyFont="1" applyBorder="1" applyAlignment="1">
      <alignment horizontal="center" vertical="center"/>
    </xf>
    <xf numFmtId="20" fontId="4" fillId="0" borderId="31" xfId="0" applyNumberFormat="1" applyFont="1" applyFill="1" applyBorder="1" applyAlignment="1">
      <alignment horizontal="center" vertical="center"/>
    </xf>
    <xf numFmtId="0" fontId="4" fillId="10" borderId="31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0" borderId="31" xfId="0" applyNumberFormat="1" applyFont="1" applyFill="1" applyBorder="1" applyAlignment="1" applyProtection="1">
      <alignment horizontal="center" vertical="center"/>
    </xf>
    <xf numFmtId="0" fontId="4" fillId="0" borderId="31" xfId="1" applyNumberFormat="1" applyFont="1" applyFill="1" applyBorder="1" applyAlignment="1" applyProtection="1">
      <alignment horizontal="center" vertical="center"/>
      <protection locked="0"/>
    </xf>
    <xf numFmtId="10" fontId="4" fillId="10" borderId="31" xfId="1" applyNumberFormat="1" applyFont="1" applyFill="1" applyBorder="1" applyAlignment="1" applyProtection="1">
      <alignment horizontal="center" vertical="center"/>
      <protection locked="0"/>
    </xf>
    <xf numFmtId="0" fontId="4" fillId="0" borderId="31" xfId="0" applyNumberFormat="1" applyFont="1" applyFill="1" applyBorder="1" applyAlignment="1">
      <alignment horizontal="center" vertical="center"/>
    </xf>
    <xf numFmtId="2" fontId="4" fillId="9" borderId="31" xfId="0" applyNumberFormat="1" applyFont="1" applyFill="1" applyBorder="1" applyAlignment="1">
      <alignment horizontal="center" vertical="center"/>
    </xf>
    <xf numFmtId="2" fontId="4" fillId="10" borderId="31" xfId="0" applyNumberFormat="1" applyFont="1" applyFill="1" applyBorder="1" applyAlignment="1">
      <alignment horizontal="center" vertical="center"/>
    </xf>
    <xf numFmtId="2" fontId="4" fillId="10" borderId="31" xfId="1" applyNumberFormat="1" applyFont="1" applyFill="1" applyBorder="1" applyAlignment="1">
      <alignment horizontal="center" vertical="center"/>
    </xf>
    <xf numFmtId="2" fontId="4" fillId="8" borderId="31" xfId="1" applyNumberFormat="1" applyFont="1" applyFill="1" applyBorder="1" applyAlignment="1" applyProtection="1">
      <alignment horizontal="center" vertical="center"/>
      <protection locked="0"/>
    </xf>
    <xf numFmtId="2" fontId="4" fillId="3" borderId="31" xfId="0" applyNumberFormat="1" applyFont="1" applyFill="1" applyBorder="1" applyAlignment="1" applyProtection="1">
      <alignment horizontal="center" vertical="center"/>
      <protection locked="0"/>
    </xf>
    <xf numFmtId="10" fontId="4" fillId="9" borderId="31" xfId="3" applyNumberFormat="1" applyFont="1" applyFill="1" applyBorder="1" applyAlignment="1" applyProtection="1">
      <alignment horizontal="center" vertical="center"/>
      <protection locked="0"/>
    </xf>
    <xf numFmtId="10" fontId="4" fillId="9" borderId="32" xfId="3" applyNumberFormat="1" applyFont="1" applyFill="1" applyBorder="1" applyAlignment="1" applyProtection="1">
      <alignment horizontal="center" vertical="center"/>
      <protection locked="0"/>
    </xf>
    <xf numFmtId="10" fontId="4" fillId="9" borderId="4" xfId="3" applyNumberFormat="1" applyFont="1" applyFill="1" applyBorder="1" applyAlignment="1" applyProtection="1">
      <alignment horizontal="center" vertical="center"/>
      <protection locked="0"/>
    </xf>
    <xf numFmtId="0" fontId="6" fillId="7" borderId="30" xfId="0" applyNumberFormat="1" applyFont="1" applyFill="1" applyBorder="1" applyAlignment="1">
      <alignment horizontal="center"/>
    </xf>
    <xf numFmtId="2" fontId="4" fillId="8" borderId="31" xfId="1" applyNumberFormat="1" applyFont="1" applyFill="1" applyBorder="1" applyAlignment="1" applyProtection="1">
      <alignment horizontal="right" vertical="center"/>
      <protection locked="0"/>
    </xf>
    <xf numFmtId="2" fontId="4" fillId="8" borderId="30" xfId="1" applyNumberFormat="1" applyFont="1" applyFill="1" applyBorder="1" applyAlignment="1" applyProtection="1">
      <alignment horizontal="right" vertical="center"/>
      <protection locked="0"/>
    </xf>
    <xf numFmtId="164" fontId="0" fillId="0" borderId="0" xfId="0" applyNumberFormat="1"/>
    <xf numFmtId="164" fontId="4" fillId="0" borderId="0" xfId="0" applyNumberFormat="1" applyFont="1" applyFill="1" applyBorder="1" applyAlignment="1">
      <alignment horizontal="right"/>
    </xf>
    <xf numFmtId="9" fontId="6" fillId="0" borderId="0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1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/>
    <xf numFmtId="0" fontId="41" fillId="0" borderId="0" xfId="0" applyNumberFormat="1" applyFont="1" applyFill="1" applyBorder="1" applyAlignment="1">
      <alignment horizontal="right"/>
    </xf>
    <xf numFmtId="0" fontId="40" fillId="0" borderId="29" xfId="0" applyFont="1" applyBorder="1"/>
    <xf numFmtId="0" fontId="40" fillId="0" borderId="29" xfId="0" applyFont="1" applyBorder="1" applyAlignment="1">
      <alignment horizontal="right"/>
    </xf>
    <xf numFmtId="0" fontId="40" fillId="0" borderId="0" xfId="0" applyFont="1"/>
    <xf numFmtId="0" fontId="40" fillId="0" borderId="0" xfId="0" applyFont="1" applyAlignment="1">
      <alignment horizontal="right"/>
    </xf>
    <xf numFmtId="9" fontId="40" fillId="0" borderId="0" xfId="3" applyFont="1"/>
    <xf numFmtId="9" fontId="40" fillId="0" borderId="29" xfId="3" applyFont="1" applyBorder="1"/>
    <xf numFmtId="10" fontId="4" fillId="32" borderId="31" xfId="3" applyNumberFormat="1" applyFont="1" applyFill="1" applyBorder="1" applyAlignment="1" applyProtection="1">
      <alignment horizontal="center" vertical="center"/>
      <protection locked="0"/>
    </xf>
    <xf numFmtId="10" fontId="4" fillId="32" borderId="30" xfId="3" applyNumberFormat="1" applyFont="1" applyFill="1" applyBorder="1" applyAlignment="1" applyProtection="1">
      <alignment horizontal="center" vertical="center"/>
      <protection locked="0"/>
    </xf>
    <xf numFmtId="10" fontId="4" fillId="32" borderId="31" xfId="3" applyNumberFormat="1" applyFont="1" applyFill="1" applyBorder="1" applyAlignment="1" applyProtection="1">
      <alignment horizontal="center" vertical="center"/>
    </xf>
    <xf numFmtId="10" fontId="4" fillId="32" borderId="30" xfId="3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protection locked="0"/>
    </xf>
    <xf numFmtId="0" fontId="4" fillId="0" borderId="0" xfId="0" applyNumberFormat="1" applyFont="1" applyFill="1" applyBorder="1" applyAlignment="1" applyProtection="1">
      <alignment horizontal="center"/>
      <protection locked="0"/>
    </xf>
    <xf numFmtId="9" fontId="6" fillId="0" borderId="0" xfId="0" applyNumberFormat="1" applyFont="1" applyFill="1" applyBorder="1" applyAlignment="1" applyProtection="1">
      <protection locked="0"/>
    </xf>
    <xf numFmtId="2" fontId="4" fillId="10" borderId="31" xfId="0" applyNumberFormat="1" applyFont="1" applyFill="1" applyBorder="1" applyAlignment="1" applyProtection="1">
      <alignment horizontal="center" vertical="center"/>
      <protection locked="0"/>
    </xf>
    <xf numFmtId="2" fontId="4" fillId="10" borderId="31" xfId="1" applyNumberFormat="1" applyFont="1" applyFill="1" applyBorder="1" applyAlignment="1" applyProtection="1">
      <alignment horizontal="center" vertical="center"/>
      <protection locked="0"/>
    </xf>
    <xf numFmtId="0" fontId="4" fillId="0" borderId="31" xfId="0" applyNumberFormat="1" applyFont="1" applyFill="1" applyBorder="1" applyAlignment="1" applyProtection="1">
      <alignment horizontal="center" vertical="center"/>
      <protection locked="0"/>
    </xf>
    <xf numFmtId="0" fontId="4" fillId="0" borderId="31" xfId="0" applyFont="1" applyBorder="1" applyAlignment="1" applyProtection="1">
      <alignment horizontal="center" vertical="center"/>
      <protection locked="0"/>
    </xf>
    <xf numFmtId="0" fontId="4" fillId="0" borderId="30" xfId="0" applyNumberFormat="1" applyFont="1" applyFill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49" fontId="4" fillId="0" borderId="31" xfId="0" applyNumberFormat="1" applyFont="1" applyFill="1" applyBorder="1" applyAlignment="1" applyProtection="1">
      <alignment horizontal="center" vertical="center"/>
      <protection locked="0"/>
    </xf>
    <xf numFmtId="21" fontId="4" fillId="0" borderId="31" xfId="0" applyNumberFormat="1" applyFont="1" applyBorder="1" applyAlignment="1" applyProtection="1">
      <alignment horizontal="center" vertical="center"/>
      <protection locked="0"/>
    </xf>
    <xf numFmtId="20" fontId="4" fillId="0" borderId="31" xfId="0" applyNumberFormat="1" applyFont="1" applyFill="1" applyBorder="1" applyAlignment="1" applyProtection="1">
      <alignment horizontal="center" vertical="center"/>
      <protection locked="0"/>
    </xf>
    <xf numFmtId="0" fontId="4" fillId="10" borderId="31" xfId="0" applyFont="1" applyFill="1" applyBorder="1" applyAlignment="1" applyProtection="1">
      <alignment horizontal="center" vertical="center"/>
      <protection locked="0"/>
    </xf>
    <xf numFmtId="0" fontId="4" fillId="0" borderId="31" xfId="0" applyFont="1" applyFill="1" applyBorder="1" applyAlignment="1" applyProtection="1">
      <alignment horizontal="center" vertical="center"/>
      <protection locked="0"/>
    </xf>
    <xf numFmtId="49" fontId="4" fillId="0" borderId="30" xfId="0" applyNumberFormat="1" applyFont="1" applyFill="1" applyBorder="1" applyAlignment="1" applyProtection="1">
      <alignment horizontal="center" vertical="center"/>
      <protection locked="0"/>
    </xf>
    <xf numFmtId="21" fontId="4" fillId="0" borderId="30" xfId="0" applyNumberFormat="1" applyFont="1" applyBorder="1" applyAlignment="1" applyProtection="1">
      <alignment horizontal="center" vertical="center"/>
      <protection locked="0"/>
    </xf>
    <xf numFmtId="20" fontId="4" fillId="0" borderId="30" xfId="0" applyNumberFormat="1" applyFont="1" applyFill="1" applyBorder="1" applyAlignment="1" applyProtection="1">
      <alignment horizontal="center" vertical="center"/>
      <protection locked="0"/>
    </xf>
    <xf numFmtId="0" fontId="4" fillId="10" borderId="30" xfId="0" applyFont="1" applyFill="1" applyBorder="1" applyAlignment="1" applyProtection="1">
      <alignment horizontal="center" vertical="center"/>
      <protection locked="0"/>
    </xf>
    <xf numFmtId="0" fontId="4" fillId="0" borderId="30" xfId="0" applyFont="1" applyFill="1" applyBorder="1" applyAlignment="1" applyProtection="1">
      <alignment horizontal="center" vertical="center"/>
      <protection locked="0"/>
    </xf>
    <xf numFmtId="166" fontId="4" fillId="0" borderId="30" xfId="0" applyNumberFormat="1" applyFont="1" applyFill="1" applyBorder="1" applyAlignment="1" applyProtection="1">
      <alignment horizontal="center" vertical="center"/>
      <protection locked="0"/>
    </xf>
    <xf numFmtId="0" fontId="4" fillId="10" borderId="30" xfId="0" applyNumberFormat="1" applyFont="1" applyFill="1" applyBorder="1" applyAlignment="1" applyProtection="1">
      <alignment horizontal="center" vertical="center"/>
      <protection locked="0"/>
    </xf>
    <xf numFmtId="10" fontId="4" fillId="9" borderId="32" xfId="3" applyNumberFormat="1" applyFont="1" applyFill="1" applyBorder="1" applyAlignment="1" applyProtection="1">
      <alignment horizontal="center" vertical="center"/>
    </xf>
    <xf numFmtId="10" fontId="4" fillId="9" borderId="4" xfId="3" applyNumberFormat="1" applyFont="1" applyFill="1" applyBorder="1" applyAlignment="1" applyProtection="1">
      <alignment horizontal="center" vertical="center"/>
    </xf>
    <xf numFmtId="164" fontId="4" fillId="0" borderId="0" xfId="0" applyNumberFormat="1" applyFont="1" applyFill="1" applyBorder="1" applyAlignment="1" applyProtection="1">
      <alignment horizontal="right"/>
    </xf>
    <xf numFmtId="10" fontId="4" fillId="9" borderId="1" xfId="3" applyNumberFormat="1" applyFont="1" applyFill="1" applyBorder="1" applyAlignment="1" applyProtection="1">
      <alignment horizontal="center" vertical="center"/>
    </xf>
    <xf numFmtId="10" fontId="4" fillId="9" borderId="2" xfId="3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/>
    </xf>
    <xf numFmtId="2" fontId="4" fillId="8" borderId="31" xfId="1" applyNumberFormat="1" applyFont="1" applyFill="1" applyBorder="1" applyAlignment="1" applyProtection="1">
      <alignment horizontal="right" vertical="center"/>
    </xf>
    <xf numFmtId="2" fontId="4" fillId="8" borderId="30" xfId="1" applyNumberFormat="1" applyFont="1" applyFill="1" applyBorder="1" applyAlignment="1" applyProtection="1">
      <alignment horizontal="center" vertical="center"/>
    </xf>
    <xf numFmtId="2" fontId="4" fillId="8" borderId="31" xfId="1" applyNumberFormat="1" applyFont="1" applyFill="1" applyBorder="1" applyAlignment="1" applyProtection="1">
      <alignment horizontal="center" vertical="center"/>
    </xf>
    <xf numFmtId="2" fontId="4" fillId="3" borderId="31" xfId="0" applyNumberFormat="1" applyFont="1" applyFill="1" applyBorder="1" applyAlignment="1" applyProtection="1">
      <alignment horizontal="center" vertical="center"/>
    </xf>
    <xf numFmtId="2" fontId="4" fillId="3" borderId="30" xfId="0" applyNumberFormat="1" applyFont="1" applyFill="1" applyBorder="1" applyAlignment="1" applyProtection="1">
      <alignment horizontal="center" vertical="center"/>
    </xf>
    <xf numFmtId="2" fontId="4" fillId="9" borderId="30" xfId="0" applyNumberFormat="1" applyFont="1" applyFill="1" applyBorder="1" applyAlignment="1" applyProtection="1">
      <alignment horizontal="center" vertical="center"/>
    </xf>
    <xf numFmtId="2" fontId="4" fillId="9" borderId="31" xfId="0" applyNumberFormat="1" applyFont="1" applyFill="1" applyBorder="1" applyAlignment="1" applyProtection="1">
      <alignment horizontal="center" vertical="center"/>
    </xf>
    <xf numFmtId="10" fontId="4" fillId="10" borderId="31" xfId="1" applyNumberFormat="1" applyFont="1" applyFill="1" applyBorder="1" applyAlignment="1" applyProtection="1">
      <alignment horizontal="center" vertical="center"/>
    </xf>
    <xf numFmtId="10" fontId="4" fillId="10" borderId="30" xfId="1" applyNumberFormat="1" applyFont="1" applyFill="1" applyBorder="1" applyAlignment="1" applyProtection="1">
      <alignment horizontal="center" vertical="center"/>
    </xf>
    <xf numFmtId="0" fontId="40" fillId="0" borderId="0" xfId="0" applyFont="1" applyProtection="1">
      <protection locked="0"/>
    </xf>
    <xf numFmtId="2" fontId="6" fillId="7" borderId="30" xfId="0" applyNumberFormat="1" applyFont="1" applyFill="1" applyBorder="1" applyAlignment="1">
      <alignment horizontal="center"/>
    </xf>
    <xf numFmtId="0" fontId="40" fillId="0" borderId="28" xfId="4" applyFont="1" applyBorder="1" applyAlignment="1"/>
    <xf numFmtId="0" fontId="40" fillId="0" borderId="0" xfId="4" applyFont="1" applyBorder="1" applyAlignment="1"/>
    <xf numFmtId="0" fontId="40" fillId="0" borderId="29" xfId="4" applyFont="1" applyBorder="1" applyAlignment="1"/>
    <xf numFmtId="10" fontId="4" fillId="9" borderId="31" xfId="3" applyNumberFormat="1" applyFont="1" applyFill="1" applyBorder="1" applyAlignment="1" applyProtection="1">
      <alignment horizontal="center" vertical="center"/>
    </xf>
    <xf numFmtId="0" fontId="6" fillId="7" borderId="2" xfId="0" applyNumberFormat="1" applyFont="1" applyFill="1" applyBorder="1" applyAlignment="1">
      <alignment horizontal="center"/>
    </xf>
    <xf numFmtId="0" fontId="6" fillId="7" borderId="30" xfId="0" applyNumberFormat="1" applyFont="1" applyFill="1" applyBorder="1" applyAlignment="1">
      <alignment horizontal="center"/>
    </xf>
    <xf numFmtId="0" fontId="6" fillId="7" borderId="2" xfId="0" applyNumberFormat="1" applyFont="1" applyFill="1" applyBorder="1" applyAlignment="1">
      <alignment horizontal="center"/>
    </xf>
    <xf numFmtId="0" fontId="41" fillId="7" borderId="2" xfId="0" applyNumberFormat="1" applyFont="1" applyFill="1" applyBorder="1" applyAlignment="1">
      <alignment horizontal="center"/>
    </xf>
    <xf numFmtId="0" fontId="4" fillId="33" borderId="30" xfId="0" applyFont="1" applyFill="1" applyBorder="1" applyAlignment="1" applyProtection="1">
      <alignment horizontal="center" vertical="center"/>
      <protection locked="0"/>
    </xf>
    <xf numFmtId="164" fontId="4" fillId="0" borderId="0" xfId="0" applyNumberFormat="1" applyFont="1" applyFill="1" applyBorder="1" applyAlignment="1">
      <alignment horizontal="center"/>
    </xf>
    <xf numFmtId="2" fontId="40" fillId="0" borderId="0" xfId="0" applyNumberFormat="1" applyFont="1"/>
    <xf numFmtId="0" fontId="50" fillId="0" borderId="0" xfId="4" applyFont="1" applyAlignment="1">
      <alignment horizontal="left" vertical="top"/>
    </xf>
    <xf numFmtId="0" fontId="40" fillId="0" borderId="0" xfId="4" applyFont="1" applyAlignment="1">
      <alignment horizontal="center"/>
    </xf>
    <xf numFmtId="0" fontId="50" fillId="0" borderId="12" xfId="4" applyFont="1" applyBorder="1" applyAlignment="1">
      <alignment horizontal="center" vertical="center"/>
    </xf>
    <xf numFmtId="0" fontId="50" fillId="0" borderId="16" xfId="4" applyFont="1" applyBorder="1" applyAlignment="1">
      <alignment horizontal="center" vertical="center"/>
    </xf>
    <xf numFmtId="0" fontId="49" fillId="0" borderId="19" xfId="4" applyFont="1" applyBorder="1" applyAlignment="1">
      <alignment horizontal="center" vertical="center"/>
    </xf>
    <xf numFmtId="0" fontId="6" fillId="7" borderId="2" xfId="0" applyNumberFormat="1" applyFont="1" applyFill="1" applyBorder="1" applyAlignment="1">
      <alignment horizontal="center"/>
    </xf>
    <xf numFmtId="0" fontId="6" fillId="2" borderId="2" xfId="0" applyNumberFormat="1" applyFont="1" applyFill="1" applyBorder="1" applyAlignment="1">
      <alignment horizontal="center"/>
    </xf>
    <xf numFmtId="0" fontId="6" fillId="12" borderId="5" xfId="1" applyNumberFormat="1" applyFont="1" applyFill="1" applyBorder="1" applyAlignment="1">
      <alignment horizontal="center"/>
    </xf>
    <xf numFmtId="0" fontId="6" fillId="12" borderId="7" xfId="1" applyNumberFormat="1" applyFont="1" applyFill="1" applyBorder="1" applyAlignment="1">
      <alignment horizontal="center"/>
    </xf>
    <xf numFmtId="0" fontId="6" fillId="12" borderId="1" xfId="1" applyNumberFormat="1" applyFont="1" applyFill="1" applyBorder="1" applyAlignment="1">
      <alignment horizontal="center"/>
    </xf>
    <xf numFmtId="0" fontId="11" fillId="12" borderId="5" xfId="0" applyNumberFormat="1" applyFont="1" applyFill="1" applyBorder="1" applyAlignment="1">
      <alignment horizontal="center"/>
    </xf>
    <xf numFmtId="0" fontId="11" fillId="12" borderId="7" xfId="0" applyNumberFormat="1" applyFont="1" applyFill="1" applyBorder="1" applyAlignment="1">
      <alignment horizontal="center"/>
    </xf>
    <xf numFmtId="0" fontId="11" fillId="12" borderId="1" xfId="0" applyNumberFormat="1" applyFont="1" applyFill="1" applyBorder="1" applyAlignment="1">
      <alignment horizontal="center"/>
    </xf>
    <xf numFmtId="0" fontId="6" fillId="12" borderId="5" xfId="0" applyNumberFormat="1" applyFont="1" applyFill="1" applyBorder="1" applyAlignment="1">
      <alignment horizontal="center"/>
    </xf>
    <xf numFmtId="0" fontId="6" fillId="12" borderId="7" xfId="0" applyNumberFormat="1" applyFont="1" applyFill="1" applyBorder="1" applyAlignment="1">
      <alignment horizontal="center"/>
    </xf>
    <xf numFmtId="0" fontId="6" fillId="12" borderId="1" xfId="0" applyNumberFormat="1" applyFont="1" applyFill="1" applyBorder="1" applyAlignment="1">
      <alignment horizontal="center"/>
    </xf>
    <xf numFmtId="0" fontId="6" fillId="7" borderId="3" xfId="0" applyNumberFormat="1" applyFont="1" applyFill="1" applyBorder="1" applyAlignment="1">
      <alignment horizontal="center" vertical="center"/>
    </xf>
    <xf numFmtId="0" fontId="6" fillId="7" borderId="4" xfId="0" applyNumberFormat="1" applyFont="1" applyFill="1" applyBorder="1" applyAlignment="1">
      <alignment horizontal="center" vertical="center"/>
    </xf>
    <xf numFmtId="0" fontId="6" fillId="13" borderId="5" xfId="0" applyNumberFormat="1" applyFont="1" applyFill="1" applyBorder="1" applyAlignment="1">
      <alignment horizontal="center"/>
    </xf>
    <xf numFmtId="0" fontId="6" fillId="13" borderId="7" xfId="0" applyNumberFormat="1" applyFont="1" applyFill="1" applyBorder="1" applyAlignment="1">
      <alignment horizontal="center"/>
    </xf>
    <xf numFmtId="0" fontId="6" fillId="13" borderId="1" xfId="0" applyNumberFormat="1" applyFont="1" applyFill="1" applyBorder="1" applyAlignment="1">
      <alignment horizontal="center"/>
    </xf>
    <xf numFmtId="0" fontId="11" fillId="12" borderId="5" xfId="0" applyNumberFormat="1" applyFont="1" applyFill="1" applyBorder="1" applyAlignment="1">
      <alignment horizontal="center" wrapText="1"/>
    </xf>
    <xf numFmtId="0" fontId="11" fillId="12" borderId="7" xfId="0" applyNumberFormat="1" applyFont="1" applyFill="1" applyBorder="1" applyAlignment="1">
      <alignment horizontal="center" wrapText="1"/>
    </xf>
    <xf numFmtId="0" fontId="11" fillId="12" borderId="1" xfId="0" applyNumberFormat="1" applyFont="1" applyFill="1" applyBorder="1" applyAlignment="1">
      <alignment horizontal="center" wrapText="1"/>
    </xf>
    <xf numFmtId="0" fontId="6" fillId="7" borderId="30" xfId="0" applyNumberFormat="1" applyFont="1" applyFill="1" applyBorder="1" applyAlignment="1">
      <alignment horizontal="center"/>
    </xf>
    <xf numFmtId="0" fontId="6" fillId="7" borderId="30" xfId="0" applyNumberFormat="1" applyFont="1" applyFill="1" applyBorder="1" applyAlignment="1">
      <alignment horizontal="center" vertical="center"/>
    </xf>
    <xf numFmtId="0" fontId="6" fillId="7" borderId="30" xfId="0" applyNumberFormat="1" applyFont="1" applyFill="1" applyBorder="1" applyAlignment="1">
      <alignment horizontal="center" vertical="center" wrapText="1"/>
    </xf>
    <xf numFmtId="0" fontId="6" fillId="7" borderId="33" xfId="0" applyNumberFormat="1" applyFont="1" applyFill="1" applyBorder="1" applyAlignment="1">
      <alignment horizontal="center"/>
    </xf>
    <xf numFmtId="0" fontId="6" fillId="7" borderId="34" xfId="0" applyNumberFormat="1" applyFont="1" applyFill="1" applyBorder="1" applyAlignment="1">
      <alignment horizontal="center"/>
    </xf>
    <xf numFmtId="0" fontId="6" fillId="7" borderId="35" xfId="0" applyNumberFormat="1" applyFont="1" applyFill="1" applyBorder="1" applyAlignment="1">
      <alignment horizontal="center"/>
    </xf>
    <xf numFmtId="0" fontId="48" fillId="0" borderId="0" xfId="4" applyFont="1" applyAlignment="1">
      <alignment horizontal="left"/>
    </xf>
    <xf numFmtId="0" fontId="50" fillId="0" borderId="0" xfId="4" applyFont="1" applyFill="1" applyBorder="1" applyAlignment="1" applyProtection="1">
      <alignment horizontal="left" vertical="top"/>
      <protection locked="0"/>
    </xf>
    <xf numFmtId="0" fontId="50" fillId="0" borderId="0" xfId="4" applyFont="1" applyAlignment="1">
      <alignment horizontal="left" vertical="top"/>
    </xf>
    <xf numFmtId="0" fontId="40" fillId="0" borderId="28" xfId="4" applyFont="1" applyBorder="1" applyAlignment="1">
      <alignment horizontal="left" vertical="top" wrapText="1"/>
    </xf>
    <xf numFmtId="0" fontId="40" fillId="0" borderId="0" xfId="4" applyFont="1" applyBorder="1" applyAlignment="1">
      <alignment horizontal="left" vertical="top" wrapText="1"/>
    </xf>
    <xf numFmtId="0" fontId="40" fillId="0" borderId="29" xfId="4" applyFont="1" applyBorder="1" applyAlignment="1">
      <alignment horizontal="left" vertical="top" wrapText="1"/>
    </xf>
    <xf numFmtId="164" fontId="50" fillId="0" borderId="3" xfId="4" applyNumberFormat="1" applyFont="1" applyBorder="1" applyAlignment="1">
      <alignment horizontal="center" vertical="center"/>
    </xf>
    <xf numFmtId="164" fontId="50" fillId="0" borderId="10" xfId="4" applyNumberFormat="1" applyFont="1" applyBorder="1" applyAlignment="1">
      <alignment horizontal="center" vertical="center"/>
    </xf>
    <xf numFmtId="164" fontId="50" fillId="0" borderId="4" xfId="4" applyNumberFormat="1" applyFont="1" applyBorder="1" applyAlignment="1">
      <alignment horizontal="center" vertical="center"/>
    </xf>
    <xf numFmtId="0" fontId="40" fillId="0" borderId="0" xfId="4" applyFont="1" applyAlignment="1">
      <alignment horizontal="center"/>
    </xf>
    <xf numFmtId="0" fontId="49" fillId="0" borderId="0" xfId="4" applyFont="1" applyAlignment="1">
      <alignment horizontal="left" vertical="top"/>
    </xf>
    <xf numFmtId="0" fontId="50" fillId="0" borderId="12" xfId="4" applyFont="1" applyBorder="1" applyAlignment="1">
      <alignment horizontal="center" vertical="center"/>
    </xf>
    <xf numFmtId="0" fontId="50" fillId="0" borderId="16" xfId="4" applyFont="1" applyBorder="1" applyAlignment="1">
      <alignment horizontal="center" vertical="center"/>
    </xf>
    <xf numFmtId="0" fontId="49" fillId="0" borderId="15" xfId="4" applyFont="1" applyBorder="1" applyAlignment="1">
      <alignment horizontal="center" vertical="center"/>
    </xf>
    <xf numFmtId="0" fontId="49" fillId="0" borderId="19" xfId="4" applyFont="1" applyBorder="1" applyAlignment="1">
      <alignment horizontal="center" vertical="center"/>
    </xf>
    <xf numFmtId="0" fontId="50" fillId="0" borderId="3" xfId="4" applyFont="1" applyBorder="1" applyAlignment="1">
      <alignment horizontal="center" vertical="center" wrapText="1"/>
    </xf>
    <xf numFmtId="0" fontId="50" fillId="0" borderId="4" xfId="4" applyFont="1" applyBorder="1" applyAlignment="1">
      <alignment horizontal="center" vertical="center" wrapText="1"/>
    </xf>
    <xf numFmtId="168" fontId="50" fillId="0" borderId="0" xfId="4" applyNumberFormat="1" applyFont="1" applyFill="1" applyBorder="1" applyAlignment="1" applyProtection="1">
      <alignment horizontal="left" vertical="top"/>
      <protection locked="0"/>
    </xf>
    <xf numFmtId="167" fontId="50" fillId="0" borderId="0" xfId="4" applyNumberFormat="1" applyFont="1" applyAlignment="1">
      <alignment horizontal="left" vertical="top"/>
    </xf>
    <xf numFmtId="0" fontId="41" fillId="7" borderId="2" xfId="0" applyNumberFormat="1" applyFont="1" applyFill="1" applyBorder="1" applyAlignment="1">
      <alignment horizontal="center"/>
    </xf>
    <xf numFmtId="0" fontId="41" fillId="7" borderId="3" xfId="0" applyNumberFormat="1" applyFont="1" applyFill="1" applyBorder="1" applyAlignment="1">
      <alignment horizontal="center" vertical="center"/>
    </xf>
    <xf numFmtId="0" fontId="41" fillId="7" borderId="4" xfId="0" applyNumberFormat="1" applyFont="1" applyFill="1" applyBorder="1" applyAlignment="1">
      <alignment horizontal="center" vertical="center"/>
    </xf>
    <xf numFmtId="0" fontId="41" fillId="7" borderId="3" xfId="0" applyNumberFormat="1" applyFont="1" applyFill="1" applyBorder="1" applyAlignment="1">
      <alignment horizontal="center" vertical="center" wrapText="1"/>
    </xf>
    <xf numFmtId="0" fontId="41" fillId="7" borderId="4" xfId="0" applyNumberFormat="1" applyFont="1" applyFill="1" applyBorder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</cellXfs>
  <cellStyles count="70">
    <cellStyle name="40% - Accent3 2" xfId="8"/>
    <cellStyle name="40% - Accent3 2 2" xfId="9"/>
    <cellStyle name="40% - Accent3 2 2 2" xfId="10"/>
    <cellStyle name="40% - Accent3 2 2 2 2" xfId="11"/>
    <cellStyle name="40% - Accent3 2 2 2_Preselection Sava bridge (2)" xfId="12"/>
    <cellStyle name="40% - Accent3 2 2 3" xfId="13"/>
    <cellStyle name="40% - Accent3 2 2 4" xfId="14"/>
    <cellStyle name="40% - Accent3 2 2 5" xfId="15"/>
    <cellStyle name="40% - Accent3 2 2 6" xfId="16"/>
    <cellStyle name="40% - Accent3 2 2_Preselection Sava bridge (2)" xfId="17"/>
    <cellStyle name="40% - Accent3 2 3" xfId="18"/>
    <cellStyle name="40% - Accent3 2 3 2" xfId="19"/>
    <cellStyle name="40% - Accent3 2 3_Preselection Sava bridge (2)" xfId="20"/>
    <cellStyle name="40% - Accent3 2 4" xfId="21"/>
    <cellStyle name="40% - Accent3 2 5" xfId="22"/>
    <cellStyle name="40% - Accent3 2 6" xfId="23"/>
    <cellStyle name="40% - Accent3 2 7" xfId="24"/>
    <cellStyle name="40% - Accent3 2_Preselection Sava bridge (2)" xfId="25"/>
    <cellStyle name="40% - Accent3 3" xfId="26"/>
    <cellStyle name="40% - Accent3 3 2" xfId="27"/>
    <cellStyle name="40% - Accent3 3 2 2" xfId="28"/>
    <cellStyle name="40% - Accent3 3 2_Preselection Sava bridge (2)" xfId="29"/>
    <cellStyle name="40% - Accent3 3 3" xfId="30"/>
    <cellStyle name="40% - Accent3 3 4" xfId="31"/>
    <cellStyle name="40% - Accent3 3 5" xfId="32"/>
    <cellStyle name="40% - Accent3 3 6" xfId="33"/>
    <cellStyle name="40% - Accent3 3_Preselection Sava bridge (2)" xfId="34"/>
    <cellStyle name="40% - Accent3 4" xfId="35"/>
    <cellStyle name="40% - Accent3 4 2" xfId="36"/>
    <cellStyle name="40% - Accent3 4 2 2" xfId="37"/>
    <cellStyle name="40% - Accent3 4 2_Preselection Sava bridge (2)" xfId="38"/>
    <cellStyle name="40% - Accent3 4 3" xfId="39"/>
    <cellStyle name="40% - Accent3 4 4" xfId="40"/>
    <cellStyle name="40% - Accent3 4 5" xfId="41"/>
    <cellStyle name="40% - Accent3 4 6" xfId="42"/>
    <cellStyle name="40% - Accent3 4_Preselection Sava bridge (2)" xfId="43"/>
    <cellStyle name="40% - Accent3 5" xfId="44"/>
    <cellStyle name="40% - Accent5 2" xfId="45"/>
    <cellStyle name="60% - Accent1 2" xfId="46"/>
    <cellStyle name="60% - Accent2 2" xfId="47"/>
    <cellStyle name="60% - Accent3 2" xfId="48"/>
    <cellStyle name="60% - Accent4 2" xfId="49"/>
    <cellStyle name="60% - Accent5 2" xfId="50"/>
    <cellStyle name="Accent1 2" xfId="51"/>
    <cellStyle name="Accent2 2" xfId="52"/>
    <cellStyle name="Accent4 2" xfId="53"/>
    <cellStyle name="Accent6 2" xfId="54"/>
    <cellStyle name="Bad 2" xfId="55"/>
    <cellStyle name="Good 2" xfId="56"/>
    <cellStyle name="Good 3" xfId="57"/>
    <cellStyle name="Input 2" xfId="58"/>
    <cellStyle name="Neutral 2" xfId="59"/>
    <cellStyle name="Normal" xfId="0" builtinId="0"/>
    <cellStyle name="Normal 2" xfId="5"/>
    <cellStyle name="Normal 2 2" xfId="4"/>
    <cellStyle name="Normal 2_Preselection Sava bridge (2)" xfId="60"/>
    <cellStyle name="Normal 3" xfId="61"/>
    <cellStyle name="Normal 4" xfId="62"/>
    <cellStyle name="Normal 4 2" xfId="63"/>
    <cellStyle name="Normal 4_Preselection Sava bridge (2)" xfId="64"/>
    <cellStyle name="Normal 5" xfId="65"/>
    <cellStyle name="Normal 6" xfId="66"/>
    <cellStyle name="Normal 7" xfId="67"/>
    <cellStyle name="Normal 8" xfId="68"/>
    <cellStyle name="Normal_Feuil1" xfId="1"/>
    <cellStyle name="Normal_millau_cost323_pltrafic" xfId="2"/>
    <cellStyle name="Percent 2" xfId="6"/>
    <cellStyle name="Percent 2 2" xfId="7"/>
    <cellStyle name="Percent 3" xfId="69"/>
    <cellStyle name="Pourcentage" xfId="3" builtinId="5"/>
  </cellStyles>
  <dxfs count="10">
    <dxf>
      <font>
        <condense val="0"/>
        <extend val="0"/>
        <color indexed="10"/>
      </font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ont>
        <condense val="0"/>
        <extend val="0"/>
        <color indexed="10"/>
      </font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69FF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E8D7"/>
      <color rgb="FFFF505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75"/>
          <c:y val="2.7129775444736076E-2"/>
          <c:w val="0.85624999999999996"/>
          <c:h val="0.881483522892971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[1]Data!$H$12</c:f>
              <c:strCache>
                <c:ptCount val="1"/>
                <c:pt idx="0">
                  <c:v>Confidence Interval</c:v>
                </c:pt>
              </c:strCache>
            </c:strRef>
          </c:tx>
          <c:spPr>
            <a:solidFill>
              <a:schemeClr val="accent6">
                <a:lumMod val="75000"/>
                <a:alpha val="8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'COST 323'!$A$13:$A$16</c:f>
              <c:strCache>
                <c:ptCount val="4"/>
                <c:pt idx="0">
                  <c:v>GVW</c:v>
                </c:pt>
                <c:pt idx="1">
                  <c:v>Axle Groups</c:v>
                </c:pt>
                <c:pt idx="2">
                  <c:v>Axles in Groups</c:v>
                </c:pt>
                <c:pt idx="3">
                  <c:v>Single Axles</c:v>
                </c:pt>
              </c:strCache>
            </c:strRef>
          </c:cat>
          <c:val>
            <c:numRef>
              <c:f>'COST 323'!$H$13:$H$16</c:f>
              <c:numCache>
                <c:formatCode>0\.0</c:formatCode>
                <c:ptCount val="4"/>
                <c:pt idx="0">
                  <c:v>12</c:v>
                </c:pt>
                <c:pt idx="1">
                  <c:v>14.4</c:v>
                </c:pt>
                <c:pt idx="2">
                  <c:v>16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62-40A2-91BF-AF83104BF9BA}"/>
            </c:ext>
          </c:extLst>
        </c:ser>
        <c:ser>
          <c:idx val="1"/>
          <c:order val="1"/>
          <c:tx>
            <c:strRef>
              <c:f>[1]Data!$H$13</c:f>
              <c:strCache>
                <c:ptCount val="1"/>
                <c:pt idx="0">
                  <c:v>Achieved</c:v>
                </c:pt>
              </c:strCache>
            </c:strRef>
          </c:tx>
          <c:spPr>
            <a:solidFill>
              <a:schemeClr val="accent3">
                <a:lumMod val="75000"/>
                <a:alpha val="8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'COST 323'!$A$13:$A$16</c:f>
              <c:strCache>
                <c:ptCount val="4"/>
                <c:pt idx="0">
                  <c:v>GVW</c:v>
                </c:pt>
                <c:pt idx="1">
                  <c:v>Axle Groups</c:v>
                </c:pt>
                <c:pt idx="2">
                  <c:v>Axles in Groups</c:v>
                </c:pt>
                <c:pt idx="3">
                  <c:v>Single Axles</c:v>
                </c:pt>
              </c:strCache>
            </c:strRef>
          </c:cat>
          <c:val>
            <c:numRef>
              <c:f>'COST 323'!$I$13:$I$16</c:f>
              <c:numCache>
                <c:formatCode>0.00</c:formatCode>
                <c:ptCount val="4"/>
                <c:pt idx="0">
                  <c:v>10.880673198188807</c:v>
                </c:pt>
                <c:pt idx="1">
                  <c:v>16.31940580747834</c:v>
                </c:pt>
                <c:pt idx="2">
                  <c:v>16.141512437161172</c:v>
                </c:pt>
                <c:pt idx="3">
                  <c:v>22.33203129434132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62-40A2-91BF-AF83104BF9BA}"/>
            </c:ext>
          </c:extLst>
        </c:ser>
        <c:ser>
          <c:idx val="2"/>
          <c:order val="2"/>
          <c:tx>
            <c:strRef>
              <c:f>[1]Data!$H$14</c:f>
              <c:strCache>
                <c:ptCount val="1"/>
                <c:pt idx="0">
                  <c:v>Accuracy Class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'COST 323'!$A$13:$A$16</c:f>
              <c:strCache>
                <c:ptCount val="4"/>
                <c:pt idx="0">
                  <c:v>GVW</c:v>
                </c:pt>
                <c:pt idx="1">
                  <c:v>Axle Groups</c:v>
                </c:pt>
                <c:pt idx="2">
                  <c:v>Axles in Groups</c:v>
                </c:pt>
                <c:pt idx="3">
                  <c:v>Single Axles</c:v>
                </c:pt>
              </c:strCache>
            </c:strRef>
          </c:cat>
          <c:val>
            <c:numRef>
              <c:f>'COST 323'!$J$13:$J$16</c:f>
              <c:numCache>
                <c:formatCode>0.00</c:formatCode>
                <c:ptCount val="4"/>
                <c:pt idx="0">
                  <c:v>10.880673198188807</c:v>
                </c:pt>
                <c:pt idx="1">
                  <c:v>13.31940580747834</c:v>
                </c:pt>
                <c:pt idx="2">
                  <c:v>8.0707562185805859</c:v>
                </c:pt>
                <c:pt idx="3">
                  <c:v>17.33203129434132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62-40A2-91BF-AF83104B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024256"/>
        <c:axId val="305618944"/>
      </c:barChart>
      <c:catAx>
        <c:axId val="18902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305618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6189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δ</a:t>
                </a:r>
                <a:r>
                  <a:rPr lang="en-GB"/>
                  <a:t> (%)</a:t>
                </a:r>
              </a:p>
            </c:rich>
          </c:tx>
          <c:layout>
            <c:manualLayout>
              <c:xMode val="edge"/>
              <c:yMode val="edge"/>
              <c:x val="6.2500000000000003E-3"/>
              <c:y val="0.3500008748906386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189024256"/>
        <c:crosses val="autoZero"/>
        <c:crossBetween val="between"/>
        <c:majorUnit val="5"/>
        <c:minorUnit val="1"/>
        <c:dispUnits>
          <c:builtInUnit val="hundreds"/>
        </c:dispUnits>
      </c:valAx>
    </c:plotArea>
    <c:legend>
      <c:legendPos val="r"/>
      <c:layout>
        <c:manualLayout>
          <c:xMode val="edge"/>
          <c:yMode val="edge"/>
          <c:x val="0.10875"/>
          <c:y val="4.1533391659375911E-2"/>
          <c:w val="0.63615735070153268"/>
          <c:h val="8.792971711869349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+mn-lt"/>
        </a:defRPr>
      </a:pPr>
      <a:endParaRPr lang="fr-FR"/>
    </a:p>
  </c:txPr>
  <c:printSettings>
    <c:headerFooter alignWithMargins="0"/>
    <c:pageMargins b="1" l="0.75" r="0.75" t="1" header="0.4921259845" footer="0.4921259845"/>
    <c:pageSetup paperSize="9" orientation="landscape" horizontalDpi="300" verticalDpi="30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75"/>
          <c:y val="2.7129775444736076E-2"/>
          <c:w val="0.85624999999999996"/>
          <c:h val="0.881483522892971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[1]Data!$H$12</c:f>
              <c:strCache>
                <c:ptCount val="1"/>
                <c:pt idx="0">
                  <c:v>Confidence Interval</c:v>
                </c:pt>
              </c:strCache>
            </c:strRef>
          </c:tx>
          <c:spPr>
            <a:solidFill>
              <a:schemeClr val="accent6">
                <a:lumMod val="75000"/>
                <a:alpha val="8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'COST 323 (2)'!$A$13:$A$16</c:f>
              <c:strCache>
                <c:ptCount val="4"/>
                <c:pt idx="0">
                  <c:v>GVW</c:v>
                </c:pt>
                <c:pt idx="1">
                  <c:v>Axle Groups</c:v>
                </c:pt>
                <c:pt idx="2">
                  <c:v>Axles in Groups</c:v>
                </c:pt>
                <c:pt idx="3">
                  <c:v>Single Axles</c:v>
                </c:pt>
              </c:strCache>
            </c:strRef>
          </c:cat>
          <c:val>
            <c:numRef>
              <c:f>'COST 323 (2)'!$H$13:$H$16</c:f>
              <c:numCache>
                <c:formatCode>0.0</c:formatCode>
                <c:ptCount val="4"/>
                <c:pt idx="0">
                  <c:v>12</c:v>
                </c:pt>
                <c:pt idx="1">
                  <c:v>14.4</c:v>
                </c:pt>
                <c:pt idx="2">
                  <c:v>16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2-4E51-97F2-6CD944F2FC56}"/>
            </c:ext>
          </c:extLst>
        </c:ser>
        <c:ser>
          <c:idx val="1"/>
          <c:order val="1"/>
          <c:tx>
            <c:strRef>
              <c:f>[1]Data!$H$13</c:f>
              <c:strCache>
                <c:ptCount val="1"/>
                <c:pt idx="0">
                  <c:v>Achieved</c:v>
                </c:pt>
              </c:strCache>
            </c:strRef>
          </c:tx>
          <c:spPr>
            <a:solidFill>
              <a:schemeClr val="accent3">
                <a:lumMod val="75000"/>
                <a:alpha val="8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'COST 323 (2)'!$A$13:$A$16</c:f>
              <c:strCache>
                <c:ptCount val="4"/>
                <c:pt idx="0">
                  <c:v>GVW</c:v>
                </c:pt>
                <c:pt idx="1">
                  <c:v>Axle Groups</c:v>
                </c:pt>
                <c:pt idx="2">
                  <c:v>Axles in Groups</c:v>
                </c:pt>
                <c:pt idx="3">
                  <c:v>Single Axles</c:v>
                </c:pt>
              </c:strCache>
            </c:strRef>
          </c:cat>
          <c:val>
            <c:numRef>
              <c:f>'COST 323 (2)'!$I$13:$I$16</c:f>
              <c:numCache>
                <c:formatCode>0.00</c:formatCode>
                <c:ptCount val="4"/>
                <c:pt idx="0">
                  <c:v>10.880673242851623</c:v>
                </c:pt>
                <c:pt idx="1">
                  <c:v>16.960771343743026</c:v>
                </c:pt>
                <c:pt idx="2">
                  <c:v>16.471343766011699</c:v>
                </c:pt>
                <c:pt idx="3">
                  <c:v>22.481120907192036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72-4E51-97F2-6CD944F2FC56}"/>
            </c:ext>
          </c:extLst>
        </c:ser>
        <c:ser>
          <c:idx val="2"/>
          <c:order val="2"/>
          <c:tx>
            <c:strRef>
              <c:f>[1]Data!$H$14</c:f>
              <c:strCache>
                <c:ptCount val="1"/>
                <c:pt idx="0">
                  <c:v>Accuracy Class</c:v>
                </c:pt>
              </c:strCache>
            </c:strRef>
          </c:tx>
          <c:spPr>
            <a:solidFill>
              <a:schemeClr val="accent1">
                <a:lumMod val="75000"/>
                <a:alpha val="80000"/>
              </a:schemeClr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'COST 323 (2)'!$A$13:$A$16</c:f>
              <c:strCache>
                <c:ptCount val="4"/>
                <c:pt idx="0">
                  <c:v>GVW</c:v>
                </c:pt>
                <c:pt idx="1">
                  <c:v>Axle Groups</c:v>
                </c:pt>
                <c:pt idx="2">
                  <c:v>Axles in Groups</c:v>
                </c:pt>
                <c:pt idx="3">
                  <c:v>Single Axles</c:v>
                </c:pt>
              </c:strCache>
            </c:strRef>
          </c:cat>
          <c:val>
            <c:numRef>
              <c:f>'COST 323 (2)'!$J$13:$J$16</c:f>
              <c:numCache>
                <c:formatCode>0.00</c:formatCode>
                <c:ptCount val="4"/>
                <c:pt idx="0">
                  <c:v>10.880673242851623</c:v>
                </c:pt>
                <c:pt idx="1">
                  <c:v>13.960771343743026</c:v>
                </c:pt>
                <c:pt idx="2">
                  <c:v>8.2356718830058497</c:v>
                </c:pt>
                <c:pt idx="3">
                  <c:v>17.481120907192036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72-4E51-97F2-6CD944F2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024256"/>
        <c:axId val="305618944"/>
      </c:barChart>
      <c:catAx>
        <c:axId val="18902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305618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61894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δ</a:t>
                </a:r>
                <a:r>
                  <a:rPr lang="en-GB"/>
                  <a:t> (%)</a:t>
                </a:r>
              </a:p>
            </c:rich>
          </c:tx>
          <c:layout>
            <c:manualLayout>
              <c:xMode val="edge"/>
              <c:yMode val="edge"/>
              <c:x val="6.2500000000000003E-3"/>
              <c:y val="0.3500008748906386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189024256"/>
        <c:crosses val="autoZero"/>
        <c:crossBetween val="between"/>
        <c:majorUnit val="5"/>
        <c:minorUnit val="1"/>
        <c:dispUnits>
          <c:builtInUnit val="hundreds"/>
        </c:dispUnits>
      </c:valAx>
    </c:plotArea>
    <c:legend>
      <c:legendPos val="r"/>
      <c:layout>
        <c:manualLayout>
          <c:xMode val="edge"/>
          <c:yMode val="edge"/>
          <c:x val="0.10875"/>
          <c:y val="4.1533391659375911E-2"/>
          <c:w val="0.63615735070153268"/>
          <c:h val="8.792971711869349E-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+mn-lt"/>
        </a:defRPr>
      </a:pPr>
      <a:endParaRPr lang="fr-FR"/>
    </a:p>
  </c:txPr>
  <c:printSettings>
    <c:headerFooter alignWithMargins="0"/>
    <c:pageMargins b="1" l="0.75" r="0.75" t="1" header="0.4921259845" footer="0.4921259845"/>
    <c:pageSetup paperSize="9" orientation="landscape" horizontalDpi="300" verticalDpi="30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87534626038571E-2"/>
          <c:y val="8.3636363636363967E-2"/>
          <c:w val="0.87811634349030476"/>
          <c:h val="0.69090909090909214"/>
        </c:manualLayout>
      </c:layout>
      <c:barChart>
        <c:barDir val="col"/>
        <c:grouping val="clustered"/>
        <c:varyColors val="0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'Accuracy_trafic_All (New)'!$A$9:$A$12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'Accuracy_trafic_All (New)'!$I$9:$I$12</c:f>
              <c:numCache>
                <c:formatCode>0.0</c:formatCode>
                <c:ptCount val="4"/>
                <c:pt idx="0">
                  <c:v>10.534654907407651</c:v>
                </c:pt>
                <c:pt idx="1">
                  <c:v>28.516018806891697</c:v>
                </c:pt>
                <c:pt idx="2">
                  <c:v>41.01613562508745</c:v>
                </c:pt>
                <c:pt idx="3">
                  <c:v>35.124567213705895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7-4436-BB54-020F014B804A}"/>
            </c:ext>
          </c:extLst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'Accuracy_trafic_All (New)'!$A$9:$A$12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'Accuracy_trafic_All (New)'!$J$9:$J$12</c:f>
              <c:numCache>
                <c:formatCode>0.0</c:formatCode>
                <c:ptCount val="4"/>
                <c:pt idx="0">
                  <c:v>10.534654907407651</c:v>
                </c:pt>
                <c:pt idx="1">
                  <c:v>25.516018806891697</c:v>
                </c:pt>
                <c:pt idx="2">
                  <c:v>36.01613562508745</c:v>
                </c:pt>
                <c:pt idx="3">
                  <c:v>25.124567213705895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7-4436-BB54-020F014B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128256"/>
        <c:axId val="555060032"/>
      </c:barChart>
      <c:catAx>
        <c:axId val="188128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55060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06003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  <a:alpha val="5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72E-3"/>
              <c:y val="0.38909090909090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88128256"/>
        <c:crosses val="autoZero"/>
        <c:crossBetween val="between"/>
      </c:valAx>
      <c:spPr>
        <a:solidFill>
          <a:srgbClr val="FFFF99">
            <a:alpha val="50000"/>
          </a:srgb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6"/>
          <c:h val="0.178181818181818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5" footer="0.4921259845000005"/>
    <c:pageSetup paperSize="9" orientation="landscape" horizontalDpi="300" verticalDpi="30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87534626038571E-2"/>
          <c:y val="8.3636363636363967E-2"/>
          <c:w val="0.87811634349030476"/>
          <c:h val="0.69090909090909214"/>
        </c:manualLayout>
      </c:layout>
      <c:barChart>
        <c:barDir val="col"/>
        <c:grouping val="clustered"/>
        <c:varyColors val="0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'Accuracy_trafic_TC&gt;0,9'!$A$9:$A$12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'Accuracy_trafic_TC&gt;0,9'!$I$9:$I$12</c:f>
              <c:numCache>
                <c:formatCode>0.0</c:formatCode>
                <c:ptCount val="4"/>
                <c:pt idx="0">
                  <c:v>20</c:v>
                </c:pt>
                <c:pt idx="1">
                  <c:v>10.193904454564604</c:v>
                </c:pt>
                <c:pt idx="2">
                  <c:v>9.1693305991045886</c:v>
                </c:pt>
                <c:pt idx="3">
                  <c:v>15.762982801030535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E-4585-BC7D-14A28151C6CB}"/>
            </c:ext>
          </c:extLst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'Accuracy_trafic_TC&gt;0,9'!$A$9:$A$12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'Accuracy_trafic_TC&gt;0,9'!$J$9:$J$12</c:f>
              <c:numCache>
                <c:formatCode>0.0</c:formatCode>
                <c:ptCount val="4"/>
                <c:pt idx="0">
                  <c:v>25</c:v>
                </c:pt>
                <c:pt idx="1">
                  <c:v>9.7423805682057552</c:v>
                </c:pt>
                <c:pt idx="2">
                  <c:v>7.3997086879296115</c:v>
                </c:pt>
                <c:pt idx="3">
                  <c:v>9.8518642506440841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9E-4585-BC7D-14A28151C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127552"/>
        <c:axId val="555073536"/>
      </c:barChart>
      <c:catAx>
        <c:axId val="27912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55073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07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72E-3"/>
              <c:y val="0.38909090909090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79127552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6"/>
          <c:h val="0.178181818181818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5" footer="0.4921259845000005"/>
    <c:pageSetup paperSize="9" orientation="landscape" horizontalDpi="300" verticalDpi="300" copies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87534626038571E-2"/>
          <c:y val="8.3636363636363967E-2"/>
          <c:w val="0.87811634349030476"/>
          <c:h val="0.69090909090909214"/>
        </c:manualLayout>
      </c:layout>
      <c:barChart>
        <c:barDir val="col"/>
        <c:grouping val="clustered"/>
        <c:varyColors val="0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Accuracy_trafic_All!$A$9:$A$12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Accuracy_trafic_All!$I$9:$I$12</c:f>
              <c:numCache>
                <c:formatCode>0.0</c:formatCode>
                <c:ptCount val="4"/>
                <c:pt idx="0">
                  <c:v>6</c:v>
                </c:pt>
                <c:pt idx="1">
                  <c:v>10.193904380856578</c:v>
                </c:pt>
                <c:pt idx="2">
                  <c:v>9.1693307546678842</c:v>
                </c:pt>
                <c:pt idx="3">
                  <c:v>15.762982801030539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7-4436-BB54-020F014B804A}"/>
            </c:ext>
          </c:extLst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Accuracy_trafic_All!$A$9:$A$12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Accuracy_trafic_All!$J$9:$J$12</c:f>
              <c:numCache>
                <c:formatCode>0.0</c:formatCode>
                <c:ptCount val="4"/>
                <c:pt idx="0">
                  <c:v>7.5</c:v>
                </c:pt>
                <c:pt idx="1">
                  <c:v>9.7423804760707231</c:v>
                </c:pt>
                <c:pt idx="2">
                  <c:v>7.3997088267366635</c:v>
                </c:pt>
                <c:pt idx="3">
                  <c:v>9.8518642506440877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7-4436-BB54-020F014B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226432"/>
        <c:axId val="555079872"/>
      </c:barChart>
      <c:catAx>
        <c:axId val="70226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55079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507987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  <a:alpha val="5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72E-3"/>
              <c:y val="0.38909090909090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70226432"/>
        <c:crosses val="autoZero"/>
        <c:crossBetween val="between"/>
      </c:valAx>
      <c:spPr>
        <a:solidFill>
          <a:srgbClr val="FFFF99">
            <a:alpha val="50000"/>
          </a:srgb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6"/>
          <c:h val="0.178181818181818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5" footer="0.4921259845000005"/>
    <c:pageSetup paperSize="9" orientation="landscape" horizontalDpi="300" verticalDpi="300" copies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87534626038571E-2"/>
          <c:y val="8.3636363636363967E-2"/>
          <c:w val="0.87811634349030476"/>
          <c:h val="0.69090909090909214"/>
        </c:manualLayout>
      </c:layout>
      <c:barChart>
        <c:barDir val="col"/>
        <c:grouping val="clustered"/>
        <c:varyColors val="0"/>
        <c:ser>
          <c:idx val="0"/>
          <c:order val="0"/>
          <c:tx>
            <c:v>delta min</c:v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Accuracy_calibration!$I$9:$I$12</c:f>
              <c:numCache>
                <c:formatCode>0.0</c:formatCode>
                <c:ptCount val="4"/>
                <c:pt idx="0">
                  <c:v>7.5252878604134326</c:v>
                </c:pt>
                <c:pt idx="1">
                  <c:v>28.738876668079502</c:v>
                </c:pt>
                <c:pt idx="2">
                  <c:v>15.356647076715563</c:v>
                </c:pt>
                <c:pt idx="3">
                  <c:v>12.885483864786003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3-4EFB-B9E0-A653B10CAD17}"/>
            </c:ext>
          </c:extLst>
        </c:ser>
        <c:ser>
          <c:idx val="1"/>
          <c:order val="1"/>
          <c:tx>
            <c:v>delta c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Accuracy_calibration!$A$9:$A$12</c:f>
              <c:strCache>
                <c:ptCount val="4"/>
                <c:pt idx="0">
                  <c:v>gross weight</c:v>
                </c:pt>
                <c:pt idx="1">
                  <c:v>group of axles</c:v>
                </c:pt>
                <c:pt idx="2">
                  <c:v>single axle</c:v>
                </c:pt>
                <c:pt idx="3">
                  <c:v>axle of group</c:v>
                </c:pt>
              </c:strCache>
            </c:strRef>
          </c:cat>
          <c:val>
            <c:numRef>
              <c:f>Accuracy_calibration!$J$9:$J$12</c:f>
              <c:numCache>
                <c:formatCode>0.0</c:formatCode>
                <c:ptCount val="4"/>
                <c:pt idx="0">
                  <c:v>9.4066098255167905</c:v>
                </c:pt>
                <c:pt idx="1">
                  <c:v>32.923595835099377</c:v>
                </c:pt>
                <c:pt idx="2">
                  <c:v>14.195808845894454</c:v>
                </c:pt>
                <c:pt idx="3">
                  <c:v>8.0534274154912531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3-4EFB-B9E0-A653B10CA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88064"/>
        <c:axId val="558303488"/>
      </c:barChart>
      <c:catAx>
        <c:axId val="68888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Criterion</a:t>
                </a:r>
              </a:p>
            </c:rich>
          </c:tx>
          <c:layout>
            <c:manualLayout>
              <c:xMode val="edge"/>
              <c:yMode val="edge"/>
              <c:x val="0.47368421052631576"/>
              <c:y val="0.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58303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303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</a:t>
                </a:r>
              </a:p>
            </c:rich>
          </c:tx>
          <c:layout>
            <c:manualLayout>
              <c:xMode val="edge"/>
              <c:yMode val="edge"/>
              <c:x val="6.9252077562326972E-3"/>
              <c:y val="0.38909090909090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888064"/>
        <c:crosses val="autoZero"/>
        <c:crossBetween val="between"/>
      </c:valAx>
      <c:spPr>
        <a:solidFill>
          <a:srgbClr val="FFFF9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049861495844875"/>
          <c:y val="0.10181818181818182"/>
          <c:w val="0.12326869806094196"/>
          <c:h val="0.178181818181818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5" footer="0.4921259845000005"/>
    <c:pageSetup paperSize="9" orientation="landscape" horizontalDpi="300" verticalDpi="300" copies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15</xdr:col>
      <xdr:colOff>0</xdr:colOff>
      <xdr:row>39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104775</xdr:colOff>
      <xdr:row>1</xdr:row>
      <xdr:rowOff>76200</xdr:rowOff>
    </xdr:to>
    <xdr:pic>
      <xdr:nvPicPr>
        <xdr:cNvPr id="3" name="Picture 1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239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15</xdr:col>
      <xdr:colOff>0</xdr:colOff>
      <xdr:row>39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104775</xdr:colOff>
      <xdr:row>1</xdr:row>
      <xdr:rowOff>76200</xdr:rowOff>
    </xdr:to>
    <xdr:pic>
      <xdr:nvPicPr>
        <xdr:cNvPr id="3" name="Picture 1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239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F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22</xdr:row>
      <xdr:rowOff>85725</xdr:rowOff>
    </xdr:from>
    <xdr:to>
      <xdr:col>15</xdr:col>
      <xdr:colOff>371475</xdr:colOff>
      <xdr:row>38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nidaric\CloudStation\WIM\Mednarodni%20projekti\Francija\Millau%202016\Millau%20accuracy%20-%20v4%20-%202%20days,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c"/>
      <sheetName val="Import"/>
      <sheetName val="COST 323"/>
      <sheetName val="Static (avg groups)"/>
      <sheetName val="COST 323 orig"/>
      <sheetName val="COST 323 (avg axles in groups)"/>
      <sheetName val="Data"/>
      <sheetName val="Sheet1"/>
      <sheetName val="NSWD"/>
      <sheetName val="NSWD (2)"/>
      <sheetName val="NSWD (3)"/>
    </sheetNames>
    <sheetDataSet>
      <sheetData sheetId="0"/>
      <sheetData sheetId="1">
        <row r="4">
          <cell r="B4" t="str">
            <v>English</v>
          </cell>
        </row>
      </sheetData>
      <sheetData sheetId="2" refreshError="1"/>
      <sheetData sheetId="3"/>
      <sheetData sheetId="4" refreshError="1"/>
      <sheetData sheetId="5">
        <row r="13">
          <cell r="A13" t="str">
            <v>GVW</v>
          </cell>
        </row>
      </sheetData>
      <sheetData sheetId="6">
        <row r="1">
          <cell r="H1" t="str">
            <v>full repeatability (1 vehicle at constant driving conditions)</v>
          </cell>
        </row>
        <row r="12">
          <cell r="H12" t="str">
            <v>Confidence Interval</v>
          </cell>
        </row>
        <row r="13">
          <cell r="H13" t="str">
            <v>Achieved</v>
          </cell>
        </row>
        <row r="14">
          <cell r="H14" t="str">
            <v>Accuracy Class</v>
          </cell>
        </row>
        <row r="19">
          <cell r="H19" t="str">
            <v>COST 323</v>
          </cell>
        </row>
        <row r="20">
          <cell r="H20">
            <v>0.95</v>
          </cell>
        </row>
        <row r="21">
          <cell r="H21">
            <v>0.99</v>
          </cell>
        </row>
        <row r="22">
          <cell r="H22">
            <v>0.99990000000000001</v>
          </cell>
        </row>
        <row r="24">
          <cell r="H24" t="str">
            <v>Yes</v>
          </cell>
        </row>
        <row r="25">
          <cell r="H25" t="str">
            <v>No</v>
          </cell>
        </row>
        <row r="26">
          <cell r="H26" t="str">
            <v>Trend</v>
          </cell>
        </row>
        <row r="27">
          <cell r="H27" t="str">
            <v>Both</v>
          </cell>
        </row>
        <row r="30">
          <cell r="H30" t="str">
            <v>Both lanes</v>
          </cell>
        </row>
        <row r="31">
          <cell r="H31" t="str">
            <v>No lane 2</v>
          </cell>
        </row>
        <row r="32">
          <cell r="H32" t="str">
            <v>No lane 1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BZ48"/>
  <sheetViews>
    <sheetView zoomScale="85" zoomScaleNormal="85" workbookViewId="0">
      <selection activeCell="A79" sqref="A79"/>
    </sheetView>
  </sheetViews>
  <sheetFormatPr baseColWidth="10" defaultColWidth="11.5703125" defaultRowHeight="11.25"/>
  <cols>
    <col min="1" max="1" width="21.7109375" style="87" bestFit="1" customWidth="1"/>
    <col min="2" max="2" width="15.5703125" style="87" bestFit="1" customWidth="1"/>
    <col min="3" max="3" width="13.85546875" style="87" hidden="1" customWidth="1"/>
    <col min="4" max="4" width="13.85546875" style="87" customWidth="1"/>
    <col min="5" max="5" width="4.140625" style="96" customWidth="1"/>
    <col min="6" max="6" width="3.140625" style="87" customWidth="1"/>
    <col min="7" max="7" width="4" style="87" hidden="1" customWidth="1"/>
    <col min="8" max="8" width="4.85546875" style="87" hidden="1" customWidth="1"/>
    <col min="9" max="9" width="9.7109375" style="87" customWidth="1"/>
    <col min="10" max="10" width="6.5703125" style="87" customWidth="1"/>
    <col min="11" max="11" width="4.140625" style="87" hidden="1" customWidth="1"/>
    <col min="12" max="12" width="13" style="96" customWidth="1"/>
    <col min="13" max="13" width="3.7109375" style="87" customWidth="1"/>
    <col min="14" max="15" width="3.5703125" style="87" customWidth="1"/>
    <col min="16" max="16" width="3.42578125" style="87" customWidth="1"/>
    <col min="17" max="17" width="4.42578125" style="87" customWidth="1"/>
    <col min="18" max="18" width="3.85546875" style="87" customWidth="1"/>
    <col min="19" max="19" width="3.7109375" style="87" hidden="1" customWidth="1"/>
    <col min="20" max="21" width="3.42578125" style="87" hidden="1" customWidth="1"/>
    <col min="22" max="22" width="4.42578125" style="87" customWidth="1"/>
    <col min="23" max="23" width="5.28515625" style="88" customWidth="1"/>
    <col min="24" max="24" width="6.140625" style="96" bestFit="1" customWidth="1"/>
    <col min="25" max="25" width="5.5703125" style="96" bestFit="1" customWidth="1"/>
    <col min="26" max="26" width="5.140625" style="96" customWidth="1"/>
    <col min="27" max="27" width="4.85546875" style="96" bestFit="1" customWidth="1"/>
    <col min="28" max="28" width="4.7109375" style="96" customWidth="1"/>
    <col min="29" max="32" width="5" style="96" customWidth="1"/>
    <col min="33" max="33" width="7" style="90" customWidth="1"/>
    <col min="34" max="34" width="6.7109375" style="90" customWidth="1"/>
    <col min="35" max="35" width="7.140625" style="90" customWidth="1"/>
    <col min="36" max="36" width="6.5703125" style="90" customWidth="1"/>
    <col min="37" max="37" width="7.28515625" style="88" customWidth="1"/>
    <col min="38" max="38" width="6.7109375" style="96" customWidth="1"/>
    <col min="39" max="39" width="5.42578125" style="96" customWidth="1"/>
    <col min="40" max="40" width="4.7109375" style="96" customWidth="1"/>
    <col min="41" max="41" width="5.140625" style="96" customWidth="1"/>
    <col min="42" max="43" width="4.7109375" style="96" customWidth="1"/>
    <col min="44" max="46" width="4.7109375" style="96" hidden="1" customWidth="1"/>
    <col min="47" max="49" width="6.140625" style="90" customWidth="1"/>
    <col min="50" max="50" width="6.140625" style="90" hidden="1" customWidth="1"/>
    <col min="51" max="56" width="8.42578125" style="88" customWidth="1"/>
    <col min="57" max="60" width="6.7109375" style="88" customWidth="1"/>
    <col min="61" max="61" width="8.5703125" style="88" customWidth="1"/>
    <col min="62" max="64" width="12.7109375" style="88" customWidth="1"/>
    <col min="65" max="16384" width="11.5703125" style="77"/>
  </cols>
  <sheetData>
    <row r="1" spans="1:7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</row>
    <row r="2" spans="1:78" ht="1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8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</row>
    <row r="3" spans="1:78" ht="12.75" customHeight="1">
      <c r="A3" s="77"/>
      <c r="B3" s="79" t="s">
        <v>0</v>
      </c>
      <c r="C3" s="406" t="s">
        <v>283</v>
      </c>
      <c r="D3" s="406"/>
      <c r="E3" s="406"/>
      <c r="F3" s="406"/>
      <c r="G3" s="406"/>
      <c r="H3" s="406"/>
      <c r="I3" s="77"/>
      <c r="J3" s="77"/>
      <c r="K3" s="77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Y3" s="77"/>
      <c r="Z3" s="410" t="s">
        <v>202</v>
      </c>
      <c r="AA3" s="411"/>
      <c r="AB3" s="411"/>
      <c r="AC3" s="411"/>
      <c r="AD3" s="411"/>
      <c r="AE3" s="411"/>
      <c r="AF3" s="411"/>
      <c r="AG3" s="411"/>
      <c r="AH3" s="411"/>
      <c r="AI3" s="411"/>
      <c r="AJ3" s="411"/>
      <c r="AK3" s="412"/>
      <c r="AL3" s="77"/>
      <c r="AM3" s="77"/>
      <c r="AN3" s="77"/>
      <c r="AO3" s="77"/>
      <c r="AP3" s="77"/>
      <c r="AQ3" s="410" t="s">
        <v>196</v>
      </c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2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</row>
    <row r="4" spans="1:78" ht="12.75" customHeight="1">
      <c r="A4" s="77"/>
      <c r="B4" s="79" t="s">
        <v>1</v>
      </c>
      <c r="C4" s="406" t="s">
        <v>284</v>
      </c>
      <c r="D4" s="406"/>
      <c r="E4" s="406"/>
      <c r="F4" s="406"/>
      <c r="G4" s="406"/>
      <c r="H4" s="406"/>
      <c r="I4" s="77"/>
      <c r="J4" s="77"/>
      <c r="K4" s="77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Y4" s="77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L4" s="77"/>
      <c r="AM4" s="77"/>
      <c r="AN4" s="77"/>
      <c r="AO4" s="77"/>
      <c r="AP4" s="77"/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C4" s="77"/>
      <c r="BD4" s="77"/>
      <c r="BE4" s="77"/>
      <c r="BF4" s="77"/>
      <c r="BG4" s="77"/>
      <c r="BH4" s="66"/>
      <c r="BI4" s="77"/>
      <c r="BJ4" s="77"/>
      <c r="BK4" s="77"/>
      <c r="BL4" s="77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</row>
    <row r="5" spans="1:78" ht="12.75" customHeight="1">
      <c r="A5" s="77"/>
      <c r="B5" s="79" t="s">
        <v>7</v>
      </c>
      <c r="C5" s="406" t="s">
        <v>201</v>
      </c>
      <c r="D5" s="406"/>
      <c r="E5" s="406"/>
      <c r="F5" s="406"/>
      <c r="G5" s="406"/>
      <c r="H5" s="406"/>
      <c r="I5" s="77"/>
      <c r="J5" s="77"/>
      <c r="K5" s="77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Y5" s="77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COUNTIF($L$12:$L$48,"&gt;0,9")</f>
        <v>18</v>
      </c>
      <c r="AI5" s="117">
        <f t="array" ref="AI5">COUNT(IF($L$12:$L$48&gt;0.9,IF($M$12:$U$48&gt;=0,$M$12:$U$48,"")))</f>
        <v>91</v>
      </c>
      <c r="AJ5" s="80">
        <f t="array" ref="AJ5">COUNT(IF($L$12:$L$48&gt;0.9,IF($M$12:$U$48&gt;=1,$M$12:$U$48,"")))</f>
        <v>56</v>
      </c>
      <c r="AK5" s="80">
        <f t="array" ref="AK5">COUNT(IF($L$12:$L$48&gt;0.9,IF($AG$12:$AJ$48&gt;0,$AG$12:$AJ$48,"")))</f>
        <v>20</v>
      </c>
      <c r="AL5" s="77"/>
      <c r="AM5" s="77"/>
      <c r="AN5" s="77"/>
      <c r="AO5" s="77"/>
      <c r="AP5" s="77"/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C6</f>
        <v>41</v>
      </c>
      <c r="AZ5" s="80">
        <f>COUNTIF($M$12:$U$48,"&gt;=0")</f>
        <v>179</v>
      </c>
      <c r="BA5" s="80">
        <f>COUNTIF($M$12:$U$48,"&gt;=1")</f>
        <v>111</v>
      </c>
      <c r="BB5" s="80">
        <f>COUNTIF($AG$12:$AJ$48,"&gt;0")</f>
        <v>41</v>
      </c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</row>
    <row r="6" spans="1:78" ht="12.75" customHeight="1">
      <c r="A6" s="77"/>
      <c r="B6" s="79" t="s">
        <v>9</v>
      </c>
      <c r="C6" s="406">
        <v>41</v>
      </c>
      <c r="D6" s="406"/>
      <c r="E6" s="406"/>
      <c r="F6" s="406"/>
      <c r="G6" s="406"/>
      <c r="H6" s="406"/>
      <c r="I6" s="77"/>
      <c r="J6" s="77"/>
      <c r="K6" s="77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Y6" s="77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AVERAGEIF($L$12:$L$48,"&gt;0,9",$AY$12:$AY$48)</f>
        <v>7.1370772651396741E-2</v>
      </c>
      <c r="AI6" s="115" t="e">
        <f>AVERAGE(IF($L$12:$L$48&gt;0.9,IF($M$12:$U$24=0,$AZ$12:$BH$48,"")))</f>
        <v>#VALUE!</v>
      </c>
      <c r="AJ6" s="115" t="e">
        <f t="array" ref="AJ6">AVERAGE(IF($L$12:$L$48&gt;0.9,IF($M$12:$U$24&gt;=1,$AZ$12:$BH$48,"")))</f>
        <v>#N/A</v>
      </c>
      <c r="AK6" s="115">
        <f t="array" ref="AK6">AVERAGE(IF($L$12:$L$48&gt;0.9,IF($AG$12:$AJ$48&gt;0,$BI$12:$BL$48,"")))</f>
        <v>5.5875425654827962E-2</v>
      </c>
      <c r="AL6" s="77"/>
      <c r="AM6" s="77"/>
      <c r="AN6" s="77"/>
      <c r="AO6" s="77"/>
      <c r="AP6" s="77"/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AVERAGE($AY$12:$AY$48)</f>
        <v>8.3776527966461276E-2</v>
      </c>
      <c r="AZ6" s="115">
        <f>AVERAGEIF($M$12:$U$48,"0",$AZ$12:$BH$48)</f>
        <v>6.3375494262104468E-2</v>
      </c>
      <c r="BA6" s="115">
        <f>AVERAGEIF($M$12:$U$48,"&gt;=1",$AZ$12:$BH$48)</f>
        <v>6.2326201028418474E-2</v>
      </c>
      <c r="BB6" s="115">
        <f>AVERAGEIF($AG$12:$AJ$48,"&gt;0",$BI$12:$BL$48)</f>
        <v>6.7812000825515306E-2</v>
      </c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</row>
    <row r="7" spans="1:78" ht="12.75" customHeight="1">
      <c r="A7" s="77"/>
      <c r="B7" s="81"/>
      <c r="C7" s="76"/>
      <c r="D7" s="76"/>
      <c r="E7" s="81"/>
      <c r="F7" s="81"/>
      <c r="G7" s="77"/>
      <c r="H7" s="77"/>
      <c r="I7" s="77"/>
      <c r="J7" s="77"/>
      <c r="K7" s="77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Y7" s="77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STDEV(IF($L$12:$L$48&gt;0.9,$AY$12:$AY$48))</f>
        <v>0.13852283175275018</v>
      </c>
      <c r="AI7" s="115">
        <f t="array" ref="AI7">STDEV(IF($L$12:$L$48&gt;0.9,IF($M$12:$U$48=0,$AZ$12:$BH$48,"")))</f>
        <v>0.25534085738002577</v>
      </c>
      <c r="AJ7" s="115">
        <f t="array" ref="AJ7">STDEV(IF($L$12:$L$48&gt;0.9,IF($M$12:$U$48&gt;=1,$AZ$12:$BH$48,"")))</f>
        <v>0.2348255683136789</v>
      </c>
      <c r="AK7" s="115">
        <f t="array" ref="AK7">STDEV(IF($L$12:$L$48&gt;0.9,IF($AG$12:$AJ$48&gt;0,$BI$12:$BL$48,"")))</f>
        <v>0.15340473631412782</v>
      </c>
      <c r="AL7" s="77"/>
      <c r="AM7" s="77"/>
      <c r="AN7" s="77"/>
      <c r="AO7" s="77"/>
      <c r="AP7" s="77"/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STDEV($AY$12:$AY$48)</f>
        <v>0.14592541002455856</v>
      </c>
      <c r="AZ7" s="115">
        <f t="array" ref="AZ7">STDEV(IF($M$12:$U$24=0,$AZ$12:$BH$24))</f>
        <v>0.26199936153057102</v>
      </c>
      <c r="BA7" s="115">
        <f t="array" ref="BA7">STDEV(IF($M$12:$U$48&gt;=1,$AZ$12:$BH$48))</f>
        <v>0.27804475291420444</v>
      </c>
      <c r="BB7" s="115">
        <f t="array" ref="BB7">STDEV(IF($AG$12:$AJ$24&gt;0,$BI$12:$BL$24))</f>
        <v>0.21019944050000516</v>
      </c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</row>
    <row r="8" spans="1:78" ht="12.75" customHeight="1">
      <c r="A8" s="77"/>
      <c r="B8" s="81"/>
      <c r="C8" s="76"/>
      <c r="D8" s="76"/>
      <c r="E8" s="81"/>
      <c r="F8" s="81"/>
      <c r="G8" s="77"/>
      <c r="H8" s="77"/>
      <c r="I8" s="77"/>
      <c r="J8" s="77"/>
      <c r="K8" s="77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</row>
    <row r="9" spans="1:78" ht="12.75" customHeight="1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</row>
    <row r="10" spans="1:78" ht="12.75" customHeight="1">
      <c r="A10" s="416" t="s">
        <v>181</v>
      </c>
      <c r="B10" s="416" t="s">
        <v>180</v>
      </c>
      <c r="C10" s="416" t="s">
        <v>182</v>
      </c>
      <c r="D10" s="416" t="s">
        <v>183</v>
      </c>
      <c r="E10" s="416" t="s">
        <v>13</v>
      </c>
      <c r="F10" s="416" t="s">
        <v>14</v>
      </c>
      <c r="G10" s="416" t="s">
        <v>15</v>
      </c>
      <c r="H10" s="416" t="s">
        <v>16</v>
      </c>
      <c r="I10" s="405" t="s">
        <v>17</v>
      </c>
      <c r="J10" s="405"/>
      <c r="K10" s="405"/>
      <c r="L10" s="416" t="s">
        <v>95</v>
      </c>
      <c r="M10" s="405" t="s">
        <v>18</v>
      </c>
      <c r="N10" s="405"/>
      <c r="O10" s="405"/>
      <c r="P10" s="405"/>
      <c r="Q10" s="405"/>
      <c r="R10" s="405"/>
      <c r="S10" s="405"/>
      <c r="T10" s="405"/>
      <c r="U10" s="405"/>
      <c r="V10" s="405"/>
      <c r="W10" s="405" t="s">
        <v>31</v>
      </c>
      <c r="X10" s="405"/>
      <c r="Y10" s="405"/>
      <c r="Z10" s="405"/>
      <c r="AA10" s="405"/>
      <c r="AB10" s="405"/>
      <c r="AC10" s="405"/>
      <c r="AD10" s="405"/>
      <c r="AE10" s="405"/>
      <c r="AF10" s="405"/>
      <c r="AG10" s="405"/>
      <c r="AH10" s="405"/>
      <c r="AI10" s="405"/>
      <c r="AJ10" s="405"/>
      <c r="AK10" s="405" t="s">
        <v>30</v>
      </c>
      <c r="AL10" s="405"/>
      <c r="AM10" s="405"/>
      <c r="AN10" s="405"/>
      <c r="AO10" s="405"/>
      <c r="AP10" s="405"/>
      <c r="AQ10" s="405"/>
      <c r="AR10" s="405"/>
      <c r="AS10" s="405"/>
      <c r="AT10" s="405"/>
      <c r="AU10" s="405"/>
      <c r="AV10" s="405"/>
      <c r="AW10" s="405"/>
      <c r="AX10" s="405"/>
      <c r="AY10" s="405" t="s">
        <v>19</v>
      </c>
      <c r="AZ10" s="405"/>
      <c r="BA10" s="405"/>
      <c r="BB10" s="405"/>
      <c r="BC10" s="405"/>
      <c r="BD10" s="405"/>
      <c r="BE10" s="405"/>
      <c r="BF10" s="405"/>
      <c r="BG10" s="405"/>
      <c r="BH10" s="405"/>
      <c r="BI10" s="405"/>
      <c r="BJ10" s="405"/>
      <c r="BK10" s="405"/>
      <c r="BL10" s="405"/>
      <c r="BM10" s="92"/>
      <c r="BN10" s="92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</row>
    <row r="11" spans="1:78" ht="12.75" customHeight="1">
      <c r="A11" s="417"/>
      <c r="B11" s="417"/>
      <c r="C11" s="417"/>
      <c r="D11" s="417"/>
      <c r="E11" s="417"/>
      <c r="F11" s="417"/>
      <c r="G11" s="417"/>
      <c r="H11" s="417"/>
      <c r="I11" s="79" t="s">
        <v>20</v>
      </c>
      <c r="J11" s="79" t="s">
        <v>165</v>
      </c>
      <c r="K11" s="79" t="s">
        <v>21</v>
      </c>
      <c r="L11" s="417"/>
      <c r="M11" s="79" t="s">
        <v>186</v>
      </c>
      <c r="N11" s="79" t="s">
        <v>187</v>
      </c>
      <c r="O11" s="79" t="s">
        <v>188</v>
      </c>
      <c r="P11" s="79" t="s">
        <v>189</v>
      </c>
      <c r="Q11" s="79" t="s">
        <v>190</v>
      </c>
      <c r="R11" s="79" t="s">
        <v>191</v>
      </c>
      <c r="S11" s="79" t="s">
        <v>192</v>
      </c>
      <c r="T11" s="79" t="s">
        <v>193</v>
      </c>
      <c r="U11" s="79" t="s">
        <v>194</v>
      </c>
      <c r="V11" s="79" t="s">
        <v>185</v>
      </c>
      <c r="W11" s="79" t="s">
        <v>3</v>
      </c>
      <c r="X11" s="79" t="s">
        <v>22</v>
      </c>
      <c r="Y11" s="79" t="s">
        <v>23</v>
      </c>
      <c r="Z11" s="79" t="s">
        <v>24</v>
      </c>
      <c r="AA11" s="79" t="s">
        <v>25</v>
      </c>
      <c r="AB11" s="79" t="s">
        <v>26</v>
      </c>
      <c r="AC11" s="79" t="s">
        <v>27</v>
      </c>
      <c r="AD11" s="79" t="s">
        <v>90</v>
      </c>
      <c r="AE11" s="79" t="s">
        <v>91</v>
      </c>
      <c r="AF11" s="79" t="s">
        <v>184</v>
      </c>
      <c r="AG11" s="79" t="s">
        <v>28</v>
      </c>
      <c r="AH11" s="79" t="s">
        <v>29</v>
      </c>
      <c r="AI11" s="79" t="s">
        <v>92</v>
      </c>
      <c r="AJ11" s="79" t="s">
        <v>93</v>
      </c>
      <c r="AK11" s="79" t="s">
        <v>3</v>
      </c>
      <c r="AL11" s="79" t="s">
        <v>22</v>
      </c>
      <c r="AM11" s="79" t="s">
        <v>23</v>
      </c>
      <c r="AN11" s="79" t="s">
        <v>24</v>
      </c>
      <c r="AO11" s="79" t="s">
        <v>25</v>
      </c>
      <c r="AP11" s="79" t="s">
        <v>26</v>
      </c>
      <c r="AQ11" s="79" t="s">
        <v>27</v>
      </c>
      <c r="AR11" s="79" t="s">
        <v>90</v>
      </c>
      <c r="AS11" s="79" t="s">
        <v>91</v>
      </c>
      <c r="AT11" s="79" t="s">
        <v>184</v>
      </c>
      <c r="AU11" s="79" t="s">
        <v>28</v>
      </c>
      <c r="AV11" s="79" t="s">
        <v>29</v>
      </c>
      <c r="AW11" s="79" t="s">
        <v>92</v>
      </c>
      <c r="AX11" s="79" t="s">
        <v>93</v>
      </c>
      <c r="AY11" s="79" t="s">
        <v>3</v>
      </c>
      <c r="AZ11" s="79" t="s">
        <v>22</v>
      </c>
      <c r="BA11" s="79" t="s">
        <v>23</v>
      </c>
      <c r="BB11" s="79" t="s">
        <v>24</v>
      </c>
      <c r="BC11" s="79" t="s">
        <v>25</v>
      </c>
      <c r="BD11" s="79" t="s">
        <v>26</v>
      </c>
      <c r="BE11" s="79" t="s">
        <v>27</v>
      </c>
      <c r="BF11" s="79" t="s">
        <v>90</v>
      </c>
      <c r="BG11" s="79" t="s">
        <v>91</v>
      </c>
      <c r="BH11" s="79" t="s">
        <v>184</v>
      </c>
      <c r="BI11" s="79" t="s">
        <v>28</v>
      </c>
      <c r="BJ11" s="79" t="s">
        <v>29</v>
      </c>
      <c r="BK11" s="79" t="s">
        <v>92</v>
      </c>
      <c r="BL11" s="79" t="s">
        <v>93</v>
      </c>
      <c r="BM11" s="93"/>
      <c r="BN11" s="94"/>
      <c r="BO11" s="94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</row>
    <row r="12" spans="1:78" s="89" customFormat="1" ht="12.75">
      <c r="A12" s="148" t="s">
        <v>211</v>
      </c>
      <c r="B12" s="149" t="s">
        <v>246</v>
      </c>
      <c r="C12" s="150"/>
      <c r="D12" s="125">
        <v>0.38263888888888892</v>
      </c>
      <c r="E12" s="126">
        <v>66.421800000000005</v>
      </c>
      <c r="F12" s="127"/>
      <c r="G12" s="127"/>
      <c r="H12" s="148"/>
      <c r="I12" s="149" t="s">
        <v>94</v>
      </c>
      <c r="J12" s="128">
        <f>IF(ISERROR(VLOOKUP(I12,Max_Load_France!$B$2:$C$102,2,FALSE)/1000),"",VLOOKUP(I12,Max_Load_France!$B$2:$C$102,2,FALSE)/1000)</f>
        <v>40</v>
      </c>
      <c r="K12" s="129"/>
      <c r="L12" s="130">
        <f t="shared" ref="L12:L47" si="0">W12/J12</f>
        <v>0.87750000000000006</v>
      </c>
      <c r="M12" s="131">
        <f>IF(VLOOKUP($I12,Max_Load_France!$B$2:$M$102,3,FALSE)="","",VLOOKUP($I12,Max_Load_France!$B$2:$M$102,3,FALSE))</f>
        <v>0</v>
      </c>
      <c r="N12" s="131">
        <f>IF(VLOOKUP($I12,Max_Load_France!$B$2:$M$102,4,FALSE)="","",VLOOKUP($I12,Max_Load_France!$B$2:$M$102,4,FALSE))</f>
        <v>0</v>
      </c>
      <c r="O12" s="131">
        <f>IF(VLOOKUP($I12,Max_Load_France!$B$2:$M$102,5,FALSE)="","",VLOOKUP($I12,Max_Load_France!$B$2:$M$102,5,FALSE))</f>
        <v>1</v>
      </c>
      <c r="P12" s="131">
        <f>IF(VLOOKUP($I12,Max_Load_France!$B$2:$M$102,6,FALSE)="","",VLOOKUP($I12,Max_Load_France!$B$2:$M$102,6,FALSE))</f>
        <v>1</v>
      </c>
      <c r="Q12" s="131">
        <f>IF(VLOOKUP($I12,Max_Load_France!$B$2:$M$102,7,FALSE)="","",VLOOKUP($I12,Max_Load_France!$B$2:$M$102,7,FALSE))</f>
        <v>1</v>
      </c>
      <c r="R12" s="131" t="str">
        <f>IF(VLOOKUP($I12,Max_Load_France!$B$2:$M$102,8,FALSE)="","",VLOOKUP($I12,Max_Load_France!$B$2:$M$102,8,FALSE))</f>
        <v/>
      </c>
      <c r="S12" s="131" t="str">
        <f>IF(VLOOKUP($I12,Max_Load_France!$B$2:$M$102,9,FALSE)="","",VLOOKUP($I12,Max_Load_France!$B$2:$M$102,9,FALSE))</f>
        <v/>
      </c>
      <c r="T12" s="131" t="str">
        <f>IF(VLOOKUP($I12,Max_Load_France!$B$2:$M$102,10,FALSE)="","",VLOOKUP($I12,Max_Load_France!$B$2:$M$102,10,FALSE))</f>
        <v/>
      </c>
      <c r="U12" s="131" t="str">
        <f>IF(VLOOKUP($I12,Max_Load_France!$B$2:$M$102,11,FALSE)="","",VLOOKUP($I12,Max_Load_France!$B$2:$M$102,11,FALSE))</f>
        <v/>
      </c>
      <c r="V12" s="148">
        <v>5</v>
      </c>
      <c r="W12" s="132">
        <f>SUM($X12:$AF12)</f>
        <v>35.1</v>
      </c>
      <c r="X12" s="133">
        <v>6.7</v>
      </c>
      <c r="Y12" s="133">
        <v>9.6</v>
      </c>
      <c r="Z12" s="133">
        <v>6.4</v>
      </c>
      <c r="AA12" s="133">
        <v>6.2</v>
      </c>
      <c r="AB12" s="133">
        <v>6.2</v>
      </c>
      <c r="AC12" s="101"/>
      <c r="AD12" s="101"/>
      <c r="AE12" s="101"/>
      <c r="AF12" s="101"/>
      <c r="AG12" s="134">
        <f>IF(SUMIF($M12:$U12,"=1",$X12:$AF12)=0,"",SUMIF($M12:$U12,"=1",$X12:$AF12))</f>
        <v>18.8</v>
      </c>
      <c r="AH12" s="134" t="str">
        <f>IF(SUMIF($M12:$U12,"=2",$X12:$AF12)=0,"",SUMIF($M12:$U12,"=2",$X12:$AF12))</f>
        <v/>
      </c>
      <c r="AI12" s="134" t="str">
        <f>IF(SUMIF($M12:$U12,"=3",$X12:$AF12)=0,"",SUMIF($M12:$U12,"=3",$X12:$AF12))</f>
        <v/>
      </c>
      <c r="AJ12" s="134" t="str">
        <f>IF(SUMIF($M12:$U12,"=4",$X12:$AF12)=0,"",SUMIF($M12:$U12,"=4",$X12:$AF12))</f>
        <v/>
      </c>
      <c r="AK12" s="135">
        <f>SUM(AL12:AP12)</f>
        <v>31.650791208791212</v>
      </c>
      <c r="AL12" s="133">
        <v>5.6906373626373625</v>
      </c>
      <c r="AM12" s="133">
        <v>10.459802197802199</v>
      </c>
      <c r="AN12" s="133">
        <v>3.5502197802197806</v>
      </c>
      <c r="AO12" s="133">
        <v>6.9157362637362638</v>
      </c>
      <c r="AP12" s="133">
        <v>5.0343956043956046</v>
      </c>
      <c r="AQ12" s="101"/>
      <c r="AR12" s="101"/>
      <c r="AS12" s="101"/>
      <c r="AT12" s="101"/>
      <c r="AU12" s="134">
        <f>IF(SUMIF($M12:$U12,"=1",$AL12:$AT12)=0,"",SUMIF($M12:$U12,"=1",$AL12:$AT12))</f>
        <v>15.50035164835165</v>
      </c>
      <c r="AV12" s="134" t="str">
        <f>IF(SUMIF($M12:$U12,"=2",$AL12:$AT12)=0,"",SUMIF($M12:$U12,"=2",$AL12:$AT12))</f>
        <v/>
      </c>
      <c r="AW12" s="134" t="str">
        <f>IF(SUMIF($M12:$U12,"=3",$AL12:$AT12)=0,"",SUMIF($M12:$U12,"=3",$AL12:$AT12))</f>
        <v/>
      </c>
      <c r="AX12" s="134" t="str">
        <f>IF(SUMIF($M12:$U12,"=4",$AL12:$AT12)=0,"",SUMIF($M12:$U12,"=4",$AL12:$AT12))</f>
        <v/>
      </c>
      <c r="AY12" s="136">
        <f t="shared" ref="AY12:BH12" si="1">IF(W12&gt;0,(AK12-W12)/W12,"")</f>
        <v>-9.8268056729595141E-2</v>
      </c>
      <c r="AZ12" s="136">
        <f t="shared" si="1"/>
        <v>-0.15065113990487128</v>
      </c>
      <c r="BA12" s="136">
        <f t="shared" si="1"/>
        <v>8.9562728937729139E-2</v>
      </c>
      <c r="BB12" s="136">
        <f t="shared" si="1"/>
        <v>-0.44527815934065934</v>
      </c>
      <c r="BC12" s="136">
        <f t="shared" si="1"/>
        <v>0.11544133286068768</v>
      </c>
      <c r="BD12" s="136">
        <f t="shared" si="1"/>
        <v>-0.18800070896845089</v>
      </c>
      <c r="BE12" s="136" t="str">
        <f t="shared" si="1"/>
        <v/>
      </c>
      <c r="BF12" s="136" t="str">
        <f t="shared" si="1"/>
        <v/>
      </c>
      <c r="BG12" s="136" t="str">
        <f t="shared" si="1"/>
        <v/>
      </c>
      <c r="BH12" s="136" t="str">
        <f t="shared" si="1"/>
        <v/>
      </c>
      <c r="BI12" s="136">
        <f>IF(AG12&lt;&gt;"",(AU12-AG12)/AG12,"")</f>
        <v>-0.17551321019406121</v>
      </c>
      <c r="BJ12" s="136" t="str">
        <f>IF(AH12&lt;&gt;"",(AV12-AH12)/AH12,"")</f>
        <v/>
      </c>
      <c r="BK12" s="136" t="str">
        <f>IF(AI12&lt;&gt;"",(AW12-AI12)/AI12,"")</f>
        <v/>
      </c>
      <c r="BL12" s="136" t="str">
        <f>IF(AJ12&lt;&gt;"",(AX12-AJ12)/AJ12,"")</f>
        <v/>
      </c>
      <c r="BM12" s="76"/>
      <c r="BN12" s="94"/>
      <c r="BO12" s="94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</row>
    <row r="13" spans="1:78" s="89" customFormat="1" ht="12.75">
      <c r="A13" s="148" t="s">
        <v>212</v>
      </c>
      <c r="B13" s="149" t="s">
        <v>247</v>
      </c>
      <c r="C13" s="150"/>
      <c r="D13" s="125">
        <v>0.38541666666666669</v>
      </c>
      <c r="E13" s="126">
        <v>77.201999999999998</v>
      </c>
      <c r="F13" s="127"/>
      <c r="G13" s="127"/>
      <c r="H13" s="148"/>
      <c r="I13" s="149" t="s">
        <v>124</v>
      </c>
      <c r="J13" s="128">
        <f>IF(ISERROR(VLOOKUP(I13,Max_Load_France!$B$2:$C$102,2,FALSE)/1000),"",VLOOKUP(I13,Max_Load_France!$B$2:$C$102,2,FALSE)/1000)</f>
        <v>40</v>
      </c>
      <c r="K13" s="129"/>
      <c r="L13" s="130">
        <f t="shared" si="0"/>
        <v>0.36249999999999999</v>
      </c>
      <c r="M13" s="131">
        <f>IF(VLOOKUP($I13,Max_Load_France!$B$2:$M$102,3,FALSE)="","",VLOOKUP($I13,Max_Load_France!$B$2:$M$102,3,FALSE))</f>
        <v>0</v>
      </c>
      <c r="N13" s="131">
        <f>IF(VLOOKUP($I13,Max_Load_France!$B$2:$M$102,4,FALSE)="","",VLOOKUP($I13,Max_Load_France!$B$2:$M$102,4,FALSE))</f>
        <v>0</v>
      </c>
      <c r="O13" s="131">
        <f>IF(VLOOKUP($I13,Max_Load_France!$B$2:$M$102,5,FALSE)="","",VLOOKUP($I13,Max_Load_France!$B$2:$M$102,5,FALSE))</f>
        <v>0</v>
      </c>
      <c r="P13" s="131">
        <f>IF(VLOOKUP($I13,Max_Load_France!$B$2:$M$102,6,FALSE)="","",VLOOKUP($I13,Max_Load_France!$B$2:$M$102,6,FALSE))</f>
        <v>1</v>
      </c>
      <c r="Q13" s="131">
        <f>IF(VLOOKUP($I13,Max_Load_France!$B$2:$M$102,7,FALSE)="","",VLOOKUP($I13,Max_Load_France!$B$2:$M$102,7,FALSE))</f>
        <v>1</v>
      </c>
      <c r="R13" s="131" t="str">
        <f>IF(VLOOKUP($I13,Max_Load_France!$B$2:$M$102,8,FALSE)="","",VLOOKUP($I13,Max_Load_France!$B$2:$M$102,8,FALSE))</f>
        <v/>
      </c>
      <c r="S13" s="131" t="str">
        <f>IF(VLOOKUP($I13,Max_Load_France!$B$2:$M$102,9,FALSE)="","",VLOOKUP($I13,Max_Load_France!$B$2:$M$102,9,FALSE))</f>
        <v/>
      </c>
      <c r="T13" s="131" t="str">
        <f>IF(VLOOKUP($I13,Max_Load_France!$B$2:$M$102,10,FALSE)="","",VLOOKUP($I13,Max_Load_France!$B$2:$M$102,10,FALSE))</f>
        <v/>
      </c>
      <c r="U13" s="131" t="str">
        <f>IF(VLOOKUP($I13,Max_Load_France!$B$2:$M$102,11,FALSE)="","",VLOOKUP($I13,Max_Load_France!$B$2:$M$102,11,FALSE))</f>
        <v/>
      </c>
      <c r="V13" s="148">
        <v>5</v>
      </c>
      <c r="W13" s="132">
        <f t="shared" ref="W13:W47" si="2">SUM($X13:$AF13)</f>
        <v>14.5</v>
      </c>
      <c r="X13" s="133">
        <v>5.6</v>
      </c>
      <c r="Y13" s="133">
        <v>3.1</v>
      </c>
      <c r="Z13" s="133">
        <v>1.9</v>
      </c>
      <c r="AA13" s="133">
        <v>2</v>
      </c>
      <c r="AB13" s="133">
        <v>1.9</v>
      </c>
      <c r="AC13" s="101"/>
      <c r="AD13" s="101"/>
      <c r="AE13" s="101"/>
      <c r="AF13" s="101"/>
      <c r="AG13" s="134">
        <f t="shared" ref="AG13:AG47" si="3">IF(SUMIF($M13:$U13,"=1",$X13:$AF13)=0,"",SUMIF($M13:$U13,"=1",$X13:$AF13))</f>
        <v>3.9</v>
      </c>
      <c r="AH13" s="134" t="str">
        <f t="shared" ref="AH13:AH47" si="4">IF(SUMIF($M13:$U13,"=2",$X13:$AF13)=0,"",SUMIF($M13:$U13,"=2",$X13:$AF13))</f>
        <v/>
      </c>
      <c r="AI13" s="134" t="str">
        <f t="shared" ref="AI13:AI40" si="5">IF(SUMIF($M13:$U13,"=3",$X13:$AF13)=0,"",SUMIF($M13:$U13,"=3",$X13:$AF13))</f>
        <v/>
      </c>
      <c r="AJ13" s="134" t="str">
        <f t="shared" ref="AJ13:AJ40" si="6">IF(SUMIF($M13:$U13,"=4",$X13:$AF13)=0,"",SUMIF($M13:$U13,"=4",$X13:$AF13))</f>
        <v/>
      </c>
      <c r="AK13" s="135">
        <f t="shared" ref="AK13:AK47" si="7">SUM(AL13:AP13)</f>
        <v>15.607087912087913</v>
      </c>
      <c r="AL13" s="133">
        <v>6.0117802197802197</v>
      </c>
      <c r="AM13" s="133">
        <v>4.4498461538461545</v>
      </c>
      <c r="AN13" s="133">
        <v>1.1864505494505495</v>
      </c>
      <c r="AO13" s="133">
        <v>2.1054285714285719</v>
      </c>
      <c r="AP13" s="133">
        <v>1.8535824175824176</v>
      </c>
      <c r="AQ13" s="101"/>
      <c r="AR13" s="101"/>
      <c r="AS13" s="101"/>
      <c r="AT13" s="101"/>
      <c r="AU13" s="134">
        <f t="shared" ref="AU13:AU47" si="8">IF(SUMIF($M13:$U13,"=1",$AL13:$AT13)=0,"",SUMIF($M13:$U13,"=1",$AL13:$AT13))</f>
        <v>3.9590109890109897</v>
      </c>
      <c r="AV13" s="134" t="str">
        <f t="shared" ref="AV13:AV47" si="9">IF(SUMIF($M13:$U13,"=2",$AL13:$AT13)=0,"",SUMIF($M13:$U13,"=2",$AL13:$AT13))</f>
        <v/>
      </c>
      <c r="AW13" s="134" t="str">
        <f t="shared" ref="AW13:AW24" si="10">IF(SUMIF($M13:$U13,"=3",$AL13:$AT13)=0,"",SUMIF($M13:$U13,"=3",$AL13:$AT13))</f>
        <v/>
      </c>
      <c r="AX13" s="134" t="str">
        <f t="shared" ref="AX13:AX24" si="11">IF(SUMIF($M13:$U13,"=4",$AL13:$AT13)=0,"",SUMIF($M13:$U13,"=4",$AL13:$AT13))</f>
        <v/>
      </c>
      <c r="AY13" s="136">
        <f t="shared" ref="AY13:AY25" si="12">IF(W13&gt;0,(AK13-W13)/W13,"")</f>
        <v>7.6350890488821571E-2</v>
      </c>
      <c r="AZ13" s="136">
        <f t="shared" ref="AZ13:AZ25" si="13">IF(X13&gt;0,(AL13-X13)/X13,"")</f>
        <v>7.3532182103610733E-2</v>
      </c>
      <c r="BA13" s="136">
        <f t="shared" ref="BA13:BA25" si="14">IF(Y13&gt;0,(AM13-Y13)/Y13,"")</f>
        <v>0.43543424317617879</v>
      </c>
      <c r="BB13" s="136">
        <f t="shared" ref="BB13:BB25" si="15">IF(Z13&gt;0,(AN13-Z13)/Z13,"")</f>
        <v>-0.37555234239444762</v>
      </c>
      <c r="BC13" s="136">
        <f t="shared" ref="BC13:BC25" si="16">IF(AA13&gt;0,(AO13-AA13)/AA13,"")</f>
        <v>5.2714285714285936E-2</v>
      </c>
      <c r="BD13" s="136">
        <f t="shared" ref="BD13:BD25" si="17">IF(AB13&gt;0,(AP13-AB13)/AB13,"")</f>
        <v>-2.443030653556964E-2</v>
      </c>
      <c r="BE13" s="136" t="str">
        <f t="shared" ref="BE13:BE25" si="18">IF(AC13&gt;0,(AQ13-AC13)/AC13,"")</f>
        <v/>
      </c>
      <c r="BF13" s="136" t="str">
        <f t="shared" ref="BF13:BF25" si="19">IF(AD13&gt;0,(AR13-AD13)/AD13,"")</f>
        <v/>
      </c>
      <c r="BG13" s="136" t="str">
        <f t="shared" ref="BG13:BG25" si="20">IF(AE13&gt;0,(AS13-AE13)/AE13,"")</f>
        <v/>
      </c>
      <c r="BH13" s="136" t="str">
        <f t="shared" ref="BH13:BH25" si="21">IF(AF13&gt;0,(AT13-AF13)/AF13,"")</f>
        <v/>
      </c>
      <c r="BI13" s="136">
        <f t="shared" ref="BI13:BI25" si="22">IF(AG13&lt;&gt;"",(AU13-AG13)/AG13,"")</f>
        <v>1.5131022823330714E-2</v>
      </c>
      <c r="BJ13" s="136" t="str">
        <f t="shared" ref="BJ13:BJ25" si="23">IF(AH13&lt;&gt;"",(AV13-AH13)/AH13,"")</f>
        <v/>
      </c>
      <c r="BK13" s="136" t="str">
        <f t="shared" ref="BK13:BK25" si="24">IF(AI13&lt;&gt;"",(AW13-AI13)/AI13,"")</f>
        <v/>
      </c>
      <c r="BL13" s="136" t="str">
        <f t="shared" ref="BL13:BL25" si="25">IF(AJ13&lt;&gt;"",(AX13-AJ13)/AJ13,"")</f>
        <v/>
      </c>
      <c r="BM13" s="76"/>
      <c r="BN13" s="94"/>
      <c r="BO13" s="94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</row>
    <row r="14" spans="1:78" s="89" customFormat="1" ht="12.75">
      <c r="A14" s="148" t="s">
        <v>213</v>
      </c>
      <c r="B14" s="149" t="s">
        <v>248</v>
      </c>
      <c r="C14" s="150"/>
      <c r="D14" s="125">
        <v>0.38958333333333334</v>
      </c>
      <c r="E14" s="126">
        <v>54.816480000000006</v>
      </c>
      <c r="F14" s="127"/>
      <c r="G14" s="127"/>
      <c r="H14" s="148"/>
      <c r="I14" s="149" t="s">
        <v>94</v>
      </c>
      <c r="J14" s="128">
        <f>IF(ISERROR(VLOOKUP(I14,Max_Load_France!$B$2:$C$102,2,FALSE)/1000),"",VLOOKUP(I14,Max_Load_France!$B$2:$C$102,2,FALSE)/1000)</f>
        <v>40</v>
      </c>
      <c r="K14" s="129"/>
      <c r="L14" s="130">
        <f t="shared" si="0"/>
        <v>1.05</v>
      </c>
      <c r="M14" s="131">
        <f>IF(VLOOKUP($I14,Max_Load_France!$B$2:$M$102,3,FALSE)="","",VLOOKUP($I14,Max_Load_France!$B$2:$M$102,3,FALSE))</f>
        <v>0</v>
      </c>
      <c r="N14" s="131">
        <f>IF(VLOOKUP($I14,Max_Load_France!$B$2:$M$102,4,FALSE)="","",VLOOKUP($I14,Max_Load_France!$B$2:$M$102,4,FALSE))</f>
        <v>0</v>
      </c>
      <c r="O14" s="131">
        <f>IF(VLOOKUP($I14,Max_Load_France!$B$2:$M$102,5,FALSE)="","",VLOOKUP($I14,Max_Load_France!$B$2:$M$102,5,FALSE))</f>
        <v>1</v>
      </c>
      <c r="P14" s="131">
        <f>IF(VLOOKUP($I14,Max_Load_France!$B$2:$M$102,6,FALSE)="","",VLOOKUP($I14,Max_Load_France!$B$2:$M$102,6,FALSE))</f>
        <v>1</v>
      </c>
      <c r="Q14" s="131">
        <f>IF(VLOOKUP($I14,Max_Load_France!$B$2:$M$102,7,FALSE)="","",VLOOKUP($I14,Max_Load_France!$B$2:$M$102,7,FALSE))</f>
        <v>1</v>
      </c>
      <c r="R14" s="131" t="str">
        <f>IF(VLOOKUP($I14,Max_Load_France!$B$2:$M$102,8,FALSE)="","",VLOOKUP($I14,Max_Load_France!$B$2:$M$102,8,FALSE))</f>
        <v/>
      </c>
      <c r="S14" s="131" t="str">
        <f>IF(VLOOKUP($I14,Max_Load_France!$B$2:$M$102,9,FALSE)="","",VLOOKUP($I14,Max_Load_France!$B$2:$M$102,9,FALSE))</f>
        <v/>
      </c>
      <c r="T14" s="131" t="str">
        <f>IF(VLOOKUP($I14,Max_Load_France!$B$2:$M$102,10,FALSE)="","",VLOOKUP($I14,Max_Load_France!$B$2:$M$102,10,FALSE))</f>
        <v/>
      </c>
      <c r="U14" s="131" t="str">
        <f>IF(VLOOKUP($I14,Max_Load_France!$B$2:$M$102,11,FALSE)="","",VLOOKUP($I14,Max_Load_France!$B$2:$M$102,11,FALSE))</f>
        <v/>
      </c>
      <c r="V14" s="148">
        <v>5</v>
      </c>
      <c r="W14" s="132">
        <f t="shared" si="2"/>
        <v>42</v>
      </c>
      <c r="X14" s="133">
        <v>7.5</v>
      </c>
      <c r="Y14" s="133">
        <v>13.8</v>
      </c>
      <c r="Z14" s="133">
        <v>7</v>
      </c>
      <c r="AA14" s="133">
        <v>6.9</v>
      </c>
      <c r="AB14" s="133">
        <v>6.8</v>
      </c>
      <c r="AC14" s="101"/>
      <c r="AD14" s="101"/>
      <c r="AE14" s="101"/>
      <c r="AF14" s="101"/>
      <c r="AG14" s="134">
        <f t="shared" si="3"/>
        <v>20.7</v>
      </c>
      <c r="AH14" s="134" t="str">
        <f t="shared" si="4"/>
        <v/>
      </c>
      <c r="AI14" s="134" t="str">
        <f t="shared" si="5"/>
        <v/>
      </c>
      <c r="AJ14" s="134" t="str">
        <f t="shared" si="6"/>
        <v/>
      </c>
      <c r="AK14" s="135">
        <f t="shared" si="7"/>
        <v>45.224252747252748</v>
      </c>
      <c r="AL14" s="133">
        <v>7.174153846153847</v>
      </c>
      <c r="AM14" s="133">
        <v>15.605384615384615</v>
      </c>
      <c r="AN14" s="133">
        <v>6.5507362637362636</v>
      </c>
      <c r="AO14" s="133">
        <v>8.1833186813186813</v>
      </c>
      <c r="AP14" s="133">
        <v>7.7106593406593413</v>
      </c>
      <c r="AQ14" s="101"/>
      <c r="AR14" s="101"/>
      <c r="AS14" s="101"/>
      <c r="AT14" s="101"/>
      <c r="AU14" s="134">
        <f t="shared" si="8"/>
        <v>22.444714285714287</v>
      </c>
      <c r="AV14" s="134" t="str">
        <f t="shared" si="9"/>
        <v/>
      </c>
      <c r="AW14" s="134" t="str">
        <f t="shared" si="10"/>
        <v/>
      </c>
      <c r="AX14" s="134" t="str">
        <f t="shared" si="11"/>
        <v/>
      </c>
      <c r="AY14" s="136">
        <f t="shared" si="12"/>
        <v>7.6767922553636875E-2</v>
      </c>
      <c r="AZ14" s="136">
        <f t="shared" si="13"/>
        <v>-4.3446153846153732E-2</v>
      </c>
      <c r="BA14" s="136">
        <f t="shared" si="14"/>
        <v>0.13082497212931987</v>
      </c>
      <c r="BB14" s="136">
        <f t="shared" si="15"/>
        <v>-6.4180533751962338E-2</v>
      </c>
      <c r="BC14" s="136">
        <f t="shared" si="16"/>
        <v>0.18598821468386681</v>
      </c>
      <c r="BD14" s="136">
        <f t="shared" si="17"/>
        <v>0.13392049127343258</v>
      </c>
      <c r="BE14" s="136" t="str">
        <f t="shared" si="18"/>
        <v/>
      </c>
      <c r="BF14" s="136" t="str">
        <f t="shared" si="19"/>
        <v/>
      </c>
      <c r="BG14" s="136" t="str">
        <f t="shared" si="20"/>
        <v/>
      </c>
      <c r="BH14" s="136" t="str">
        <f t="shared" si="21"/>
        <v/>
      </c>
      <c r="BI14" s="136">
        <f t="shared" si="22"/>
        <v>8.4285714285714394E-2</v>
      </c>
      <c r="BJ14" s="136" t="str">
        <f t="shared" si="23"/>
        <v/>
      </c>
      <c r="BK14" s="136" t="str">
        <f t="shared" si="24"/>
        <v/>
      </c>
      <c r="BL14" s="136" t="str">
        <f t="shared" si="25"/>
        <v/>
      </c>
      <c r="BM14" s="76"/>
      <c r="BN14" s="94"/>
      <c r="BO14" s="94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</row>
    <row r="15" spans="1:78" s="89" customFormat="1" ht="12.75">
      <c r="A15" s="148" t="s">
        <v>214</v>
      </c>
      <c r="B15" s="131" t="s">
        <v>250</v>
      </c>
      <c r="C15" s="137"/>
      <c r="D15" s="125">
        <v>0.39374999999999999</v>
      </c>
      <c r="E15" s="126">
        <v>60.186239999999998</v>
      </c>
      <c r="F15" s="127"/>
      <c r="G15" s="127"/>
      <c r="H15" s="148"/>
      <c r="I15" s="149" t="s">
        <v>129</v>
      </c>
      <c r="J15" s="128">
        <f>IF(ISERROR(VLOOKUP(I15,Max_Load_France!$B$2:$C$102,2,FALSE)/1000),"",VLOOKUP(I15,Max_Load_France!$B$2:$C$102,2,FALSE)/1000)</f>
        <v>40</v>
      </c>
      <c r="K15" s="129"/>
      <c r="L15" s="130">
        <f t="shared" si="0"/>
        <v>0.72250000000000003</v>
      </c>
      <c r="M15" s="131">
        <f>IF(VLOOKUP($I15,Max_Load_France!$B$2:$M$102,3,FALSE)="","",VLOOKUP($I15,Max_Load_France!$B$2:$M$102,3,FALSE))</f>
        <v>0</v>
      </c>
      <c r="N15" s="131">
        <f>IF(VLOOKUP($I15,Max_Load_France!$B$2:$M$102,4,FALSE)="","",VLOOKUP($I15,Max_Load_France!$B$2:$M$102,4,FALSE))</f>
        <v>1</v>
      </c>
      <c r="O15" s="131">
        <f>IF(VLOOKUP($I15,Max_Load_France!$B$2:$M$102,5,FALSE)="","",VLOOKUP($I15,Max_Load_France!$B$2:$M$102,5,FALSE))</f>
        <v>1</v>
      </c>
      <c r="P15" s="131">
        <f>IF(VLOOKUP($I15,Max_Load_France!$B$2:$M$102,6,FALSE)="","",VLOOKUP($I15,Max_Load_France!$B$2:$M$102,6,FALSE))</f>
        <v>2</v>
      </c>
      <c r="Q15" s="131">
        <f>IF(VLOOKUP($I15,Max_Load_France!$B$2:$M$102,7,FALSE)="","",VLOOKUP($I15,Max_Load_France!$B$2:$M$102,7,FALSE))</f>
        <v>2</v>
      </c>
      <c r="R15" s="131" t="str">
        <f>IF(VLOOKUP($I15,Max_Load_France!$B$2:$M$102,8,FALSE)="","",VLOOKUP($I15,Max_Load_France!$B$2:$M$102,8,FALSE))</f>
        <v/>
      </c>
      <c r="S15" s="131" t="str">
        <f>IF(VLOOKUP($I15,Max_Load_France!$B$2:$M$102,9,FALSE)="","",VLOOKUP($I15,Max_Load_France!$B$2:$M$102,9,FALSE))</f>
        <v/>
      </c>
      <c r="T15" s="131" t="str">
        <f>IF(VLOOKUP($I15,Max_Load_France!$B$2:$M$102,10,FALSE)="","",VLOOKUP($I15,Max_Load_France!$B$2:$M$102,10,FALSE))</f>
        <v/>
      </c>
      <c r="U15" s="131" t="str">
        <f>IF(VLOOKUP($I15,Max_Load_France!$B$2:$M$102,11,FALSE)="","",VLOOKUP($I15,Max_Load_France!$B$2:$M$102,11,FALSE))</f>
        <v/>
      </c>
      <c r="V15" s="148">
        <v>5</v>
      </c>
      <c r="W15" s="132">
        <f t="shared" si="2"/>
        <v>28.900000000000002</v>
      </c>
      <c r="X15" s="133">
        <v>6</v>
      </c>
      <c r="Y15" s="133">
        <v>8.1999999999999993</v>
      </c>
      <c r="Z15" s="133">
        <v>4.9000000000000004</v>
      </c>
      <c r="AA15" s="133">
        <v>4.8</v>
      </c>
      <c r="AB15" s="133">
        <v>5</v>
      </c>
      <c r="AC15" s="101"/>
      <c r="AD15" s="101"/>
      <c r="AE15" s="101"/>
      <c r="AF15" s="101"/>
      <c r="AG15" s="134">
        <f t="shared" si="3"/>
        <v>13.1</v>
      </c>
      <c r="AH15" s="134">
        <f t="shared" si="4"/>
        <v>9.8000000000000007</v>
      </c>
      <c r="AI15" s="134" t="str">
        <f t="shared" si="5"/>
        <v/>
      </c>
      <c r="AJ15" s="134" t="str">
        <f t="shared" si="6"/>
        <v/>
      </c>
      <c r="AK15" s="135">
        <f t="shared" si="7"/>
        <v>33.474153846153847</v>
      </c>
      <c r="AL15" s="133">
        <v>5.7450659340659342</v>
      </c>
      <c r="AM15" s="133">
        <v>11.151428571428571</v>
      </c>
      <c r="AN15" s="133">
        <v>4.9546923076923077</v>
      </c>
      <c r="AO15" s="133">
        <v>5.0573296703296711</v>
      </c>
      <c r="AP15" s="133">
        <v>6.5656373626373634</v>
      </c>
      <c r="AQ15" s="101"/>
      <c r="AR15" s="101"/>
      <c r="AS15" s="101"/>
      <c r="AT15" s="101"/>
      <c r="AU15" s="134">
        <f t="shared" si="8"/>
        <v>16.10612087912088</v>
      </c>
      <c r="AV15" s="134">
        <f t="shared" si="9"/>
        <v>11.622967032967034</v>
      </c>
      <c r="AW15" s="134" t="str">
        <f t="shared" si="10"/>
        <v/>
      </c>
      <c r="AX15" s="134" t="str">
        <f t="shared" si="11"/>
        <v/>
      </c>
      <c r="AY15" s="136">
        <f t="shared" si="12"/>
        <v>0.15827521959009841</v>
      </c>
      <c r="AZ15" s="136">
        <f t="shared" si="13"/>
        <v>-4.2489010989010957E-2</v>
      </c>
      <c r="BA15" s="136">
        <f t="shared" si="14"/>
        <v>0.35993031358885025</v>
      </c>
      <c r="BB15" s="136">
        <f t="shared" si="15"/>
        <v>1.1161695447409668E-2</v>
      </c>
      <c r="BC15" s="136">
        <f t="shared" si="16"/>
        <v>5.3610347985348181E-2</v>
      </c>
      <c r="BD15" s="136">
        <f t="shared" si="17"/>
        <v>0.31312747252747269</v>
      </c>
      <c r="BE15" s="136" t="str">
        <f t="shared" si="18"/>
        <v/>
      </c>
      <c r="BF15" s="136" t="str">
        <f t="shared" si="19"/>
        <v/>
      </c>
      <c r="BG15" s="136" t="str">
        <f t="shared" si="20"/>
        <v/>
      </c>
      <c r="BH15" s="136" t="str">
        <f t="shared" si="21"/>
        <v/>
      </c>
      <c r="BI15" s="136">
        <f t="shared" si="22"/>
        <v>0.2294748762687695</v>
      </c>
      <c r="BJ15" s="136">
        <f t="shared" si="23"/>
        <v>0.18601704418030957</v>
      </c>
      <c r="BK15" s="136" t="str">
        <f t="shared" si="24"/>
        <v/>
      </c>
      <c r="BL15" s="136" t="str">
        <f t="shared" si="25"/>
        <v/>
      </c>
      <c r="BM15" s="76"/>
      <c r="BN15" s="94"/>
      <c r="BO15" s="94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</row>
    <row r="16" spans="1:78" s="89" customFormat="1" ht="12.75">
      <c r="A16" s="148" t="s">
        <v>215</v>
      </c>
      <c r="B16" s="149" t="s">
        <v>249</v>
      </c>
      <c r="C16" s="150"/>
      <c r="D16" s="125">
        <v>0.39652777777777781</v>
      </c>
      <c r="E16" s="126">
        <v>58.747320000000002</v>
      </c>
      <c r="F16" s="127"/>
      <c r="G16" s="127"/>
      <c r="H16" s="148"/>
      <c r="I16" s="149" t="s">
        <v>94</v>
      </c>
      <c r="J16" s="128">
        <f>IF(ISERROR(VLOOKUP(I16,Max_Load_France!$B$2:$C$102,2,FALSE)/1000),"",VLOOKUP(I16,Max_Load_France!$B$2:$C$102,2,FALSE)/1000)</f>
        <v>40</v>
      </c>
      <c r="K16" s="129"/>
      <c r="L16" s="130">
        <f t="shared" si="0"/>
        <v>0.36499999999999994</v>
      </c>
      <c r="M16" s="131">
        <f>IF(VLOOKUP($I16,Max_Load_France!$B$2:$M$102,3,FALSE)="","",VLOOKUP($I16,Max_Load_France!$B$2:$M$102,3,FALSE))</f>
        <v>0</v>
      </c>
      <c r="N16" s="131">
        <f>IF(VLOOKUP($I16,Max_Load_France!$B$2:$M$102,4,FALSE)="","",VLOOKUP($I16,Max_Load_France!$B$2:$M$102,4,FALSE))</f>
        <v>0</v>
      </c>
      <c r="O16" s="131">
        <f>IF(VLOOKUP($I16,Max_Load_France!$B$2:$M$102,5,FALSE)="","",VLOOKUP($I16,Max_Load_France!$B$2:$M$102,5,FALSE))</f>
        <v>1</v>
      </c>
      <c r="P16" s="131">
        <f>IF(VLOOKUP($I16,Max_Load_France!$B$2:$M$102,6,FALSE)="","",VLOOKUP($I16,Max_Load_France!$B$2:$M$102,6,FALSE))</f>
        <v>1</v>
      </c>
      <c r="Q16" s="131">
        <f>IF(VLOOKUP($I16,Max_Load_France!$B$2:$M$102,7,FALSE)="","",VLOOKUP($I16,Max_Load_France!$B$2:$M$102,7,FALSE))</f>
        <v>1</v>
      </c>
      <c r="R16" s="131" t="str">
        <f>IF(VLOOKUP($I16,Max_Load_France!$B$2:$M$102,8,FALSE)="","",VLOOKUP($I16,Max_Load_France!$B$2:$M$102,8,FALSE))</f>
        <v/>
      </c>
      <c r="S16" s="131" t="str">
        <f>IF(VLOOKUP($I16,Max_Load_France!$B$2:$M$102,9,FALSE)="","",VLOOKUP($I16,Max_Load_France!$B$2:$M$102,9,FALSE))</f>
        <v/>
      </c>
      <c r="T16" s="131" t="str">
        <f>IF(VLOOKUP($I16,Max_Load_France!$B$2:$M$102,10,FALSE)="","",VLOOKUP($I16,Max_Load_France!$B$2:$M$102,10,FALSE))</f>
        <v/>
      </c>
      <c r="U16" s="131" t="str">
        <f>IF(VLOOKUP($I16,Max_Load_France!$B$2:$M$102,11,FALSE)="","",VLOOKUP($I16,Max_Load_France!$B$2:$M$102,11,FALSE))</f>
        <v/>
      </c>
      <c r="V16" s="148">
        <v>5</v>
      </c>
      <c r="W16" s="132">
        <f t="shared" si="2"/>
        <v>14.599999999999998</v>
      </c>
      <c r="X16" s="133">
        <v>4.5999999999999996</v>
      </c>
      <c r="Y16" s="133">
        <v>3.8</v>
      </c>
      <c r="Z16" s="133">
        <v>2.1</v>
      </c>
      <c r="AA16" s="133">
        <v>2.1</v>
      </c>
      <c r="AB16" s="133">
        <v>2</v>
      </c>
      <c r="AC16" s="101"/>
      <c r="AD16" s="101"/>
      <c r="AE16" s="101"/>
      <c r="AF16" s="101"/>
      <c r="AG16" s="134">
        <f t="shared" si="3"/>
        <v>6.2</v>
      </c>
      <c r="AH16" s="134" t="str">
        <f t="shared" si="4"/>
        <v/>
      </c>
      <c r="AI16" s="134" t="str">
        <f t="shared" si="5"/>
        <v/>
      </c>
      <c r="AJ16" s="134" t="str">
        <f t="shared" si="6"/>
        <v/>
      </c>
      <c r="AK16" s="135">
        <f t="shared" si="7"/>
        <v>21.089578021978024</v>
      </c>
      <c r="AL16" s="133">
        <v>6.6026923076923074</v>
      </c>
      <c r="AM16" s="133">
        <v>6.438483516483517</v>
      </c>
      <c r="AN16" s="133">
        <v>3.6557582417582419</v>
      </c>
      <c r="AO16" s="133">
        <v>0.84152307692307704</v>
      </c>
      <c r="AP16" s="133">
        <v>3.5511208791208788</v>
      </c>
      <c r="AQ16" s="101"/>
      <c r="AR16" s="101"/>
      <c r="AS16" s="101"/>
      <c r="AT16" s="101"/>
      <c r="AU16" s="134">
        <f t="shared" si="8"/>
        <v>8.0484021978021971</v>
      </c>
      <c r="AV16" s="134" t="str">
        <f t="shared" si="9"/>
        <v/>
      </c>
      <c r="AW16" s="134" t="str">
        <f t="shared" si="10"/>
        <v/>
      </c>
      <c r="AX16" s="134" t="str">
        <f t="shared" si="11"/>
        <v/>
      </c>
      <c r="AY16" s="136">
        <f t="shared" si="12"/>
        <v>0.44449164534096075</v>
      </c>
      <c r="AZ16" s="136">
        <f t="shared" si="13"/>
        <v>0.43536789297658868</v>
      </c>
      <c r="BA16" s="136">
        <f t="shared" si="14"/>
        <v>0.69433776749566245</v>
      </c>
      <c r="BB16" s="136">
        <f t="shared" si="15"/>
        <v>0.74083725798011513</v>
      </c>
      <c r="BC16" s="136">
        <f t="shared" si="16"/>
        <v>-0.59927472527472525</v>
      </c>
      <c r="BD16" s="136">
        <f t="shared" si="17"/>
        <v>0.77556043956043941</v>
      </c>
      <c r="BE16" s="136" t="str">
        <f t="shared" si="18"/>
        <v/>
      </c>
      <c r="BF16" s="136" t="str">
        <f t="shared" si="19"/>
        <v/>
      </c>
      <c r="BG16" s="136" t="str">
        <f t="shared" si="20"/>
        <v/>
      </c>
      <c r="BH16" s="136" t="str">
        <f t="shared" si="21"/>
        <v/>
      </c>
      <c r="BI16" s="136">
        <f t="shared" si="22"/>
        <v>0.29812938674228984</v>
      </c>
      <c r="BJ16" s="136" t="str">
        <f t="shared" si="23"/>
        <v/>
      </c>
      <c r="BK16" s="136" t="str">
        <f t="shared" si="24"/>
        <v/>
      </c>
      <c r="BL16" s="136" t="str">
        <f t="shared" si="25"/>
        <v/>
      </c>
      <c r="BM16" s="76"/>
      <c r="BN16" s="94"/>
      <c r="BO16" s="94"/>
      <c r="BP16" s="76"/>
      <c r="BQ16" s="76"/>
      <c r="BR16" s="76"/>
      <c r="BS16" s="70"/>
      <c r="BT16" s="76"/>
      <c r="BU16" s="76"/>
      <c r="BV16" s="76"/>
      <c r="BW16" s="76"/>
      <c r="BX16" s="76"/>
      <c r="BY16" s="76"/>
      <c r="BZ16" s="76"/>
    </row>
    <row r="17" spans="1:78" s="89" customFormat="1" ht="12.75">
      <c r="A17" s="148" t="s">
        <v>216</v>
      </c>
      <c r="B17" s="149" t="s">
        <v>251</v>
      </c>
      <c r="C17" s="150"/>
      <c r="D17" s="125">
        <v>0.39999999999999997</v>
      </c>
      <c r="E17" s="126">
        <v>61.18524</v>
      </c>
      <c r="F17" s="127"/>
      <c r="G17" s="127"/>
      <c r="H17" s="148"/>
      <c r="I17" s="149" t="s">
        <v>139</v>
      </c>
      <c r="J17" s="128">
        <f>IF(ISERROR(VLOOKUP(I17,Max_Load_France!$B$2:$C$102,2,FALSE)/1000),"",VLOOKUP(I17,Max_Load_France!$B$2:$C$102,2,FALSE)/1000)</f>
        <v>40</v>
      </c>
      <c r="K17" s="129"/>
      <c r="L17" s="130">
        <f t="shared" si="0"/>
        <v>1.0074999999999998</v>
      </c>
      <c r="M17" s="131">
        <f>IF(VLOOKUP($I17,Max_Load_France!$B$2:$M$102,3,FALSE)="","",VLOOKUP($I17,Max_Load_France!$B$2:$M$102,3,FALSE))</f>
        <v>0</v>
      </c>
      <c r="N17" s="131">
        <f>IF(VLOOKUP($I17,Max_Load_France!$B$2:$M$102,4,FALSE)="","",VLOOKUP($I17,Max_Load_France!$B$2:$M$102,4,FALSE))</f>
        <v>1</v>
      </c>
      <c r="O17" s="131">
        <f>IF(VLOOKUP($I17,Max_Load_France!$B$2:$M$102,5,FALSE)="","",VLOOKUP($I17,Max_Load_France!$B$2:$M$102,5,FALSE))</f>
        <v>1</v>
      </c>
      <c r="P17" s="131">
        <f>IF(VLOOKUP($I17,Max_Load_France!$B$2:$M$102,6,FALSE)="","",VLOOKUP($I17,Max_Load_France!$B$2:$M$102,6,FALSE))</f>
        <v>0</v>
      </c>
      <c r="Q17" s="131">
        <f>IF(VLOOKUP($I17,Max_Load_France!$B$2:$M$102,7,FALSE)="","",VLOOKUP($I17,Max_Load_France!$B$2:$M$102,7,FALSE))</f>
        <v>2</v>
      </c>
      <c r="R17" s="131">
        <f>IF(VLOOKUP($I17,Max_Load_France!$B$2:$M$102,8,FALSE)="","",VLOOKUP($I17,Max_Load_France!$B$2:$M$102,8,FALSE))</f>
        <v>2</v>
      </c>
      <c r="S17" s="131" t="str">
        <f>IF(VLOOKUP($I17,Max_Load_France!$B$2:$M$102,9,FALSE)="","",VLOOKUP($I17,Max_Load_France!$B$2:$M$102,9,FALSE))</f>
        <v/>
      </c>
      <c r="T17" s="131" t="str">
        <f>IF(VLOOKUP($I17,Max_Load_France!$B$2:$M$102,10,FALSE)="","",VLOOKUP($I17,Max_Load_France!$B$2:$M$102,10,FALSE))</f>
        <v/>
      </c>
      <c r="U17" s="131" t="str">
        <f>IF(VLOOKUP($I17,Max_Load_France!$B$2:$M$102,11,FALSE)="","",VLOOKUP($I17,Max_Load_France!$B$2:$M$102,11,FALSE))</f>
        <v/>
      </c>
      <c r="V17" s="148">
        <v>6</v>
      </c>
      <c r="W17" s="132">
        <f t="shared" si="2"/>
        <v>40.299999999999997</v>
      </c>
      <c r="X17" s="133">
        <v>7</v>
      </c>
      <c r="Y17" s="133">
        <v>12.6</v>
      </c>
      <c r="Z17" s="133">
        <v>7</v>
      </c>
      <c r="AA17" s="133">
        <v>6.9</v>
      </c>
      <c r="AB17" s="133">
        <v>3</v>
      </c>
      <c r="AC17" s="101">
        <v>3.8</v>
      </c>
      <c r="AD17" s="101"/>
      <c r="AE17" s="101"/>
      <c r="AF17" s="101"/>
      <c r="AG17" s="134">
        <f t="shared" si="3"/>
        <v>19.600000000000001</v>
      </c>
      <c r="AH17" s="134">
        <f t="shared" si="4"/>
        <v>6.8</v>
      </c>
      <c r="AI17" s="134" t="str">
        <f t="shared" si="5"/>
        <v/>
      </c>
      <c r="AJ17" s="134" t="str">
        <f t="shared" si="6"/>
        <v/>
      </c>
      <c r="AK17" s="135">
        <f t="shared" si="7"/>
        <v>35.023208791208795</v>
      </c>
      <c r="AL17" s="133">
        <v>5.2052747252747258</v>
      </c>
      <c r="AM17" s="133">
        <v>14.616153846153848</v>
      </c>
      <c r="AN17" s="133">
        <v>6.3322857142857147</v>
      </c>
      <c r="AO17" s="133">
        <v>6.3400549450549448</v>
      </c>
      <c r="AP17" s="133">
        <v>2.5294395604395605</v>
      </c>
      <c r="AQ17" s="101">
        <v>1.6095494505494508</v>
      </c>
      <c r="AR17" s="101"/>
      <c r="AS17" s="101"/>
      <c r="AT17" s="101"/>
      <c r="AU17" s="134">
        <f t="shared" si="8"/>
        <v>20.948439560439564</v>
      </c>
      <c r="AV17" s="134">
        <f t="shared" si="9"/>
        <v>4.1389890109890111</v>
      </c>
      <c r="AW17" s="134" t="str">
        <f t="shared" si="10"/>
        <v/>
      </c>
      <c r="AX17" s="134" t="str">
        <f t="shared" si="11"/>
        <v/>
      </c>
      <c r="AY17" s="136">
        <f t="shared" si="12"/>
        <v>-0.13093774711640702</v>
      </c>
      <c r="AZ17" s="136">
        <f t="shared" si="13"/>
        <v>-0.25638932496075345</v>
      </c>
      <c r="BA17" s="136">
        <f t="shared" si="14"/>
        <v>0.16001221001221019</v>
      </c>
      <c r="BB17" s="136">
        <f t="shared" si="15"/>
        <v>-9.5387755102040755E-2</v>
      </c>
      <c r="BC17" s="136">
        <f t="shared" si="16"/>
        <v>-8.1151457238413841E-2</v>
      </c>
      <c r="BD17" s="136">
        <f t="shared" si="17"/>
        <v>-0.15685347985347983</v>
      </c>
      <c r="BE17" s="136">
        <f t="shared" si="18"/>
        <v>-0.57643435511856567</v>
      </c>
      <c r="BF17" s="136" t="str">
        <f t="shared" si="19"/>
        <v/>
      </c>
      <c r="BG17" s="136" t="str">
        <f t="shared" si="20"/>
        <v/>
      </c>
      <c r="BH17" s="136" t="str">
        <f t="shared" si="21"/>
        <v/>
      </c>
      <c r="BI17" s="136">
        <f t="shared" si="22"/>
        <v>6.8797936757120523E-2</v>
      </c>
      <c r="BJ17" s="136">
        <f t="shared" si="23"/>
        <v>-0.39132514544279245</v>
      </c>
      <c r="BK17" s="136" t="str">
        <f t="shared" si="24"/>
        <v/>
      </c>
      <c r="BL17" s="136" t="str">
        <f t="shared" si="25"/>
        <v/>
      </c>
      <c r="BM17" s="76"/>
      <c r="BN17" s="94"/>
      <c r="BO17" s="94"/>
      <c r="BP17" s="76"/>
      <c r="BQ17" s="76"/>
      <c r="BR17" s="76"/>
      <c r="BS17" s="70"/>
      <c r="BT17" s="76"/>
      <c r="BU17" s="76"/>
      <c r="BV17" s="76"/>
      <c r="BW17" s="76"/>
      <c r="BX17" s="76"/>
      <c r="BY17" s="76"/>
      <c r="BZ17" s="76"/>
    </row>
    <row r="18" spans="1:78" s="89" customFormat="1" ht="12.75">
      <c r="A18" s="148" t="s">
        <v>217</v>
      </c>
      <c r="B18" s="149" t="s">
        <v>252</v>
      </c>
      <c r="C18" s="150"/>
      <c r="D18" s="125">
        <v>0.40416666666666662</v>
      </c>
      <c r="E18" s="126">
        <v>71.9298</v>
      </c>
      <c r="F18" s="127"/>
      <c r="G18" s="127"/>
      <c r="H18" s="148"/>
      <c r="I18" s="149" t="s">
        <v>130</v>
      </c>
      <c r="J18" s="128">
        <f>IF(ISERROR(VLOOKUP(I18,Max_Load_France!$B$2:$C$102,2,FALSE)/1000),"",VLOOKUP(I18,Max_Load_France!$B$2:$C$102,2,FALSE)/1000)</f>
        <v>40</v>
      </c>
      <c r="K18" s="129"/>
      <c r="L18" s="130">
        <f t="shared" si="0"/>
        <v>0.52500000000000002</v>
      </c>
      <c r="M18" s="131">
        <f>IF(VLOOKUP($I18,Max_Load_France!$B$2:$M$102,3,FALSE)="","",VLOOKUP($I18,Max_Load_France!$B$2:$M$102,3,FALSE))</f>
        <v>0</v>
      </c>
      <c r="N18" s="131">
        <f>IF(VLOOKUP($I18,Max_Load_France!$B$2:$M$102,4,FALSE)="","",VLOOKUP($I18,Max_Load_France!$B$2:$M$102,4,FALSE))</f>
        <v>1</v>
      </c>
      <c r="O18" s="131">
        <f>IF(VLOOKUP($I18,Max_Load_France!$B$2:$M$102,5,FALSE)="","",VLOOKUP($I18,Max_Load_France!$B$2:$M$102,5,FALSE))</f>
        <v>1</v>
      </c>
      <c r="P18" s="131">
        <f>IF(VLOOKUP($I18,Max_Load_France!$B$2:$M$102,6,FALSE)="","",VLOOKUP($I18,Max_Load_France!$B$2:$M$102,6,FALSE))</f>
        <v>2</v>
      </c>
      <c r="Q18" s="131">
        <f>IF(VLOOKUP($I18,Max_Load_France!$B$2:$M$102,7,FALSE)="","",VLOOKUP($I18,Max_Load_France!$B$2:$M$102,7,FALSE))</f>
        <v>2</v>
      </c>
      <c r="R18" s="131" t="str">
        <f>IF(VLOOKUP($I18,Max_Load_France!$B$2:$M$102,8,FALSE)="","",VLOOKUP($I18,Max_Load_France!$B$2:$M$102,8,FALSE))</f>
        <v/>
      </c>
      <c r="S18" s="131" t="str">
        <f>IF(VLOOKUP($I18,Max_Load_France!$B$2:$M$102,9,FALSE)="","",VLOOKUP($I18,Max_Load_France!$B$2:$M$102,9,FALSE))</f>
        <v/>
      </c>
      <c r="T18" s="131" t="str">
        <f>IF(VLOOKUP($I18,Max_Load_France!$B$2:$M$102,10,FALSE)="","",VLOOKUP($I18,Max_Load_France!$B$2:$M$102,10,FALSE))</f>
        <v/>
      </c>
      <c r="U18" s="131" t="str">
        <f>IF(VLOOKUP($I18,Max_Load_France!$B$2:$M$102,11,FALSE)="","",VLOOKUP($I18,Max_Load_France!$B$2:$M$102,11,FALSE))</f>
        <v/>
      </c>
      <c r="V18" s="148">
        <v>5</v>
      </c>
      <c r="W18" s="132">
        <f t="shared" si="2"/>
        <v>21</v>
      </c>
      <c r="X18" s="133">
        <v>5.0999999999999996</v>
      </c>
      <c r="Y18" s="133">
        <v>5.9</v>
      </c>
      <c r="Z18" s="133">
        <v>5.7</v>
      </c>
      <c r="AA18" s="133">
        <v>2.2000000000000002</v>
      </c>
      <c r="AB18" s="133">
        <v>2.1</v>
      </c>
      <c r="AC18" s="101"/>
      <c r="AD18" s="101"/>
      <c r="AE18" s="101"/>
      <c r="AF18" s="101"/>
      <c r="AG18" s="134">
        <f t="shared" si="3"/>
        <v>11.600000000000001</v>
      </c>
      <c r="AH18" s="134">
        <f t="shared" si="4"/>
        <v>4.3000000000000007</v>
      </c>
      <c r="AI18" s="134" t="str">
        <f t="shared" si="5"/>
        <v/>
      </c>
      <c r="AJ18" s="134" t="str">
        <f t="shared" si="6"/>
        <v/>
      </c>
      <c r="AK18" s="135">
        <f t="shared" si="7"/>
        <v>29.031714285714287</v>
      </c>
      <c r="AL18" s="133">
        <v>6.2680769230769231</v>
      </c>
      <c r="AM18" s="133">
        <v>8.8675164835164839</v>
      </c>
      <c r="AN18" s="133">
        <v>8.3269780219780216</v>
      </c>
      <c r="AO18" s="133">
        <v>3.232824175824176</v>
      </c>
      <c r="AP18" s="133">
        <v>2.3363186813186814</v>
      </c>
      <c r="AQ18" s="101"/>
      <c r="AR18" s="101"/>
      <c r="AS18" s="101"/>
      <c r="AT18" s="101"/>
      <c r="AU18" s="134">
        <f t="shared" si="8"/>
        <v>17.194494505494504</v>
      </c>
      <c r="AV18" s="134">
        <f t="shared" si="9"/>
        <v>5.5691428571428574</v>
      </c>
      <c r="AW18" s="134" t="str">
        <f t="shared" si="10"/>
        <v/>
      </c>
      <c r="AX18" s="134" t="str">
        <f t="shared" si="11"/>
        <v/>
      </c>
      <c r="AY18" s="136">
        <f t="shared" si="12"/>
        <v>0.38246258503401365</v>
      </c>
      <c r="AZ18" s="136">
        <f t="shared" si="13"/>
        <v>0.22903469079939678</v>
      </c>
      <c r="BA18" s="136">
        <f t="shared" si="14"/>
        <v>0.50296889551126833</v>
      </c>
      <c r="BB18" s="136">
        <f t="shared" si="15"/>
        <v>0.46087333718912654</v>
      </c>
      <c r="BC18" s="136">
        <f t="shared" si="16"/>
        <v>0.46946553446553446</v>
      </c>
      <c r="BD18" s="136">
        <f t="shared" si="17"/>
        <v>0.11253270538984822</v>
      </c>
      <c r="BE18" s="136" t="str">
        <f t="shared" si="18"/>
        <v/>
      </c>
      <c r="BF18" s="136" t="str">
        <f t="shared" si="19"/>
        <v/>
      </c>
      <c r="BG18" s="136" t="str">
        <f t="shared" si="20"/>
        <v/>
      </c>
      <c r="BH18" s="136" t="str">
        <f t="shared" si="21"/>
        <v/>
      </c>
      <c r="BI18" s="136">
        <f t="shared" si="22"/>
        <v>0.48228400909435359</v>
      </c>
      <c r="BJ18" s="136">
        <f t="shared" si="23"/>
        <v>0.29514950166112941</v>
      </c>
      <c r="BK18" s="136" t="str">
        <f t="shared" si="24"/>
        <v/>
      </c>
      <c r="BL18" s="136" t="str">
        <f t="shared" si="25"/>
        <v/>
      </c>
      <c r="BM18" s="76"/>
      <c r="BN18" s="94"/>
      <c r="BO18" s="94"/>
      <c r="BP18" s="76"/>
      <c r="BQ18" s="76"/>
      <c r="BR18" s="76"/>
      <c r="BS18" s="76"/>
      <c r="BT18" s="76"/>
      <c r="BU18" s="76"/>
      <c r="BV18" s="76"/>
      <c r="BW18" s="76"/>
      <c r="BX18" s="76"/>
      <c r="BY18" s="76"/>
      <c r="BZ18" s="76"/>
    </row>
    <row r="19" spans="1:78" s="89" customFormat="1" ht="12.75">
      <c r="A19" s="148" t="s">
        <v>218</v>
      </c>
      <c r="B19" s="149" t="s">
        <v>253</v>
      </c>
      <c r="C19" s="150"/>
      <c r="D19" s="125">
        <v>0.41736111111111113</v>
      </c>
      <c r="E19" s="126">
        <v>64.111320000000006</v>
      </c>
      <c r="F19" s="127"/>
      <c r="G19" s="127"/>
      <c r="H19" s="148"/>
      <c r="I19" s="149" t="s">
        <v>94</v>
      </c>
      <c r="J19" s="128">
        <f>IF(ISERROR(VLOOKUP(I19,Max_Load_France!$B$2:$C$102,2,FALSE)/1000),"",VLOOKUP(I19,Max_Load_France!$B$2:$C$102,2,FALSE)/1000)</f>
        <v>40</v>
      </c>
      <c r="K19" s="129"/>
      <c r="L19" s="130">
        <f t="shared" si="0"/>
        <v>1.0299999999999998</v>
      </c>
      <c r="M19" s="131">
        <f>IF(VLOOKUP($I19,Max_Load_France!$B$2:$M$102,3,FALSE)="","",VLOOKUP($I19,Max_Load_France!$B$2:$M$102,3,FALSE))</f>
        <v>0</v>
      </c>
      <c r="N19" s="131">
        <f>IF(VLOOKUP($I19,Max_Load_France!$B$2:$M$102,4,FALSE)="","",VLOOKUP($I19,Max_Load_France!$B$2:$M$102,4,FALSE))</f>
        <v>0</v>
      </c>
      <c r="O19" s="131">
        <f>IF(VLOOKUP($I19,Max_Load_France!$B$2:$M$102,5,FALSE)="","",VLOOKUP($I19,Max_Load_France!$B$2:$M$102,5,FALSE))</f>
        <v>1</v>
      </c>
      <c r="P19" s="131">
        <f>IF(VLOOKUP($I19,Max_Load_France!$B$2:$M$102,6,FALSE)="","",VLOOKUP($I19,Max_Load_France!$B$2:$M$102,6,FALSE))</f>
        <v>1</v>
      </c>
      <c r="Q19" s="131">
        <f>IF(VLOOKUP($I19,Max_Load_France!$B$2:$M$102,7,FALSE)="","",VLOOKUP($I19,Max_Load_France!$B$2:$M$102,7,FALSE))</f>
        <v>1</v>
      </c>
      <c r="R19" s="131" t="str">
        <f>IF(VLOOKUP($I19,Max_Load_France!$B$2:$M$102,8,FALSE)="","",VLOOKUP($I19,Max_Load_France!$B$2:$M$102,8,FALSE))</f>
        <v/>
      </c>
      <c r="S19" s="131" t="str">
        <f>IF(VLOOKUP($I19,Max_Load_France!$B$2:$M$102,9,FALSE)="","",VLOOKUP($I19,Max_Load_France!$B$2:$M$102,9,FALSE))</f>
        <v/>
      </c>
      <c r="T19" s="131" t="str">
        <f>IF(VLOOKUP($I19,Max_Load_France!$B$2:$M$102,10,FALSE)="","",VLOOKUP($I19,Max_Load_France!$B$2:$M$102,10,FALSE))</f>
        <v/>
      </c>
      <c r="U19" s="131" t="str">
        <f>IF(VLOOKUP($I19,Max_Load_France!$B$2:$M$102,11,FALSE)="","",VLOOKUP($I19,Max_Load_France!$B$2:$M$102,11,FALSE))</f>
        <v/>
      </c>
      <c r="V19" s="148">
        <v>5</v>
      </c>
      <c r="W19" s="132">
        <f t="shared" si="2"/>
        <v>41.199999999999996</v>
      </c>
      <c r="X19" s="133">
        <v>7.1</v>
      </c>
      <c r="Y19" s="133">
        <v>15</v>
      </c>
      <c r="Z19" s="133">
        <v>6.4</v>
      </c>
      <c r="AA19" s="133">
        <v>6.3</v>
      </c>
      <c r="AB19" s="133">
        <v>6.4</v>
      </c>
      <c r="AC19" s="101"/>
      <c r="AD19" s="101"/>
      <c r="AE19" s="101"/>
      <c r="AF19" s="101"/>
      <c r="AG19" s="134">
        <f t="shared" si="3"/>
        <v>19.100000000000001</v>
      </c>
      <c r="AH19" s="134" t="str">
        <f t="shared" si="4"/>
        <v/>
      </c>
      <c r="AI19" s="134" t="str">
        <f t="shared" si="5"/>
        <v/>
      </c>
      <c r="AJ19" s="134" t="str">
        <f t="shared" si="6"/>
        <v/>
      </c>
      <c r="AK19" s="135">
        <f t="shared" si="7"/>
        <v>45.066824175824181</v>
      </c>
      <c r="AL19" s="133">
        <v>6.3024615384615394</v>
      </c>
      <c r="AM19" s="133">
        <v>18.337912087912088</v>
      </c>
      <c r="AN19" s="133">
        <v>7.0084725274725272</v>
      </c>
      <c r="AO19" s="133">
        <v>5.2844615384615388</v>
      </c>
      <c r="AP19" s="133">
        <v>8.1335164835164839</v>
      </c>
      <c r="AQ19" s="101"/>
      <c r="AR19" s="101"/>
      <c r="AS19" s="101"/>
      <c r="AT19" s="101"/>
      <c r="AU19" s="134">
        <f t="shared" si="8"/>
        <v>20.42645054945055</v>
      </c>
      <c r="AV19" s="134" t="str">
        <f t="shared" si="9"/>
        <v/>
      </c>
      <c r="AW19" s="134" t="str">
        <f t="shared" si="10"/>
        <v/>
      </c>
      <c r="AX19" s="134" t="str">
        <f t="shared" si="11"/>
        <v/>
      </c>
      <c r="AY19" s="136">
        <f t="shared" si="12"/>
        <v>9.3854955723887995E-2</v>
      </c>
      <c r="AZ19" s="136">
        <f t="shared" si="13"/>
        <v>-0.11232936078006482</v>
      </c>
      <c r="BA19" s="136">
        <f t="shared" si="14"/>
        <v>0.22252747252747251</v>
      </c>
      <c r="BB19" s="136">
        <f t="shared" si="15"/>
        <v>9.5073832417582327E-2</v>
      </c>
      <c r="BC19" s="136">
        <f t="shared" si="16"/>
        <v>-0.16119658119658112</v>
      </c>
      <c r="BD19" s="136">
        <f t="shared" si="17"/>
        <v>0.27086195054945056</v>
      </c>
      <c r="BE19" s="136" t="str">
        <f t="shared" si="18"/>
        <v/>
      </c>
      <c r="BF19" s="136" t="str">
        <f t="shared" si="19"/>
        <v/>
      </c>
      <c r="BG19" s="136" t="str">
        <f t="shared" si="20"/>
        <v/>
      </c>
      <c r="BH19" s="136" t="str">
        <f t="shared" si="21"/>
        <v/>
      </c>
      <c r="BI19" s="136">
        <f t="shared" si="22"/>
        <v>6.9447672746102015E-2</v>
      </c>
      <c r="BJ19" s="136" t="str">
        <f t="shared" si="23"/>
        <v/>
      </c>
      <c r="BK19" s="136" t="str">
        <f t="shared" si="24"/>
        <v/>
      </c>
      <c r="BL19" s="136" t="str">
        <f t="shared" si="25"/>
        <v/>
      </c>
      <c r="BM19" s="76"/>
      <c r="BN19" s="94"/>
      <c r="BO19" s="94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</row>
    <row r="20" spans="1:78" s="89" customFormat="1" ht="12.75">
      <c r="A20" s="148" t="s">
        <v>219</v>
      </c>
      <c r="B20" s="149" t="s">
        <v>254</v>
      </c>
      <c r="C20" s="150"/>
      <c r="D20" s="125">
        <v>0.4284722222222222</v>
      </c>
      <c r="E20" s="126">
        <v>57.825719999999997</v>
      </c>
      <c r="F20" s="127"/>
      <c r="G20" s="127"/>
      <c r="H20" s="148"/>
      <c r="I20" s="149" t="s">
        <v>94</v>
      </c>
      <c r="J20" s="128">
        <f>IF(ISERROR(VLOOKUP(I20,Max_Load_France!$B$2:$C$102,2,FALSE)/1000),"",VLOOKUP(I20,Max_Load_France!$B$2:$C$102,2,FALSE)/1000)</f>
        <v>40</v>
      </c>
      <c r="K20" s="129"/>
      <c r="L20" s="130">
        <f t="shared" si="0"/>
        <v>0.99250000000000005</v>
      </c>
      <c r="M20" s="131">
        <f>IF(VLOOKUP($I20,Max_Load_France!$B$2:$M$102,3,FALSE)="","",VLOOKUP($I20,Max_Load_France!$B$2:$M$102,3,FALSE))</f>
        <v>0</v>
      </c>
      <c r="N20" s="131">
        <f>IF(VLOOKUP($I20,Max_Load_France!$B$2:$M$102,4,FALSE)="","",VLOOKUP($I20,Max_Load_France!$B$2:$M$102,4,FALSE))</f>
        <v>0</v>
      </c>
      <c r="O20" s="131">
        <f>IF(VLOOKUP($I20,Max_Load_France!$B$2:$M$102,5,FALSE)="","",VLOOKUP($I20,Max_Load_France!$B$2:$M$102,5,FALSE))</f>
        <v>1</v>
      </c>
      <c r="P20" s="131">
        <f>IF(VLOOKUP($I20,Max_Load_France!$B$2:$M$102,6,FALSE)="","",VLOOKUP($I20,Max_Load_France!$B$2:$M$102,6,FALSE))</f>
        <v>1</v>
      </c>
      <c r="Q20" s="131">
        <f>IF(VLOOKUP($I20,Max_Load_France!$B$2:$M$102,7,FALSE)="","",VLOOKUP($I20,Max_Load_France!$B$2:$M$102,7,FALSE))</f>
        <v>1</v>
      </c>
      <c r="R20" s="131" t="str">
        <f>IF(VLOOKUP($I20,Max_Load_France!$B$2:$M$102,8,FALSE)="","",VLOOKUP($I20,Max_Load_France!$B$2:$M$102,8,FALSE))</f>
        <v/>
      </c>
      <c r="S20" s="131" t="str">
        <f>IF(VLOOKUP($I20,Max_Load_France!$B$2:$M$102,9,FALSE)="","",VLOOKUP($I20,Max_Load_France!$B$2:$M$102,9,FALSE))</f>
        <v/>
      </c>
      <c r="T20" s="131" t="str">
        <f>IF(VLOOKUP($I20,Max_Load_France!$B$2:$M$102,10,FALSE)="","",VLOOKUP($I20,Max_Load_France!$B$2:$M$102,10,FALSE))</f>
        <v/>
      </c>
      <c r="U20" s="131" t="str">
        <f>IF(VLOOKUP($I20,Max_Load_France!$B$2:$M$102,11,FALSE)="","",VLOOKUP($I20,Max_Load_France!$B$2:$M$102,11,FALSE))</f>
        <v/>
      </c>
      <c r="V20" s="148">
        <v>5</v>
      </c>
      <c r="W20" s="132">
        <f t="shared" si="2"/>
        <v>39.700000000000003</v>
      </c>
      <c r="X20" s="133">
        <v>7.4</v>
      </c>
      <c r="Y20" s="133">
        <v>14.8</v>
      </c>
      <c r="Z20" s="133">
        <v>5.0999999999999996</v>
      </c>
      <c r="AA20" s="133">
        <v>6</v>
      </c>
      <c r="AB20" s="133">
        <v>6.4</v>
      </c>
      <c r="AC20" s="101"/>
      <c r="AD20" s="101"/>
      <c r="AE20" s="101"/>
      <c r="AF20" s="101"/>
      <c r="AG20" s="134">
        <f t="shared" si="3"/>
        <v>17.5</v>
      </c>
      <c r="AH20" s="134" t="str">
        <f t="shared" si="4"/>
        <v/>
      </c>
      <c r="AI20" s="134" t="str">
        <f t="shared" si="5"/>
        <v/>
      </c>
      <c r="AJ20" s="134" t="str">
        <f t="shared" si="6"/>
        <v/>
      </c>
      <c r="AK20" s="135">
        <f t="shared" si="7"/>
        <v>36.631571428571434</v>
      </c>
      <c r="AL20" s="133">
        <v>5.4055384615384616</v>
      </c>
      <c r="AM20" s="133">
        <v>15.482747252747254</v>
      </c>
      <c r="AN20" s="133">
        <v>2.9157692307692309</v>
      </c>
      <c r="AO20" s="133">
        <v>7.8614175824175829</v>
      </c>
      <c r="AP20" s="133">
        <v>4.966098901098901</v>
      </c>
      <c r="AQ20" s="101"/>
      <c r="AR20" s="101"/>
      <c r="AS20" s="101"/>
      <c r="AT20" s="101"/>
      <c r="AU20" s="134">
        <f t="shared" si="8"/>
        <v>15.743285714285715</v>
      </c>
      <c r="AV20" s="134" t="str">
        <f t="shared" si="9"/>
        <v/>
      </c>
      <c r="AW20" s="134" t="str">
        <f t="shared" si="10"/>
        <v/>
      </c>
      <c r="AX20" s="134" t="str">
        <f t="shared" si="11"/>
        <v/>
      </c>
      <c r="AY20" s="136">
        <f t="shared" si="12"/>
        <v>-7.7290392227419874E-2</v>
      </c>
      <c r="AZ20" s="136">
        <f t="shared" si="13"/>
        <v>-0.26952182952182957</v>
      </c>
      <c r="BA20" s="136">
        <f t="shared" si="14"/>
        <v>4.6131571131571167E-2</v>
      </c>
      <c r="BB20" s="136">
        <f t="shared" si="15"/>
        <v>-0.42828054298642526</v>
      </c>
      <c r="BC20" s="136">
        <f t="shared" si="16"/>
        <v>0.31023626373626384</v>
      </c>
      <c r="BD20" s="136">
        <f t="shared" si="17"/>
        <v>-0.22404704670329678</v>
      </c>
      <c r="BE20" s="136" t="str">
        <f t="shared" si="18"/>
        <v/>
      </c>
      <c r="BF20" s="136" t="str">
        <f t="shared" si="19"/>
        <v/>
      </c>
      <c r="BG20" s="136" t="str">
        <f t="shared" si="20"/>
        <v/>
      </c>
      <c r="BH20" s="136" t="str">
        <f t="shared" si="21"/>
        <v/>
      </c>
      <c r="BI20" s="136">
        <f t="shared" si="22"/>
        <v>-0.1003836734693877</v>
      </c>
      <c r="BJ20" s="136" t="str">
        <f t="shared" si="23"/>
        <v/>
      </c>
      <c r="BK20" s="136" t="str">
        <f t="shared" si="24"/>
        <v/>
      </c>
      <c r="BL20" s="136" t="str">
        <f t="shared" si="25"/>
        <v/>
      </c>
      <c r="BM20" s="76"/>
      <c r="BN20" s="94"/>
      <c r="BO20" s="94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</row>
    <row r="21" spans="1:78" s="89" customFormat="1" ht="12.75">
      <c r="A21" s="148" t="s">
        <v>220</v>
      </c>
      <c r="B21" s="149" t="s">
        <v>255</v>
      </c>
      <c r="C21" s="150"/>
      <c r="D21" s="125">
        <v>0.44027777777777777</v>
      </c>
      <c r="E21" s="126">
        <v>54.411839999999998</v>
      </c>
      <c r="F21" s="127"/>
      <c r="G21" s="127"/>
      <c r="H21" s="148"/>
      <c r="I21" s="149" t="s">
        <v>94</v>
      </c>
      <c r="J21" s="128">
        <f>IF(ISERROR(VLOOKUP(I21,Max_Load_France!$B$2:$C$102,2,FALSE)/1000),"",VLOOKUP(I21,Max_Load_France!$B$2:$C$102,2,FALSE)/1000)</f>
        <v>40</v>
      </c>
      <c r="K21" s="129"/>
      <c r="L21" s="130">
        <f t="shared" si="0"/>
        <v>0.89499999999999991</v>
      </c>
      <c r="M21" s="131">
        <f>IF(VLOOKUP($I21,Max_Load_France!$B$2:$M$102,3,FALSE)="","",VLOOKUP($I21,Max_Load_France!$B$2:$M$102,3,FALSE))</f>
        <v>0</v>
      </c>
      <c r="N21" s="131">
        <f>IF(VLOOKUP($I21,Max_Load_France!$B$2:$M$102,4,FALSE)="","",VLOOKUP($I21,Max_Load_France!$B$2:$M$102,4,FALSE))</f>
        <v>0</v>
      </c>
      <c r="O21" s="131">
        <f>IF(VLOOKUP($I21,Max_Load_France!$B$2:$M$102,5,FALSE)="","",VLOOKUP($I21,Max_Load_France!$B$2:$M$102,5,FALSE))</f>
        <v>1</v>
      </c>
      <c r="P21" s="131">
        <f>IF(VLOOKUP($I21,Max_Load_France!$B$2:$M$102,6,FALSE)="","",VLOOKUP($I21,Max_Load_France!$B$2:$M$102,6,FALSE))</f>
        <v>1</v>
      </c>
      <c r="Q21" s="131">
        <f>IF(VLOOKUP($I21,Max_Load_France!$B$2:$M$102,7,FALSE)="","",VLOOKUP($I21,Max_Load_France!$B$2:$M$102,7,FALSE))</f>
        <v>1</v>
      </c>
      <c r="R21" s="131" t="str">
        <f>IF(VLOOKUP($I21,Max_Load_France!$B$2:$M$102,8,FALSE)="","",VLOOKUP($I21,Max_Load_France!$B$2:$M$102,8,FALSE))</f>
        <v/>
      </c>
      <c r="S21" s="131" t="str">
        <f>IF(VLOOKUP($I21,Max_Load_France!$B$2:$M$102,9,FALSE)="","",VLOOKUP($I21,Max_Load_France!$B$2:$M$102,9,FALSE))</f>
        <v/>
      </c>
      <c r="T21" s="131" t="str">
        <f>IF(VLOOKUP($I21,Max_Load_France!$B$2:$M$102,10,FALSE)="","",VLOOKUP($I21,Max_Load_France!$B$2:$M$102,10,FALSE))</f>
        <v/>
      </c>
      <c r="U21" s="131" t="str">
        <f>IF(VLOOKUP($I21,Max_Load_France!$B$2:$M$102,11,FALSE)="","",VLOOKUP($I21,Max_Load_France!$B$2:$M$102,11,FALSE))</f>
        <v/>
      </c>
      <c r="V21" s="148">
        <v>5</v>
      </c>
      <c r="W21" s="132">
        <f t="shared" si="2"/>
        <v>35.799999999999997</v>
      </c>
      <c r="X21" s="133">
        <v>7.1</v>
      </c>
      <c r="Y21" s="133">
        <v>9.5</v>
      </c>
      <c r="Z21" s="133">
        <v>6.7</v>
      </c>
      <c r="AA21" s="133">
        <v>6.2</v>
      </c>
      <c r="AB21" s="133">
        <v>6.3</v>
      </c>
      <c r="AC21" s="101"/>
      <c r="AD21" s="101"/>
      <c r="AE21" s="101"/>
      <c r="AF21" s="101"/>
      <c r="AG21" s="134">
        <f t="shared" si="3"/>
        <v>19.2</v>
      </c>
      <c r="AH21" s="134" t="str">
        <f t="shared" si="4"/>
        <v/>
      </c>
      <c r="AI21" s="134" t="str">
        <f t="shared" si="5"/>
        <v/>
      </c>
      <c r="AJ21" s="134" t="str">
        <f t="shared" si="6"/>
        <v/>
      </c>
      <c r="AK21" s="135">
        <f t="shared" si="7"/>
        <v>37.071318681318679</v>
      </c>
      <c r="AL21" s="133">
        <v>5.3780879120879126</v>
      </c>
      <c r="AM21" s="133">
        <v>11.694175824175824</v>
      </c>
      <c r="AN21" s="133">
        <v>5.3185604395604393</v>
      </c>
      <c r="AO21" s="133">
        <v>7.4774175824175826</v>
      </c>
      <c r="AP21" s="133">
        <v>7.2030769230769236</v>
      </c>
      <c r="AQ21" s="101"/>
      <c r="AR21" s="101"/>
      <c r="AS21" s="101"/>
      <c r="AT21" s="101"/>
      <c r="AU21" s="134">
        <f t="shared" si="8"/>
        <v>19.999054945054947</v>
      </c>
      <c r="AV21" s="134" t="str">
        <f t="shared" si="9"/>
        <v/>
      </c>
      <c r="AW21" s="134" t="str">
        <f t="shared" si="10"/>
        <v/>
      </c>
      <c r="AX21" s="134" t="str">
        <f t="shared" si="11"/>
        <v/>
      </c>
      <c r="AY21" s="136">
        <f t="shared" si="12"/>
        <v>3.5511695008901743E-2</v>
      </c>
      <c r="AZ21" s="136">
        <f t="shared" si="13"/>
        <v>-0.24252282928339255</v>
      </c>
      <c r="BA21" s="136">
        <f t="shared" si="14"/>
        <v>0.23096587622903411</v>
      </c>
      <c r="BB21" s="136">
        <f t="shared" si="15"/>
        <v>-0.20618500902082998</v>
      </c>
      <c r="BC21" s="136">
        <f t="shared" si="16"/>
        <v>0.20603509393831973</v>
      </c>
      <c r="BD21" s="136">
        <f t="shared" si="17"/>
        <v>0.14334554334554345</v>
      </c>
      <c r="BE21" s="136" t="str">
        <f t="shared" si="18"/>
        <v/>
      </c>
      <c r="BF21" s="136" t="str">
        <f t="shared" si="19"/>
        <v/>
      </c>
      <c r="BG21" s="136" t="str">
        <f t="shared" si="20"/>
        <v/>
      </c>
      <c r="BH21" s="136" t="str">
        <f t="shared" si="21"/>
        <v/>
      </c>
      <c r="BI21" s="136">
        <f t="shared" si="22"/>
        <v>4.1617445054945211E-2</v>
      </c>
      <c r="BJ21" s="136" t="str">
        <f t="shared" si="23"/>
        <v/>
      </c>
      <c r="BK21" s="136" t="str">
        <f t="shared" si="24"/>
        <v/>
      </c>
      <c r="BL21" s="136" t="str">
        <f t="shared" si="25"/>
        <v/>
      </c>
      <c r="BM21" s="76"/>
      <c r="BN21" s="94"/>
      <c r="BO21" s="94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</row>
    <row r="22" spans="1:78" s="89" customFormat="1" ht="12.75">
      <c r="A22" s="148" t="s">
        <v>221</v>
      </c>
      <c r="B22" s="149" t="s">
        <v>256</v>
      </c>
      <c r="C22" s="150"/>
      <c r="D22" s="125">
        <v>0.44722222222222219</v>
      </c>
      <c r="E22" s="126">
        <v>55.434600000000003</v>
      </c>
      <c r="F22" s="127"/>
      <c r="G22" s="127"/>
      <c r="H22" s="148"/>
      <c r="I22" s="149" t="s">
        <v>94</v>
      </c>
      <c r="J22" s="128">
        <f>IF(ISERROR(VLOOKUP(I22,Max_Load_France!$B$2:$C$102,2,FALSE)/1000),"",VLOOKUP(I22,Max_Load_France!$B$2:$C$102,2,FALSE)/1000)</f>
        <v>40</v>
      </c>
      <c r="K22" s="129"/>
      <c r="L22" s="130">
        <f t="shared" si="0"/>
        <v>1.0325</v>
      </c>
      <c r="M22" s="131">
        <f>IF(VLOOKUP($I22,Max_Load_France!$B$2:$M$102,3,FALSE)="","",VLOOKUP($I22,Max_Load_France!$B$2:$M$102,3,FALSE))</f>
        <v>0</v>
      </c>
      <c r="N22" s="131">
        <f>IF(VLOOKUP($I22,Max_Load_France!$B$2:$M$102,4,FALSE)="","",VLOOKUP($I22,Max_Load_France!$B$2:$M$102,4,FALSE))</f>
        <v>0</v>
      </c>
      <c r="O22" s="131">
        <f>IF(VLOOKUP($I22,Max_Load_France!$B$2:$M$102,5,FALSE)="","",VLOOKUP($I22,Max_Load_France!$B$2:$M$102,5,FALSE))</f>
        <v>1</v>
      </c>
      <c r="P22" s="131">
        <f>IF(VLOOKUP($I22,Max_Load_France!$B$2:$M$102,6,FALSE)="","",VLOOKUP($I22,Max_Load_France!$B$2:$M$102,6,FALSE))</f>
        <v>1</v>
      </c>
      <c r="Q22" s="131">
        <f>IF(VLOOKUP($I22,Max_Load_France!$B$2:$M$102,7,FALSE)="","",VLOOKUP($I22,Max_Load_France!$B$2:$M$102,7,FALSE))</f>
        <v>1</v>
      </c>
      <c r="R22" s="131" t="str">
        <f>IF(VLOOKUP($I22,Max_Load_France!$B$2:$M$102,8,FALSE)="","",VLOOKUP($I22,Max_Load_France!$B$2:$M$102,8,FALSE))</f>
        <v/>
      </c>
      <c r="S22" s="131" t="str">
        <f>IF(VLOOKUP($I22,Max_Load_France!$B$2:$M$102,9,FALSE)="","",VLOOKUP($I22,Max_Load_France!$B$2:$M$102,9,FALSE))</f>
        <v/>
      </c>
      <c r="T22" s="131" t="str">
        <f>IF(VLOOKUP($I22,Max_Load_France!$B$2:$M$102,10,FALSE)="","",VLOOKUP($I22,Max_Load_France!$B$2:$M$102,10,FALSE))</f>
        <v/>
      </c>
      <c r="U22" s="131" t="str">
        <f>IF(VLOOKUP($I22,Max_Load_France!$B$2:$M$102,11,FALSE)="","",VLOOKUP($I22,Max_Load_France!$B$2:$M$102,11,FALSE))</f>
        <v/>
      </c>
      <c r="V22" s="148">
        <v>5</v>
      </c>
      <c r="W22" s="132">
        <f t="shared" si="2"/>
        <v>41.3</v>
      </c>
      <c r="X22" s="133">
        <v>8.3000000000000007</v>
      </c>
      <c r="Y22" s="133">
        <v>11.4</v>
      </c>
      <c r="Z22" s="133">
        <v>7.2</v>
      </c>
      <c r="AA22" s="133">
        <v>7.1</v>
      </c>
      <c r="AB22" s="133">
        <v>7.3</v>
      </c>
      <c r="AC22" s="101"/>
      <c r="AD22" s="101"/>
      <c r="AE22" s="101"/>
      <c r="AF22" s="101"/>
      <c r="AG22" s="134">
        <f t="shared" si="3"/>
        <v>21.6</v>
      </c>
      <c r="AH22" s="134" t="str">
        <f t="shared" si="4"/>
        <v/>
      </c>
      <c r="AI22" s="134" t="str">
        <f t="shared" si="5"/>
        <v/>
      </c>
      <c r="AJ22" s="134" t="str">
        <f t="shared" si="6"/>
        <v/>
      </c>
      <c r="AK22" s="135">
        <f t="shared" si="7"/>
        <v>42.069824175824174</v>
      </c>
      <c r="AL22" s="133">
        <v>7.161142857142857</v>
      </c>
      <c r="AM22" s="133">
        <v>13.593516483516483</v>
      </c>
      <c r="AN22" s="133">
        <v>6.4238351648351646</v>
      </c>
      <c r="AO22" s="133">
        <v>7.0073186813186812</v>
      </c>
      <c r="AP22" s="133">
        <v>7.8840109890109895</v>
      </c>
      <c r="AQ22" s="101"/>
      <c r="AR22" s="101"/>
      <c r="AS22" s="101"/>
      <c r="AT22" s="101"/>
      <c r="AU22" s="134">
        <f t="shared" si="8"/>
        <v>21.315164835164836</v>
      </c>
      <c r="AV22" s="134" t="str">
        <f t="shared" si="9"/>
        <v/>
      </c>
      <c r="AW22" s="134" t="str">
        <f t="shared" si="10"/>
        <v/>
      </c>
      <c r="AX22" s="134" t="str">
        <f t="shared" si="11"/>
        <v/>
      </c>
      <c r="AY22" s="136">
        <f t="shared" si="12"/>
        <v>1.8639810552643497E-2</v>
      </c>
      <c r="AZ22" s="136">
        <f t="shared" si="13"/>
        <v>-0.13721170395869201</v>
      </c>
      <c r="BA22" s="136">
        <f t="shared" si="14"/>
        <v>0.19241372662425285</v>
      </c>
      <c r="BB22" s="136">
        <f t="shared" si="15"/>
        <v>-0.10780067155067161</v>
      </c>
      <c r="BC22" s="136">
        <f t="shared" si="16"/>
        <v>-1.3053706856523727E-2</v>
      </c>
      <c r="BD22" s="136">
        <f t="shared" si="17"/>
        <v>8.0001505343971185E-2</v>
      </c>
      <c r="BE22" s="136" t="str">
        <f t="shared" si="18"/>
        <v/>
      </c>
      <c r="BF22" s="136" t="str">
        <f t="shared" si="19"/>
        <v/>
      </c>
      <c r="BG22" s="136" t="str">
        <f t="shared" si="20"/>
        <v/>
      </c>
      <c r="BH22" s="136" t="str">
        <f t="shared" si="21"/>
        <v/>
      </c>
      <c r="BI22" s="136">
        <f t="shared" si="22"/>
        <v>-1.3186813186813204E-2</v>
      </c>
      <c r="BJ22" s="136" t="str">
        <f t="shared" si="23"/>
        <v/>
      </c>
      <c r="BK22" s="136" t="str">
        <f t="shared" si="24"/>
        <v/>
      </c>
      <c r="BL22" s="136" t="str">
        <f t="shared" si="25"/>
        <v/>
      </c>
      <c r="BM22" s="76"/>
      <c r="BN22" s="94"/>
      <c r="BO22" s="94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</row>
    <row r="23" spans="1:78" s="89" customFormat="1" ht="12.75">
      <c r="A23" s="148" t="s">
        <v>222</v>
      </c>
      <c r="B23" s="151" t="s">
        <v>257</v>
      </c>
      <c r="C23" s="150"/>
      <c r="D23" s="125">
        <v>0.45347222222222222</v>
      </c>
      <c r="E23" s="126">
        <v>67.331519999999998</v>
      </c>
      <c r="F23" s="127"/>
      <c r="G23" s="127"/>
      <c r="H23" s="148"/>
      <c r="I23" s="149" t="s">
        <v>94</v>
      </c>
      <c r="J23" s="128">
        <f>IF(ISERROR(VLOOKUP(I23,Max_Load_France!$B$2:$C$102,2,FALSE)/1000),"",VLOOKUP(I23,Max_Load_France!$B$2:$C$102,2,FALSE)/1000)</f>
        <v>40</v>
      </c>
      <c r="K23" s="129"/>
      <c r="L23" s="130">
        <f t="shared" si="0"/>
        <v>0.93</v>
      </c>
      <c r="M23" s="131">
        <f>IF(VLOOKUP($I23,Max_Load_France!$B$2:$M$102,3,FALSE)="","",VLOOKUP($I23,Max_Load_France!$B$2:$M$102,3,FALSE))</f>
        <v>0</v>
      </c>
      <c r="N23" s="131">
        <f>IF(VLOOKUP($I23,Max_Load_France!$B$2:$M$102,4,FALSE)="","",VLOOKUP($I23,Max_Load_France!$B$2:$M$102,4,FALSE))</f>
        <v>0</v>
      </c>
      <c r="O23" s="131">
        <f>IF(VLOOKUP($I23,Max_Load_France!$B$2:$M$102,5,FALSE)="","",VLOOKUP($I23,Max_Load_France!$B$2:$M$102,5,FALSE))</f>
        <v>1</v>
      </c>
      <c r="P23" s="131">
        <f>IF(VLOOKUP($I23,Max_Load_France!$B$2:$M$102,6,FALSE)="","",VLOOKUP($I23,Max_Load_France!$B$2:$M$102,6,FALSE))</f>
        <v>1</v>
      </c>
      <c r="Q23" s="131">
        <f>IF(VLOOKUP($I23,Max_Load_France!$B$2:$M$102,7,FALSE)="","",VLOOKUP($I23,Max_Load_France!$B$2:$M$102,7,FALSE))</f>
        <v>1</v>
      </c>
      <c r="R23" s="131" t="str">
        <f>IF(VLOOKUP($I23,Max_Load_France!$B$2:$M$102,8,FALSE)="","",VLOOKUP($I23,Max_Load_France!$B$2:$M$102,8,FALSE))</f>
        <v/>
      </c>
      <c r="S23" s="131" t="str">
        <f>IF(VLOOKUP($I23,Max_Load_France!$B$2:$M$102,9,FALSE)="","",VLOOKUP($I23,Max_Load_France!$B$2:$M$102,9,FALSE))</f>
        <v/>
      </c>
      <c r="T23" s="131" t="str">
        <f>IF(VLOOKUP($I23,Max_Load_France!$B$2:$M$102,10,FALSE)="","",VLOOKUP($I23,Max_Load_France!$B$2:$M$102,10,FALSE))</f>
        <v/>
      </c>
      <c r="U23" s="131" t="str">
        <f>IF(VLOOKUP($I23,Max_Load_France!$B$2:$M$102,11,FALSE)="","",VLOOKUP($I23,Max_Load_France!$B$2:$M$102,11,FALSE))</f>
        <v/>
      </c>
      <c r="V23" s="148">
        <v>5</v>
      </c>
      <c r="W23" s="132">
        <f t="shared" si="2"/>
        <v>37.200000000000003</v>
      </c>
      <c r="X23" s="133">
        <v>8.1999999999999993</v>
      </c>
      <c r="Y23" s="133">
        <v>13.2</v>
      </c>
      <c r="Z23" s="133">
        <v>5.0999999999999996</v>
      </c>
      <c r="AA23" s="133">
        <v>5.3</v>
      </c>
      <c r="AB23" s="133">
        <v>5.4</v>
      </c>
      <c r="AC23" s="101"/>
      <c r="AD23" s="101"/>
      <c r="AE23" s="101"/>
      <c r="AF23" s="101"/>
      <c r="AG23" s="134">
        <f t="shared" si="3"/>
        <v>15.799999999999999</v>
      </c>
      <c r="AH23" s="134" t="str">
        <f t="shared" si="4"/>
        <v/>
      </c>
      <c r="AI23" s="134" t="str">
        <f t="shared" si="5"/>
        <v/>
      </c>
      <c r="AJ23" s="134" t="str">
        <f t="shared" si="6"/>
        <v/>
      </c>
      <c r="AK23" s="135">
        <f t="shared" si="7"/>
        <v>44.253736263736265</v>
      </c>
      <c r="AL23" s="133">
        <v>8.1080109890109888</v>
      </c>
      <c r="AM23" s="133">
        <v>17.810329670329672</v>
      </c>
      <c r="AN23" s="138">
        <v>7.4536483516483516</v>
      </c>
      <c r="AO23" s="133">
        <v>3.6302967032967031</v>
      </c>
      <c r="AP23" s="133">
        <v>7.2514505494505501</v>
      </c>
      <c r="AQ23" s="101"/>
      <c r="AR23" s="101"/>
      <c r="AS23" s="101"/>
      <c r="AT23" s="101"/>
      <c r="AU23" s="134">
        <f t="shared" si="8"/>
        <v>18.335395604395604</v>
      </c>
      <c r="AV23" s="134" t="str">
        <f t="shared" si="9"/>
        <v/>
      </c>
      <c r="AW23" s="134" t="str">
        <f t="shared" si="10"/>
        <v/>
      </c>
      <c r="AX23" s="134" t="str">
        <f t="shared" si="11"/>
        <v/>
      </c>
      <c r="AY23" s="136">
        <f t="shared" si="12"/>
        <v>0.1896165662294694</v>
      </c>
      <c r="AZ23" s="136">
        <f t="shared" si="13"/>
        <v>-1.1218172071830545E-2</v>
      </c>
      <c r="BA23" s="136">
        <f t="shared" si="14"/>
        <v>0.34926739926739947</v>
      </c>
      <c r="BB23" s="136">
        <f t="shared" si="15"/>
        <v>0.46149967679379456</v>
      </c>
      <c r="BC23" s="136">
        <f t="shared" si="16"/>
        <v>-0.31503835786854656</v>
      </c>
      <c r="BD23" s="136">
        <f t="shared" si="17"/>
        <v>0.34286121286121291</v>
      </c>
      <c r="BE23" s="136" t="str">
        <f t="shared" si="18"/>
        <v/>
      </c>
      <c r="BF23" s="136" t="str">
        <f t="shared" si="19"/>
        <v/>
      </c>
      <c r="BG23" s="136" t="str">
        <f t="shared" si="20"/>
        <v/>
      </c>
      <c r="BH23" s="136" t="str">
        <f t="shared" si="21"/>
        <v/>
      </c>
      <c r="BI23" s="136">
        <f t="shared" si="22"/>
        <v>0.16046807622756995</v>
      </c>
      <c r="BJ23" s="136" t="str">
        <f t="shared" si="23"/>
        <v/>
      </c>
      <c r="BK23" s="136" t="str">
        <f t="shared" si="24"/>
        <v/>
      </c>
      <c r="BL23" s="136" t="str">
        <f t="shared" si="25"/>
        <v/>
      </c>
      <c r="BM23" s="76"/>
      <c r="BN23" s="70"/>
      <c r="BO23" s="70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</row>
    <row r="24" spans="1:78" s="89" customFormat="1" ht="12.75">
      <c r="A24" s="148" t="s">
        <v>282</v>
      </c>
      <c r="B24" s="149" t="s">
        <v>258</v>
      </c>
      <c r="C24" s="150"/>
      <c r="D24" s="125">
        <v>0.47638888888888892</v>
      </c>
      <c r="E24" s="126">
        <v>40</v>
      </c>
      <c r="F24" s="127"/>
      <c r="G24" s="127"/>
      <c r="H24" s="148"/>
      <c r="I24" s="149" t="s">
        <v>94</v>
      </c>
      <c r="J24" s="128">
        <f>IF(ISERROR(VLOOKUP(I24,Max_Load_France!$B$2:$C$102,2,FALSE)/1000),"",VLOOKUP(I24,Max_Load_France!$B$2:$C$102,2,FALSE)/1000)</f>
        <v>40</v>
      </c>
      <c r="K24" s="129"/>
      <c r="L24" s="130">
        <f t="shared" si="0"/>
        <v>1.115</v>
      </c>
      <c r="M24" s="131">
        <f>IF(VLOOKUP($I24,Max_Load_France!$B$2:$M$102,3,FALSE)="","",VLOOKUP($I24,Max_Load_France!$B$2:$M$102,3,FALSE))</f>
        <v>0</v>
      </c>
      <c r="N24" s="131">
        <f>IF(VLOOKUP($I24,Max_Load_France!$B$2:$M$102,4,FALSE)="","",VLOOKUP($I24,Max_Load_France!$B$2:$M$102,4,FALSE))</f>
        <v>0</v>
      </c>
      <c r="O24" s="131">
        <f>IF(VLOOKUP($I24,Max_Load_France!$B$2:$M$102,5,FALSE)="","",VLOOKUP($I24,Max_Load_France!$B$2:$M$102,5,FALSE))</f>
        <v>1</v>
      </c>
      <c r="P24" s="131">
        <f>IF(VLOOKUP($I24,Max_Load_France!$B$2:$M$102,6,FALSE)="","",VLOOKUP($I24,Max_Load_France!$B$2:$M$102,6,FALSE))</f>
        <v>1</v>
      </c>
      <c r="Q24" s="131">
        <f>IF(VLOOKUP($I24,Max_Load_France!$B$2:$M$102,7,FALSE)="","",VLOOKUP($I24,Max_Load_France!$B$2:$M$102,7,FALSE))</f>
        <v>1</v>
      </c>
      <c r="R24" s="131" t="str">
        <f>IF(VLOOKUP($I24,Max_Load_France!$B$2:$M$102,8,FALSE)="","",VLOOKUP($I24,Max_Load_France!$B$2:$M$102,8,FALSE))</f>
        <v/>
      </c>
      <c r="S24" s="131" t="str">
        <f>IF(VLOOKUP($I24,Max_Load_France!$B$2:$M$102,9,FALSE)="","",VLOOKUP($I24,Max_Load_France!$B$2:$M$102,9,FALSE))</f>
        <v/>
      </c>
      <c r="T24" s="131" t="str">
        <f>IF(VLOOKUP($I24,Max_Load_France!$B$2:$M$102,10,FALSE)="","",VLOOKUP($I24,Max_Load_France!$B$2:$M$102,10,FALSE))</f>
        <v/>
      </c>
      <c r="U24" s="131" t="str">
        <f>IF(VLOOKUP($I24,Max_Load_France!$B$2:$M$102,11,FALSE)="","",VLOOKUP($I24,Max_Load_France!$B$2:$M$102,11,FALSE))</f>
        <v/>
      </c>
      <c r="V24" s="148">
        <v>5</v>
      </c>
      <c r="W24" s="132">
        <f t="shared" si="2"/>
        <v>44.6</v>
      </c>
      <c r="X24" s="133">
        <v>6.3</v>
      </c>
      <c r="Y24" s="133">
        <v>12</v>
      </c>
      <c r="Z24" s="133">
        <v>8.9</v>
      </c>
      <c r="AA24" s="133">
        <v>8.5</v>
      </c>
      <c r="AB24" s="133">
        <v>8.9</v>
      </c>
      <c r="AC24" s="101"/>
      <c r="AD24" s="101"/>
      <c r="AE24" s="101"/>
      <c r="AF24" s="101"/>
      <c r="AG24" s="134">
        <f t="shared" si="3"/>
        <v>26.299999999999997</v>
      </c>
      <c r="AH24" s="134" t="str">
        <f t="shared" si="4"/>
        <v/>
      </c>
      <c r="AI24" s="134" t="str">
        <f t="shared" si="5"/>
        <v/>
      </c>
      <c r="AJ24" s="134" t="str">
        <f t="shared" si="6"/>
        <v/>
      </c>
      <c r="AK24" s="135">
        <f t="shared" si="7"/>
        <v>41.39</v>
      </c>
      <c r="AL24" s="133">
        <v>4.47</v>
      </c>
      <c r="AM24" s="133">
        <v>13.33</v>
      </c>
      <c r="AN24" s="133">
        <v>7.15</v>
      </c>
      <c r="AO24" s="133">
        <v>8.2100000000000009</v>
      </c>
      <c r="AP24" s="133">
        <v>8.23</v>
      </c>
      <c r="AQ24" s="101"/>
      <c r="AR24" s="101"/>
      <c r="AS24" s="101"/>
      <c r="AT24" s="101"/>
      <c r="AU24" s="134">
        <f t="shared" si="8"/>
        <v>23.590000000000003</v>
      </c>
      <c r="AV24" s="134" t="str">
        <f t="shared" si="9"/>
        <v/>
      </c>
      <c r="AW24" s="134" t="str">
        <f t="shared" si="10"/>
        <v/>
      </c>
      <c r="AX24" s="134" t="str">
        <f t="shared" si="11"/>
        <v/>
      </c>
      <c r="AY24" s="136">
        <f t="shared" si="12"/>
        <v>-7.1973094170403609E-2</v>
      </c>
      <c r="AZ24" s="136">
        <f t="shared" si="13"/>
        <v>-0.2904761904761905</v>
      </c>
      <c r="BA24" s="136">
        <f t="shared" si="14"/>
        <v>0.11083333333333334</v>
      </c>
      <c r="BB24" s="136">
        <f t="shared" si="15"/>
        <v>-0.19662921348314605</v>
      </c>
      <c r="BC24" s="136">
        <f t="shared" si="16"/>
        <v>-3.4117647058823426E-2</v>
      </c>
      <c r="BD24" s="136">
        <f t="shared" si="17"/>
        <v>-7.528089887640449E-2</v>
      </c>
      <c r="BE24" s="136" t="str">
        <f t="shared" si="18"/>
        <v/>
      </c>
      <c r="BF24" s="136" t="str">
        <f t="shared" si="19"/>
        <v/>
      </c>
      <c r="BG24" s="136" t="str">
        <f t="shared" si="20"/>
        <v/>
      </c>
      <c r="BH24" s="136" t="str">
        <f t="shared" si="21"/>
        <v/>
      </c>
      <c r="BI24" s="136">
        <f t="shared" si="22"/>
        <v>-0.10304182509505681</v>
      </c>
      <c r="BJ24" s="136" t="str">
        <f t="shared" si="23"/>
        <v/>
      </c>
      <c r="BK24" s="136" t="str">
        <f t="shared" si="24"/>
        <v/>
      </c>
      <c r="BL24" s="136" t="str">
        <f t="shared" si="25"/>
        <v/>
      </c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</row>
    <row r="25" spans="1:78" s="85" customFormat="1" ht="12.75">
      <c r="A25" s="148" t="s">
        <v>223</v>
      </c>
      <c r="B25" s="128" t="s">
        <v>259</v>
      </c>
      <c r="C25" s="139"/>
      <c r="D25" s="125">
        <v>0.60347222222222219</v>
      </c>
      <c r="E25" s="126">
        <v>56.713680000000004</v>
      </c>
      <c r="F25" s="137"/>
      <c r="G25" s="137"/>
      <c r="H25" s="131"/>
      <c r="I25" s="149" t="s">
        <v>94</v>
      </c>
      <c r="J25" s="128">
        <f>IF(ISERROR(VLOOKUP(I25,Max_Load_France!$B$2:$C$102,2,FALSE)/1000),"",VLOOKUP(I25,Max_Load_France!$B$2:$C$102,2,FALSE)/1000)</f>
        <v>40</v>
      </c>
      <c r="K25" s="129"/>
      <c r="L25" s="130">
        <f t="shared" si="0"/>
        <v>1.0349999999999999</v>
      </c>
      <c r="M25" s="131">
        <f>IF(VLOOKUP($I25,Max_Load_France!$B$2:$M$102,3,FALSE)="","",VLOOKUP($I25,Max_Load_France!$B$2:$M$102,3,FALSE))</f>
        <v>0</v>
      </c>
      <c r="N25" s="131">
        <f>IF(VLOOKUP($I25,Max_Load_France!$B$2:$M$102,4,FALSE)="","",VLOOKUP($I25,Max_Load_France!$B$2:$M$102,4,FALSE))</f>
        <v>0</v>
      </c>
      <c r="O25" s="131">
        <f>IF(VLOOKUP($I25,Max_Load_France!$B$2:$M$102,5,FALSE)="","",VLOOKUP($I25,Max_Load_France!$B$2:$M$102,5,FALSE))</f>
        <v>1</v>
      </c>
      <c r="P25" s="131">
        <f>IF(VLOOKUP($I25,Max_Load_France!$B$2:$M$102,6,FALSE)="","",VLOOKUP($I25,Max_Load_France!$B$2:$M$102,6,FALSE))</f>
        <v>1</v>
      </c>
      <c r="Q25" s="131">
        <f>IF(VLOOKUP($I25,Max_Load_France!$B$2:$M$102,7,FALSE)="","",VLOOKUP($I25,Max_Load_France!$B$2:$M$102,7,FALSE))</f>
        <v>1</v>
      </c>
      <c r="R25" s="131" t="str">
        <f>IF(VLOOKUP($I25,Max_Load_France!$B$2:$M$102,8,FALSE)="","",VLOOKUP($I25,Max_Load_France!$B$2:$M$102,8,FALSE))</f>
        <v/>
      </c>
      <c r="S25" s="131" t="str">
        <f>IF(VLOOKUP($I25,Max_Load_France!$B$2:$M$102,9,FALSE)="","",VLOOKUP($I25,Max_Load_France!$B$2:$M$102,9,FALSE))</f>
        <v/>
      </c>
      <c r="T25" s="131" t="str">
        <f>IF(VLOOKUP($I25,Max_Load_France!$B$2:$M$102,10,FALSE)="","",VLOOKUP($I25,Max_Load_France!$B$2:$M$102,10,FALSE))</f>
        <v/>
      </c>
      <c r="U25" s="131" t="str">
        <f>IF(VLOOKUP($I25,Max_Load_France!$B$2:$M$102,11,FALSE)="","",VLOOKUP($I25,Max_Load_France!$B$2:$M$102,11,FALSE))</f>
        <v/>
      </c>
      <c r="V25" s="148">
        <v>5</v>
      </c>
      <c r="W25" s="132">
        <f t="shared" si="2"/>
        <v>41.4</v>
      </c>
      <c r="X25" s="133">
        <v>6.5</v>
      </c>
      <c r="Y25" s="133">
        <v>9.3000000000000007</v>
      </c>
      <c r="Z25" s="133">
        <v>8.5</v>
      </c>
      <c r="AA25" s="133">
        <v>8.6</v>
      </c>
      <c r="AB25" s="133">
        <v>8.5</v>
      </c>
      <c r="AC25" s="101"/>
      <c r="AD25" s="101"/>
      <c r="AE25" s="101"/>
      <c r="AF25" s="101"/>
      <c r="AG25" s="134">
        <f t="shared" si="3"/>
        <v>25.6</v>
      </c>
      <c r="AH25" s="134" t="str">
        <f t="shared" si="4"/>
        <v/>
      </c>
      <c r="AI25" s="134" t="str">
        <f t="shared" si="5"/>
        <v/>
      </c>
      <c r="AJ25" s="134" t="str">
        <f t="shared" si="6"/>
        <v/>
      </c>
      <c r="AK25" s="135">
        <f t="shared" si="7"/>
        <v>50.693131868131871</v>
      </c>
      <c r="AL25" s="133">
        <v>7.486648351648352</v>
      </c>
      <c r="AM25" s="133">
        <v>12.363846153846154</v>
      </c>
      <c r="AN25" s="133">
        <v>10.668516483516484</v>
      </c>
      <c r="AO25" s="133">
        <v>8.1621428571428574</v>
      </c>
      <c r="AP25" s="133">
        <v>12.011978021978022</v>
      </c>
      <c r="AQ25" s="101"/>
      <c r="AR25" s="101"/>
      <c r="AS25" s="101"/>
      <c r="AT25" s="101"/>
      <c r="AU25" s="134">
        <f t="shared" si="8"/>
        <v>30.842637362637362</v>
      </c>
      <c r="AV25" s="134" t="str">
        <f t="shared" si="9"/>
        <v/>
      </c>
      <c r="AW25" s="134"/>
      <c r="AX25" s="134"/>
      <c r="AY25" s="136">
        <f t="shared" si="12"/>
        <v>0.22447178425439307</v>
      </c>
      <c r="AZ25" s="136">
        <f t="shared" si="13"/>
        <v>0.15179205409974644</v>
      </c>
      <c r="BA25" s="136">
        <f t="shared" si="14"/>
        <v>0.32944582299421005</v>
      </c>
      <c r="BB25" s="136">
        <f t="shared" si="15"/>
        <v>0.25511958629605697</v>
      </c>
      <c r="BC25" s="136">
        <f t="shared" si="16"/>
        <v>-5.0913621262458408E-2</v>
      </c>
      <c r="BD25" s="136">
        <f t="shared" si="17"/>
        <v>0.41317388493859086</v>
      </c>
      <c r="BE25" s="136" t="str">
        <f t="shared" si="18"/>
        <v/>
      </c>
      <c r="BF25" s="136" t="str">
        <f t="shared" si="19"/>
        <v/>
      </c>
      <c r="BG25" s="136" t="str">
        <f t="shared" si="20"/>
        <v/>
      </c>
      <c r="BH25" s="136" t="str">
        <f t="shared" si="21"/>
        <v/>
      </c>
      <c r="BI25" s="136">
        <f t="shared" si="22"/>
        <v>0.20479052197802189</v>
      </c>
      <c r="BJ25" s="136" t="str">
        <f t="shared" si="23"/>
        <v/>
      </c>
      <c r="BK25" s="136" t="str">
        <f t="shared" si="24"/>
        <v/>
      </c>
      <c r="BL25" s="136" t="str">
        <f t="shared" si="25"/>
        <v/>
      </c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</row>
    <row r="26" spans="1:78" s="85" customFormat="1" ht="12.75">
      <c r="A26" s="148" t="s">
        <v>224</v>
      </c>
      <c r="B26" s="128" t="s">
        <v>260</v>
      </c>
      <c r="C26" s="139"/>
      <c r="D26" s="125">
        <v>0.61249999999999993</v>
      </c>
      <c r="E26" s="140">
        <v>41.420159999999996</v>
      </c>
      <c r="F26" s="137"/>
      <c r="G26" s="137"/>
      <c r="H26" s="131"/>
      <c r="I26" s="149" t="s">
        <v>129</v>
      </c>
      <c r="J26" s="128">
        <f>IF(ISERROR(VLOOKUP(I26,Max_Load_France!$B$2:$C$102,2,FALSE)/1000),"",VLOOKUP(I26,Max_Load_France!$B$2:$C$102,2,FALSE)/1000)</f>
        <v>40</v>
      </c>
      <c r="K26" s="129"/>
      <c r="L26" s="130">
        <f t="shared" si="0"/>
        <v>1.0574999999999999</v>
      </c>
      <c r="M26" s="131">
        <f>IF(VLOOKUP($I26,Max_Load_France!$B$2:$M$102,3,FALSE)="","",VLOOKUP($I26,Max_Load_France!$B$2:$M$102,3,FALSE))</f>
        <v>0</v>
      </c>
      <c r="N26" s="131">
        <f>IF(VLOOKUP($I26,Max_Load_France!$B$2:$M$102,4,FALSE)="","",VLOOKUP($I26,Max_Load_France!$B$2:$M$102,4,FALSE))</f>
        <v>1</v>
      </c>
      <c r="O26" s="131">
        <f>IF(VLOOKUP($I26,Max_Load_France!$B$2:$M$102,5,FALSE)="","",VLOOKUP($I26,Max_Load_France!$B$2:$M$102,5,FALSE))</f>
        <v>1</v>
      </c>
      <c r="P26" s="131">
        <f>IF(VLOOKUP($I26,Max_Load_France!$B$2:$M$102,6,FALSE)="","",VLOOKUP($I26,Max_Load_France!$B$2:$M$102,6,FALSE))</f>
        <v>2</v>
      </c>
      <c r="Q26" s="131">
        <f>IF(VLOOKUP($I26,Max_Load_France!$B$2:$M$102,7,FALSE)="","",VLOOKUP($I26,Max_Load_France!$B$2:$M$102,7,FALSE))</f>
        <v>2</v>
      </c>
      <c r="R26" s="131" t="str">
        <f>IF(VLOOKUP($I26,Max_Load_France!$B$2:$M$102,8,FALSE)="","",VLOOKUP($I26,Max_Load_France!$B$2:$M$102,8,FALSE))</f>
        <v/>
      </c>
      <c r="S26" s="131" t="str">
        <f>IF(VLOOKUP($I26,Max_Load_France!$B$2:$M$102,9,FALSE)="","",VLOOKUP($I26,Max_Load_France!$B$2:$M$102,9,FALSE))</f>
        <v/>
      </c>
      <c r="T26" s="131" t="str">
        <f>IF(VLOOKUP($I26,Max_Load_France!$B$2:$M$102,10,FALSE)="","",VLOOKUP($I26,Max_Load_France!$B$2:$M$102,10,FALSE))</f>
        <v/>
      </c>
      <c r="U26" s="131" t="str">
        <f>IF(VLOOKUP($I26,Max_Load_France!$B$2:$M$102,11,FALSE)="","",VLOOKUP($I26,Max_Load_France!$B$2:$M$102,11,FALSE))</f>
        <v/>
      </c>
      <c r="V26" s="148">
        <v>5</v>
      </c>
      <c r="W26" s="132">
        <f t="shared" si="2"/>
        <v>42.3</v>
      </c>
      <c r="X26" s="133">
        <v>5.9</v>
      </c>
      <c r="Y26" s="133">
        <v>7.5</v>
      </c>
      <c r="Z26" s="133">
        <v>7.3</v>
      </c>
      <c r="AA26" s="133">
        <v>10.8</v>
      </c>
      <c r="AB26" s="133">
        <v>10.8</v>
      </c>
      <c r="AC26" s="101"/>
      <c r="AD26" s="101"/>
      <c r="AE26" s="101"/>
      <c r="AF26" s="101"/>
      <c r="AG26" s="134">
        <f t="shared" si="3"/>
        <v>14.8</v>
      </c>
      <c r="AH26" s="134">
        <f t="shared" si="4"/>
        <v>21.6</v>
      </c>
      <c r="AI26" s="134" t="str">
        <f t="shared" si="5"/>
        <v/>
      </c>
      <c r="AJ26" s="134" t="str">
        <f t="shared" si="6"/>
        <v/>
      </c>
      <c r="AK26" s="135">
        <f t="shared" si="7"/>
        <v>52.131208791208792</v>
      </c>
      <c r="AL26" s="133">
        <v>7.3534395604395613</v>
      </c>
      <c r="AM26" s="133">
        <v>10.563483516483517</v>
      </c>
      <c r="AN26" s="133">
        <v>8.2059340659340663</v>
      </c>
      <c r="AO26" s="133">
        <v>12.487142857142857</v>
      </c>
      <c r="AP26" s="133">
        <v>13.521208791208792</v>
      </c>
      <c r="AQ26" s="101"/>
      <c r="AR26" s="101"/>
      <c r="AS26" s="101"/>
      <c r="AT26" s="101"/>
      <c r="AU26" s="134">
        <f t="shared" si="8"/>
        <v>18.769417582417582</v>
      </c>
      <c r="AV26" s="134">
        <f t="shared" si="9"/>
        <v>26.008351648351649</v>
      </c>
      <c r="AW26" s="134"/>
      <c r="AX26" s="134"/>
      <c r="AY26" s="136">
        <f t="shared" ref="AY26:AY47" si="26">IF(W26&gt;0,(AK26-W26)/W26,"")</f>
        <v>0.23241628348011337</v>
      </c>
      <c r="AZ26" s="136">
        <f t="shared" ref="AZ26:AZ47" si="27">IF(X26&gt;0,(AL26-X26)/X26,"")</f>
        <v>0.24634568821009506</v>
      </c>
      <c r="BA26" s="136">
        <f t="shared" ref="BA26:BA47" si="28">IF(Y26&gt;0,(AM26-Y26)/Y26,"")</f>
        <v>0.40846446886446891</v>
      </c>
      <c r="BB26" s="136">
        <f t="shared" ref="BB26:BB47" si="29">IF(Z26&gt;0,(AN26-Z26)/Z26,"")</f>
        <v>0.12410055697726938</v>
      </c>
      <c r="BC26" s="136">
        <f t="shared" ref="BC26:BC47" si="30">IF(AA26&gt;0,(AO26-AA26)/AA26,"")</f>
        <v>0.15621693121693109</v>
      </c>
      <c r="BD26" s="136">
        <f t="shared" ref="BD26:BD47" si="31">IF(AB26&gt;0,(AP26-AB26)/AB26,"")</f>
        <v>0.25196377696377698</v>
      </c>
      <c r="BE26" s="136" t="str">
        <f t="shared" ref="BE26:BE47" si="32">IF(AC26&gt;0,(AQ26-AC26)/AC26,"")</f>
        <v/>
      </c>
      <c r="BF26" s="136" t="str">
        <f t="shared" ref="BF26:BF47" si="33">IF(AD26&gt;0,(AR26-AD26)/AD26,"")</f>
        <v/>
      </c>
      <c r="BG26" s="136" t="str">
        <f t="shared" ref="BG26:BG47" si="34">IF(AE26&gt;0,(AS26-AE26)/AE26,"")</f>
        <v/>
      </c>
      <c r="BH26" s="136" t="str">
        <f t="shared" ref="BH26:BH47" si="35">IF(AF26&gt;0,(AT26-AF26)/AF26,"")</f>
        <v/>
      </c>
      <c r="BI26" s="136">
        <f t="shared" ref="BI26:BI47" si="36">IF(AG26&lt;&gt;"",(AU26-AG26)/AG26,"")</f>
        <v>0.26820389070389056</v>
      </c>
      <c r="BJ26" s="136">
        <f t="shared" ref="BJ26:BJ47" si="37">IF(AH26&lt;&gt;"",(AV26-AH26)/AH26,"")</f>
        <v>0.20409035409035403</v>
      </c>
      <c r="BK26" s="136" t="str">
        <f t="shared" ref="BK26:BK47" si="38">IF(AI26&lt;&gt;"",(AW26-AI26)/AI26,"")</f>
        <v/>
      </c>
      <c r="BL26" s="136" t="str">
        <f t="shared" ref="BL26:BL47" si="39">IF(AJ26&lt;&gt;"",(AX26-AJ26)/AJ26,"")</f>
        <v/>
      </c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</row>
    <row r="27" spans="1:78" s="76" customFormat="1" ht="12.75">
      <c r="A27" s="148" t="s">
        <v>225</v>
      </c>
      <c r="B27" s="128" t="s">
        <v>261</v>
      </c>
      <c r="C27" s="139"/>
      <c r="D27" s="125">
        <v>0.61736111111111114</v>
      </c>
      <c r="E27" s="140">
        <v>67.025520000000014</v>
      </c>
      <c r="F27" s="137"/>
      <c r="G27" s="137"/>
      <c r="H27" s="131"/>
      <c r="I27" s="149" t="s">
        <v>94</v>
      </c>
      <c r="J27" s="128">
        <f>IF(ISERROR(VLOOKUP(I27,Max_Load_France!$B$2:$C$102,2,FALSE)/1000),"",VLOOKUP(I27,Max_Load_France!$B$2:$C$102,2,FALSE)/1000)</f>
        <v>40</v>
      </c>
      <c r="K27" s="129"/>
      <c r="L27" s="130">
        <f t="shared" si="0"/>
        <v>0.86999999999999988</v>
      </c>
      <c r="M27" s="131">
        <f>IF(VLOOKUP($I27,Max_Load_France!$B$2:$M$102,3,FALSE)="","",VLOOKUP($I27,Max_Load_France!$B$2:$M$102,3,FALSE))</f>
        <v>0</v>
      </c>
      <c r="N27" s="131">
        <f>IF(VLOOKUP($I27,Max_Load_France!$B$2:$M$102,4,FALSE)="","",VLOOKUP($I27,Max_Load_France!$B$2:$M$102,4,FALSE))</f>
        <v>0</v>
      </c>
      <c r="O27" s="131">
        <f>IF(VLOOKUP($I27,Max_Load_France!$B$2:$M$102,5,FALSE)="","",VLOOKUP($I27,Max_Load_France!$B$2:$M$102,5,FALSE))</f>
        <v>1</v>
      </c>
      <c r="P27" s="131">
        <f>IF(VLOOKUP($I27,Max_Load_France!$B$2:$M$102,6,FALSE)="","",VLOOKUP($I27,Max_Load_France!$B$2:$M$102,6,FALSE))</f>
        <v>1</v>
      </c>
      <c r="Q27" s="131">
        <f>IF(VLOOKUP($I27,Max_Load_France!$B$2:$M$102,7,FALSE)="","",VLOOKUP($I27,Max_Load_France!$B$2:$M$102,7,FALSE))</f>
        <v>1</v>
      </c>
      <c r="R27" s="131" t="str">
        <f>IF(VLOOKUP($I27,Max_Load_France!$B$2:$M$102,8,FALSE)="","",VLOOKUP($I27,Max_Load_France!$B$2:$M$102,8,FALSE))</f>
        <v/>
      </c>
      <c r="S27" s="131" t="str">
        <f>IF(VLOOKUP($I27,Max_Load_France!$B$2:$M$102,9,FALSE)="","",VLOOKUP($I27,Max_Load_France!$B$2:$M$102,9,FALSE))</f>
        <v/>
      </c>
      <c r="T27" s="131" t="str">
        <f>IF(VLOOKUP($I27,Max_Load_France!$B$2:$M$102,10,FALSE)="","",VLOOKUP($I27,Max_Load_France!$B$2:$M$102,10,FALSE))</f>
        <v/>
      </c>
      <c r="U27" s="131" t="str">
        <f>IF(VLOOKUP($I27,Max_Load_France!$B$2:$M$102,11,FALSE)="","",VLOOKUP($I27,Max_Load_France!$B$2:$M$102,11,FALSE))</f>
        <v/>
      </c>
      <c r="V27" s="148">
        <v>5</v>
      </c>
      <c r="W27" s="132">
        <f t="shared" si="2"/>
        <v>34.799999999999997</v>
      </c>
      <c r="X27" s="133">
        <v>7.1</v>
      </c>
      <c r="Y27" s="133">
        <v>10</v>
      </c>
      <c r="Z27" s="133">
        <v>5.9</v>
      </c>
      <c r="AA27" s="133">
        <v>6</v>
      </c>
      <c r="AB27" s="133">
        <v>5.8</v>
      </c>
      <c r="AC27" s="101"/>
      <c r="AD27" s="101"/>
      <c r="AE27" s="101"/>
      <c r="AF27" s="101"/>
      <c r="AG27" s="134">
        <f t="shared" si="3"/>
        <v>17.7</v>
      </c>
      <c r="AH27" s="134" t="str">
        <f t="shared" si="4"/>
        <v/>
      </c>
      <c r="AI27" s="134" t="str">
        <f t="shared" si="5"/>
        <v/>
      </c>
      <c r="AJ27" s="134" t="str">
        <f t="shared" si="6"/>
        <v/>
      </c>
      <c r="AK27" s="135">
        <f t="shared" si="7"/>
        <v>32.851967032967032</v>
      </c>
      <c r="AL27" s="133">
        <v>5.093461538461538</v>
      </c>
      <c r="AM27" s="133">
        <v>11.198021978021979</v>
      </c>
      <c r="AN27" s="133">
        <v>3.9765714285714284</v>
      </c>
      <c r="AO27" s="133">
        <v>7.0381208791208785</v>
      </c>
      <c r="AP27" s="133">
        <v>5.5457912087912096</v>
      </c>
      <c r="AQ27" s="101"/>
      <c r="AR27" s="101"/>
      <c r="AS27" s="101"/>
      <c r="AT27" s="101"/>
      <c r="AU27" s="134">
        <f t="shared" si="8"/>
        <v>16.560483516483515</v>
      </c>
      <c r="AV27" s="134" t="str">
        <f t="shared" si="9"/>
        <v/>
      </c>
      <c r="AW27" s="134"/>
      <c r="AX27" s="134"/>
      <c r="AY27" s="136">
        <f t="shared" si="26"/>
        <v>-5.5977958822786361E-2</v>
      </c>
      <c r="AZ27" s="136">
        <f t="shared" si="27"/>
        <v>-0.2826110509209101</v>
      </c>
      <c r="BA27" s="136">
        <f t="shared" si="28"/>
        <v>0.11980219780219788</v>
      </c>
      <c r="BB27" s="136">
        <f t="shared" si="29"/>
        <v>-0.32600484261501217</v>
      </c>
      <c r="BC27" s="136">
        <f t="shared" si="30"/>
        <v>0.17302014652014641</v>
      </c>
      <c r="BD27" s="136">
        <f t="shared" si="31"/>
        <v>-4.3829101932550046E-2</v>
      </c>
      <c r="BE27" s="136" t="str">
        <f t="shared" si="32"/>
        <v/>
      </c>
      <c r="BF27" s="136" t="str">
        <f t="shared" si="33"/>
        <v/>
      </c>
      <c r="BG27" s="136" t="str">
        <f t="shared" si="34"/>
        <v/>
      </c>
      <c r="BH27" s="136" t="str">
        <f t="shared" si="35"/>
        <v/>
      </c>
      <c r="BI27" s="136">
        <f t="shared" si="36"/>
        <v>-6.4379462345564076E-2</v>
      </c>
      <c r="BJ27" s="136" t="str">
        <f t="shared" si="37"/>
        <v/>
      </c>
      <c r="BK27" s="136" t="str">
        <f t="shared" si="38"/>
        <v/>
      </c>
      <c r="BL27" s="136" t="str">
        <f t="shared" si="39"/>
        <v/>
      </c>
    </row>
    <row r="28" spans="1:78" s="85" customFormat="1" ht="12.75">
      <c r="A28" s="148" t="s">
        <v>226</v>
      </c>
      <c r="B28" s="128" t="s">
        <v>262</v>
      </c>
      <c r="C28" s="139"/>
      <c r="D28" s="125">
        <v>0.61944444444444446</v>
      </c>
      <c r="E28" s="140">
        <v>43.49736</v>
      </c>
      <c r="F28" s="137"/>
      <c r="G28" s="137"/>
      <c r="H28" s="131"/>
      <c r="I28" s="149" t="s">
        <v>94</v>
      </c>
      <c r="J28" s="128">
        <f>IF(ISERROR(VLOOKUP(I28,Max_Load_France!$B$2:$C$102,2,FALSE)/1000),"",VLOOKUP(I28,Max_Load_France!$B$2:$C$102,2,FALSE)/1000)</f>
        <v>40</v>
      </c>
      <c r="K28" s="129"/>
      <c r="L28" s="130">
        <f t="shared" si="0"/>
        <v>0.97499999999999998</v>
      </c>
      <c r="M28" s="131">
        <f>IF(VLOOKUP($I28,Max_Load_France!$B$2:$M$102,3,FALSE)="","",VLOOKUP($I28,Max_Load_France!$B$2:$M$102,3,FALSE))</f>
        <v>0</v>
      </c>
      <c r="N28" s="131">
        <f>IF(VLOOKUP($I28,Max_Load_France!$B$2:$M$102,4,FALSE)="","",VLOOKUP($I28,Max_Load_France!$B$2:$M$102,4,FALSE))</f>
        <v>0</v>
      </c>
      <c r="O28" s="131">
        <f>IF(VLOOKUP($I28,Max_Load_France!$B$2:$M$102,5,FALSE)="","",VLOOKUP($I28,Max_Load_France!$B$2:$M$102,5,FALSE))</f>
        <v>1</v>
      </c>
      <c r="P28" s="131">
        <f>IF(VLOOKUP($I28,Max_Load_France!$B$2:$M$102,6,FALSE)="","",VLOOKUP($I28,Max_Load_France!$B$2:$M$102,6,FALSE))</f>
        <v>1</v>
      </c>
      <c r="Q28" s="131">
        <f>IF(VLOOKUP($I28,Max_Load_France!$B$2:$M$102,7,FALSE)="","",VLOOKUP($I28,Max_Load_France!$B$2:$M$102,7,FALSE))</f>
        <v>1</v>
      </c>
      <c r="R28" s="131" t="str">
        <f>IF(VLOOKUP($I28,Max_Load_France!$B$2:$M$102,8,FALSE)="","",VLOOKUP($I28,Max_Load_France!$B$2:$M$102,8,FALSE))</f>
        <v/>
      </c>
      <c r="S28" s="131" t="str">
        <f>IF(VLOOKUP($I28,Max_Load_France!$B$2:$M$102,9,FALSE)="","",VLOOKUP($I28,Max_Load_France!$B$2:$M$102,9,FALSE))</f>
        <v/>
      </c>
      <c r="T28" s="131" t="str">
        <f>IF(VLOOKUP($I28,Max_Load_France!$B$2:$M$102,10,FALSE)="","",VLOOKUP($I28,Max_Load_France!$B$2:$M$102,10,FALSE))</f>
        <v/>
      </c>
      <c r="U28" s="131" t="str">
        <f>IF(VLOOKUP($I28,Max_Load_France!$B$2:$M$102,11,FALSE)="","",VLOOKUP($I28,Max_Load_France!$B$2:$M$102,11,FALSE))</f>
        <v/>
      </c>
      <c r="V28" s="148">
        <v>5</v>
      </c>
      <c r="W28" s="132">
        <f t="shared" si="2"/>
        <v>39</v>
      </c>
      <c r="X28" s="133">
        <v>6.9</v>
      </c>
      <c r="Y28" s="133">
        <v>12.2</v>
      </c>
      <c r="Z28" s="133">
        <v>6.1</v>
      </c>
      <c r="AA28" s="133">
        <v>6.4</v>
      </c>
      <c r="AB28" s="133">
        <v>7.4</v>
      </c>
      <c r="AC28" s="101"/>
      <c r="AD28" s="101"/>
      <c r="AE28" s="101"/>
      <c r="AF28" s="101"/>
      <c r="AG28" s="134">
        <f t="shared" si="3"/>
        <v>19.899999999999999</v>
      </c>
      <c r="AH28" s="134" t="str">
        <f t="shared" si="4"/>
        <v/>
      </c>
      <c r="AI28" s="134" t="str">
        <f t="shared" si="5"/>
        <v/>
      </c>
      <c r="AJ28" s="134" t="str">
        <f t="shared" si="6"/>
        <v/>
      </c>
      <c r="AK28" s="135">
        <f t="shared" si="7"/>
        <v>53.165318681318681</v>
      </c>
      <c r="AL28" s="133">
        <v>11.881868131868133</v>
      </c>
      <c r="AM28" s="133">
        <v>17.422087912087914</v>
      </c>
      <c r="AN28" s="133">
        <v>7.1468021978021978</v>
      </c>
      <c r="AO28" s="133">
        <v>6.2016373626373626</v>
      </c>
      <c r="AP28" s="133">
        <v>10.512923076923077</v>
      </c>
      <c r="AQ28" s="101"/>
      <c r="AR28" s="101"/>
      <c r="AS28" s="101"/>
      <c r="AT28" s="101"/>
      <c r="AU28" s="134">
        <f t="shared" si="8"/>
        <v>23.861362637362639</v>
      </c>
      <c r="AV28" s="134" t="str">
        <f t="shared" si="9"/>
        <v/>
      </c>
      <c r="AW28" s="134"/>
      <c r="AX28" s="134"/>
      <c r="AY28" s="136">
        <f t="shared" si="26"/>
        <v>0.36321329952099179</v>
      </c>
      <c r="AZ28" s="136">
        <f t="shared" si="27"/>
        <v>0.72200987418378737</v>
      </c>
      <c r="BA28" s="136">
        <f t="shared" si="28"/>
        <v>0.42803999279409138</v>
      </c>
      <c r="BB28" s="136">
        <f t="shared" si="29"/>
        <v>0.1716069176724915</v>
      </c>
      <c r="BC28" s="136">
        <f t="shared" si="30"/>
        <v>-3.0994162087912142E-2</v>
      </c>
      <c r="BD28" s="136">
        <f t="shared" si="31"/>
        <v>0.42066528066528053</v>
      </c>
      <c r="BE28" s="136" t="str">
        <f t="shared" si="32"/>
        <v/>
      </c>
      <c r="BF28" s="136" t="str">
        <f t="shared" si="33"/>
        <v/>
      </c>
      <c r="BG28" s="136" t="str">
        <f t="shared" si="34"/>
        <v/>
      </c>
      <c r="BH28" s="136" t="str">
        <f t="shared" si="35"/>
        <v/>
      </c>
      <c r="BI28" s="136">
        <f t="shared" si="36"/>
        <v>0.19906344911370052</v>
      </c>
      <c r="BJ28" s="136" t="str">
        <f t="shared" si="37"/>
        <v/>
      </c>
      <c r="BK28" s="136" t="str">
        <f t="shared" si="38"/>
        <v/>
      </c>
      <c r="BL28" s="136" t="str">
        <f t="shared" si="39"/>
        <v/>
      </c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</row>
    <row r="29" spans="1:78" s="85" customFormat="1" ht="12.75">
      <c r="A29" s="148" t="s">
        <v>227</v>
      </c>
      <c r="B29" s="128" t="s">
        <v>263</v>
      </c>
      <c r="C29" s="139"/>
      <c r="D29" s="125">
        <v>0.62430555555555556</v>
      </c>
      <c r="E29" s="140">
        <v>43.755479999999999</v>
      </c>
      <c r="F29" s="137"/>
      <c r="G29" s="137"/>
      <c r="H29" s="131"/>
      <c r="I29" s="149" t="s">
        <v>94</v>
      </c>
      <c r="J29" s="128">
        <f>IF(ISERROR(VLOOKUP(I29,Max_Load_France!$B$2:$C$102,2,FALSE)/1000),"",VLOOKUP(I29,Max_Load_France!$B$2:$C$102,2,FALSE)/1000)</f>
        <v>40</v>
      </c>
      <c r="K29" s="129"/>
      <c r="L29" s="130">
        <f t="shared" si="0"/>
        <v>1.0450000000000002</v>
      </c>
      <c r="M29" s="131">
        <f>IF(VLOOKUP($I29,Max_Load_France!$B$2:$M$102,3,FALSE)="","",VLOOKUP($I29,Max_Load_France!$B$2:$M$102,3,FALSE))</f>
        <v>0</v>
      </c>
      <c r="N29" s="131">
        <f>IF(VLOOKUP($I29,Max_Load_France!$B$2:$M$102,4,FALSE)="","",VLOOKUP($I29,Max_Load_France!$B$2:$M$102,4,FALSE))</f>
        <v>0</v>
      </c>
      <c r="O29" s="131">
        <f>IF(VLOOKUP($I29,Max_Load_France!$B$2:$M$102,5,FALSE)="","",VLOOKUP($I29,Max_Load_France!$B$2:$M$102,5,FALSE))</f>
        <v>1</v>
      </c>
      <c r="P29" s="131">
        <f>IF(VLOOKUP($I29,Max_Load_France!$B$2:$M$102,6,FALSE)="","",VLOOKUP($I29,Max_Load_France!$B$2:$M$102,6,FALSE))</f>
        <v>1</v>
      </c>
      <c r="Q29" s="131">
        <f>IF(VLOOKUP($I29,Max_Load_France!$B$2:$M$102,7,FALSE)="","",VLOOKUP($I29,Max_Load_France!$B$2:$M$102,7,FALSE))</f>
        <v>1</v>
      </c>
      <c r="R29" s="131" t="str">
        <f>IF(VLOOKUP($I29,Max_Load_France!$B$2:$M$102,8,FALSE)="","",VLOOKUP($I29,Max_Load_France!$B$2:$M$102,8,FALSE))</f>
        <v/>
      </c>
      <c r="S29" s="131" t="str">
        <f>IF(VLOOKUP($I29,Max_Load_France!$B$2:$M$102,9,FALSE)="","",VLOOKUP($I29,Max_Load_France!$B$2:$M$102,9,FALSE))</f>
        <v/>
      </c>
      <c r="T29" s="131" t="str">
        <f>IF(VLOOKUP($I29,Max_Load_France!$B$2:$M$102,10,FALSE)="","",VLOOKUP($I29,Max_Load_France!$B$2:$M$102,10,FALSE))</f>
        <v/>
      </c>
      <c r="U29" s="131" t="str">
        <f>IF(VLOOKUP($I29,Max_Load_France!$B$2:$M$102,11,FALSE)="","",VLOOKUP($I29,Max_Load_France!$B$2:$M$102,11,FALSE))</f>
        <v/>
      </c>
      <c r="V29" s="148">
        <v>5</v>
      </c>
      <c r="W29" s="132">
        <f t="shared" si="2"/>
        <v>41.800000000000004</v>
      </c>
      <c r="X29" s="133">
        <v>6.3</v>
      </c>
      <c r="Y29" s="133">
        <v>12.7</v>
      </c>
      <c r="Z29" s="133">
        <v>7.2</v>
      </c>
      <c r="AA29" s="133">
        <v>7.9</v>
      </c>
      <c r="AB29" s="133">
        <v>7.7</v>
      </c>
      <c r="AC29" s="101"/>
      <c r="AD29" s="101"/>
      <c r="AE29" s="101"/>
      <c r="AF29" s="101"/>
      <c r="AG29" s="134">
        <f t="shared" si="3"/>
        <v>22.8</v>
      </c>
      <c r="AH29" s="134" t="str">
        <f t="shared" si="4"/>
        <v/>
      </c>
      <c r="AI29" s="134" t="str">
        <f t="shared" si="5"/>
        <v/>
      </c>
      <c r="AJ29" s="134" t="str">
        <f t="shared" si="6"/>
        <v/>
      </c>
      <c r="AK29" s="135">
        <f t="shared" si="7"/>
        <v>40.063406593406597</v>
      </c>
      <c r="AL29" s="133">
        <v>4.2909670329670337</v>
      </c>
      <c r="AM29" s="133">
        <v>10.72678021978022</v>
      </c>
      <c r="AN29" s="133">
        <v>7.2014065934065927</v>
      </c>
      <c r="AO29" s="133">
        <v>7.4999560439560442</v>
      </c>
      <c r="AP29" s="133">
        <v>10.344296703296704</v>
      </c>
      <c r="AQ29" s="101"/>
      <c r="AR29" s="101"/>
      <c r="AS29" s="101"/>
      <c r="AT29" s="101"/>
      <c r="AU29" s="134">
        <f t="shared" si="8"/>
        <v>25.045659340659341</v>
      </c>
      <c r="AV29" s="134" t="str">
        <f t="shared" si="9"/>
        <v/>
      </c>
      <c r="AW29" s="134"/>
      <c r="AX29" s="134"/>
      <c r="AY29" s="136">
        <f t="shared" si="26"/>
        <v>-4.1545296808454708E-2</v>
      </c>
      <c r="AZ29" s="136">
        <f t="shared" si="27"/>
        <v>-0.31889412175126447</v>
      </c>
      <c r="BA29" s="136">
        <f t="shared" si="28"/>
        <v>-0.15537163623777786</v>
      </c>
      <c r="BB29" s="136">
        <f t="shared" si="29"/>
        <v>1.9536019536007623E-4</v>
      </c>
      <c r="BC29" s="136">
        <f t="shared" si="30"/>
        <v>-5.063847544860204E-2</v>
      </c>
      <c r="BD29" s="136">
        <f t="shared" si="31"/>
        <v>0.34341515627229924</v>
      </c>
      <c r="BE29" s="136" t="str">
        <f t="shared" si="32"/>
        <v/>
      </c>
      <c r="BF29" s="136" t="str">
        <f t="shared" si="33"/>
        <v/>
      </c>
      <c r="BG29" s="136" t="str">
        <f t="shared" si="34"/>
        <v/>
      </c>
      <c r="BH29" s="136" t="str">
        <f t="shared" si="35"/>
        <v/>
      </c>
      <c r="BI29" s="136">
        <f t="shared" si="36"/>
        <v>9.8493830730672832E-2</v>
      </c>
      <c r="BJ29" s="136" t="str">
        <f t="shared" si="37"/>
        <v/>
      </c>
      <c r="BK29" s="136" t="str">
        <f t="shared" si="38"/>
        <v/>
      </c>
      <c r="BL29" s="136" t="str">
        <f t="shared" si="39"/>
        <v/>
      </c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</row>
    <row r="30" spans="1:78" s="85" customFormat="1" ht="12.75">
      <c r="A30" s="148" t="s">
        <v>228</v>
      </c>
      <c r="B30" s="128" t="s">
        <v>264</v>
      </c>
      <c r="C30" s="139"/>
      <c r="D30" s="141">
        <v>0.62708333333333333</v>
      </c>
      <c r="E30" s="140">
        <v>56.496600000000001</v>
      </c>
      <c r="F30" s="129"/>
      <c r="G30" s="129"/>
      <c r="H30" s="131"/>
      <c r="I30" s="149" t="s">
        <v>94</v>
      </c>
      <c r="J30" s="128">
        <f>IF(ISERROR(VLOOKUP(I30,Max_Load_France!$B$2:$C$102,2,FALSE)/1000),"",VLOOKUP(I30,Max_Load_France!$B$2:$C$102,2,FALSE)/1000)</f>
        <v>40</v>
      </c>
      <c r="K30" s="129"/>
      <c r="L30" s="130">
        <f t="shared" si="0"/>
        <v>1.0899999999999999</v>
      </c>
      <c r="M30" s="131">
        <f>IF(VLOOKUP($I30,Max_Load_France!$B$2:$M$102,3,FALSE)="","",VLOOKUP($I30,Max_Load_France!$B$2:$M$102,3,FALSE))</f>
        <v>0</v>
      </c>
      <c r="N30" s="131">
        <f>IF(VLOOKUP($I30,Max_Load_France!$B$2:$M$102,4,FALSE)="","",VLOOKUP($I30,Max_Load_France!$B$2:$M$102,4,FALSE))</f>
        <v>0</v>
      </c>
      <c r="O30" s="131">
        <f>IF(VLOOKUP($I30,Max_Load_France!$B$2:$M$102,5,FALSE)="","",VLOOKUP($I30,Max_Load_France!$B$2:$M$102,5,FALSE))</f>
        <v>1</v>
      </c>
      <c r="P30" s="131">
        <f>IF(VLOOKUP($I30,Max_Load_France!$B$2:$M$102,6,FALSE)="","",VLOOKUP($I30,Max_Load_France!$B$2:$M$102,6,FALSE))</f>
        <v>1</v>
      </c>
      <c r="Q30" s="131">
        <f>IF(VLOOKUP($I30,Max_Load_France!$B$2:$M$102,7,FALSE)="","",VLOOKUP($I30,Max_Load_France!$B$2:$M$102,7,FALSE))</f>
        <v>1</v>
      </c>
      <c r="R30" s="131" t="str">
        <f>IF(VLOOKUP($I30,Max_Load_France!$B$2:$M$102,8,FALSE)="","",VLOOKUP($I30,Max_Load_France!$B$2:$M$102,8,FALSE))</f>
        <v/>
      </c>
      <c r="S30" s="131" t="str">
        <f>IF(VLOOKUP($I30,Max_Load_France!$B$2:$M$102,9,FALSE)="","",VLOOKUP($I30,Max_Load_France!$B$2:$M$102,9,FALSE))</f>
        <v/>
      </c>
      <c r="T30" s="131" t="str">
        <f>IF(VLOOKUP($I30,Max_Load_France!$B$2:$M$102,10,FALSE)="","",VLOOKUP($I30,Max_Load_France!$B$2:$M$102,10,FALSE))</f>
        <v/>
      </c>
      <c r="U30" s="131" t="str">
        <f>IF(VLOOKUP($I30,Max_Load_France!$B$2:$M$102,11,FALSE)="","",VLOOKUP($I30,Max_Load_France!$B$2:$M$102,11,FALSE))</f>
        <v/>
      </c>
      <c r="V30" s="148">
        <v>5</v>
      </c>
      <c r="W30" s="132">
        <f t="shared" si="2"/>
        <v>43.599999999999994</v>
      </c>
      <c r="X30" s="142">
        <v>7.2</v>
      </c>
      <c r="Y30" s="142">
        <v>12.2</v>
      </c>
      <c r="Z30" s="142">
        <v>8.1999999999999993</v>
      </c>
      <c r="AA30" s="142">
        <v>8.1</v>
      </c>
      <c r="AB30" s="142">
        <v>7.9</v>
      </c>
      <c r="AC30" s="142"/>
      <c r="AD30" s="142"/>
      <c r="AE30" s="142"/>
      <c r="AF30" s="142"/>
      <c r="AG30" s="134">
        <f t="shared" si="3"/>
        <v>24.199999999999996</v>
      </c>
      <c r="AH30" s="134" t="str">
        <f t="shared" si="4"/>
        <v/>
      </c>
      <c r="AI30" s="134" t="str">
        <f t="shared" si="5"/>
        <v/>
      </c>
      <c r="AJ30" s="134" t="str">
        <f t="shared" si="6"/>
        <v/>
      </c>
      <c r="AK30" s="135">
        <f t="shared" si="7"/>
        <v>46.273384615384614</v>
      </c>
      <c r="AL30" s="143">
        <v>5.835637362637363</v>
      </c>
      <c r="AM30" s="143">
        <v>15.032857142857145</v>
      </c>
      <c r="AN30" s="143">
        <v>8.3672417582417591</v>
      </c>
      <c r="AO30" s="143">
        <v>7.3908791208791218</v>
      </c>
      <c r="AP30" s="143">
        <v>9.6467692307692321</v>
      </c>
      <c r="AQ30" s="143"/>
      <c r="AR30" s="143"/>
      <c r="AS30" s="143"/>
      <c r="AT30" s="143"/>
      <c r="AU30" s="134">
        <f t="shared" si="8"/>
        <v>25.404890109890111</v>
      </c>
      <c r="AV30" s="134" t="str">
        <f t="shared" si="9"/>
        <v/>
      </c>
      <c r="AW30" s="134"/>
      <c r="AX30" s="134"/>
      <c r="AY30" s="136">
        <f t="shared" si="26"/>
        <v>6.1316160903316985E-2</v>
      </c>
      <c r="AZ30" s="136">
        <f t="shared" si="27"/>
        <v>-0.18949481074481073</v>
      </c>
      <c r="BA30" s="136">
        <f t="shared" si="28"/>
        <v>0.23220140515222504</v>
      </c>
      <c r="BB30" s="136">
        <f t="shared" si="29"/>
        <v>2.0395336370946319E-2</v>
      </c>
      <c r="BC30" s="136">
        <f t="shared" si="30"/>
        <v>-8.7545787545787387E-2</v>
      </c>
      <c r="BD30" s="136">
        <f t="shared" si="31"/>
        <v>0.22111002921129513</v>
      </c>
      <c r="BE30" s="136" t="str">
        <f t="shared" si="32"/>
        <v/>
      </c>
      <c r="BF30" s="136" t="str">
        <f t="shared" si="33"/>
        <v/>
      </c>
      <c r="BG30" s="136" t="str">
        <f t="shared" si="34"/>
        <v/>
      </c>
      <c r="BH30" s="136" t="str">
        <f t="shared" si="35"/>
        <v/>
      </c>
      <c r="BI30" s="136">
        <f t="shared" si="36"/>
        <v>4.9788847516120484E-2</v>
      </c>
      <c r="BJ30" s="136" t="str">
        <f t="shared" si="37"/>
        <v/>
      </c>
      <c r="BK30" s="136" t="str">
        <f t="shared" si="38"/>
        <v/>
      </c>
      <c r="BL30" s="136" t="str">
        <f t="shared" si="39"/>
        <v/>
      </c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</row>
    <row r="31" spans="1:78" s="85" customFormat="1" ht="12.75">
      <c r="A31" s="148" t="s">
        <v>229</v>
      </c>
      <c r="B31" s="128" t="s">
        <v>265</v>
      </c>
      <c r="C31" s="139"/>
      <c r="D31" s="125">
        <v>0.62986111111111109</v>
      </c>
      <c r="E31" s="144">
        <v>59.698799999999999</v>
      </c>
      <c r="F31" s="137"/>
      <c r="G31" s="137"/>
      <c r="H31" s="131"/>
      <c r="I31" s="149" t="s">
        <v>94</v>
      </c>
      <c r="J31" s="128">
        <f>IF(ISERROR(VLOOKUP(I31,Max_Load_France!$B$2:$C$102,2,FALSE)/1000),"",VLOOKUP(I31,Max_Load_France!$B$2:$C$102,2,FALSE)/1000)</f>
        <v>40</v>
      </c>
      <c r="K31" s="129"/>
      <c r="L31" s="130">
        <f t="shared" si="0"/>
        <v>1.0024999999999999</v>
      </c>
      <c r="M31" s="131">
        <f>IF(VLOOKUP($I31,Max_Load_France!$B$2:$M$102,3,FALSE)="","",VLOOKUP($I31,Max_Load_France!$B$2:$M$102,3,FALSE))</f>
        <v>0</v>
      </c>
      <c r="N31" s="131">
        <f>IF(VLOOKUP($I31,Max_Load_France!$B$2:$M$102,4,FALSE)="","",VLOOKUP($I31,Max_Load_France!$B$2:$M$102,4,FALSE))</f>
        <v>0</v>
      </c>
      <c r="O31" s="131">
        <f>IF(VLOOKUP($I31,Max_Load_France!$B$2:$M$102,5,FALSE)="","",VLOOKUP($I31,Max_Load_France!$B$2:$M$102,5,FALSE))</f>
        <v>1</v>
      </c>
      <c r="P31" s="131">
        <f>IF(VLOOKUP($I31,Max_Load_France!$B$2:$M$102,6,FALSE)="","",VLOOKUP($I31,Max_Load_France!$B$2:$M$102,6,FALSE))</f>
        <v>1</v>
      </c>
      <c r="Q31" s="131">
        <f>IF(VLOOKUP($I31,Max_Load_France!$B$2:$M$102,7,FALSE)="","",VLOOKUP($I31,Max_Load_France!$B$2:$M$102,7,FALSE))</f>
        <v>1</v>
      </c>
      <c r="R31" s="131" t="str">
        <f>IF(VLOOKUP($I31,Max_Load_France!$B$2:$M$102,8,FALSE)="","",VLOOKUP($I31,Max_Load_France!$B$2:$M$102,8,FALSE))</f>
        <v/>
      </c>
      <c r="S31" s="131" t="str">
        <f>IF(VLOOKUP($I31,Max_Load_France!$B$2:$M$102,9,FALSE)="","",VLOOKUP($I31,Max_Load_France!$B$2:$M$102,9,FALSE))</f>
        <v/>
      </c>
      <c r="T31" s="131" t="str">
        <f>IF(VLOOKUP($I31,Max_Load_France!$B$2:$M$102,10,FALSE)="","",VLOOKUP($I31,Max_Load_France!$B$2:$M$102,10,FALSE))</f>
        <v/>
      </c>
      <c r="U31" s="131" t="str">
        <f>IF(VLOOKUP($I31,Max_Load_France!$B$2:$M$102,11,FALSE)="","",VLOOKUP($I31,Max_Load_France!$B$2:$M$102,11,FALSE))</f>
        <v/>
      </c>
      <c r="V31" s="148">
        <v>5</v>
      </c>
      <c r="W31" s="132">
        <f t="shared" si="2"/>
        <v>40.1</v>
      </c>
      <c r="X31" s="133">
        <v>6.7</v>
      </c>
      <c r="Y31" s="133">
        <v>10.199999999999999</v>
      </c>
      <c r="Z31" s="133">
        <v>7.8</v>
      </c>
      <c r="AA31" s="133">
        <v>7.7</v>
      </c>
      <c r="AB31" s="133">
        <v>7.7</v>
      </c>
      <c r="AC31" s="101"/>
      <c r="AD31" s="101"/>
      <c r="AE31" s="101"/>
      <c r="AF31" s="101"/>
      <c r="AG31" s="134">
        <f t="shared" si="3"/>
        <v>23.2</v>
      </c>
      <c r="AH31" s="134" t="str">
        <f t="shared" si="4"/>
        <v/>
      </c>
      <c r="AI31" s="134" t="str">
        <f t="shared" si="5"/>
        <v/>
      </c>
      <c r="AJ31" s="134" t="str">
        <f t="shared" si="6"/>
        <v/>
      </c>
      <c r="AK31" s="135">
        <f t="shared" si="7"/>
        <v>42.609648351648346</v>
      </c>
      <c r="AL31" s="133">
        <v>5.5816263736263734</v>
      </c>
      <c r="AM31" s="133">
        <v>12.828681318681319</v>
      </c>
      <c r="AN31" s="133">
        <v>7.4411538461538465</v>
      </c>
      <c r="AO31" s="133">
        <v>7.3840879120879119</v>
      </c>
      <c r="AP31" s="133">
        <v>9.3740989010989004</v>
      </c>
      <c r="AQ31" s="101"/>
      <c r="AR31" s="101"/>
      <c r="AS31" s="101"/>
      <c r="AT31" s="101"/>
      <c r="AU31" s="134">
        <f t="shared" si="8"/>
        <v>24.19934065934066</v>
      </c>
      <c r="AV31" s="134" t="str">
        <f t="shared" si="9"/>
        <v/>
      </c>
      <c r="AW31" s="134"/>
      <c r="AX31" s="134"/>
      <c r="AY31" s="136">
        <f t="shared" si="26"/>
        <v>6.2584746923898871E-2</v>
      </c>
      <c r="AZ31" s="136">
        <f t="shared" si="27"/>
        <v>-0.1669214367721831</v>
      </c>
      <c r="BA31" s="136">
        <f t="shared" si="28"/>
        <v>0.25771385477267844</v>
      </c>
      <c r="BB31" s="136">
        <f t="shared" si="29"/>
        <v>-4.6005917159763252E-2</v>
      </c>
      <c r="BC31" s="136">
        <f t="shared" si="30"/>
        <v>-4.1027543884686782E-2</v>
      </c>
      <c r="BD31" s="136">
        <f t="shared" si="31"/>
        <v>0.21741544170115587</v>
      </c>
      <c r="BE31" s="136" t="str">
        <f t="shared" si="32"/>
        <v/>
      </c>
      <c r="BF31" s="136" t="str">
        <f t="shared" si="33"/>
        <v/>
      </c>
      <c r="BG31" s="136" t="str">
        <f t="shared" si="34"/>
        <v/>
      </c>
      <c r="BH31" s="136" t="str">
        <f t="shared" si="35"/>
        <v/>
      </c>
      <c r="BI31" s="136">
        <f t="shared" si="36"/>
        <v>4.3075028419856054E-2</v>
      </c>
      <c r="BJ31" s="136" t="str">
        <f t="shared" si="37"/>
        <v/>
      </c>
      <c r="BK31" s="136" t="str">
        <f t="shared" si="38"/>
        <v/>
      </c>
      <c r="BL31" s="136" t="str">
        <f t="shared" si="39"/>
        <v/>
      </c>
      <c r="BM31" s="76"/>
      <c r="BN31" s="76"/>
    </row>
    <row r="32" spans="1:78" s="85" customFormat="1" ht="12.75">
      <c r="A32" s="148" t="s">
        <v>230</v>
      </c>
      <c r="B32" s="128" t="s">
        <v>266</v>
      </c>
      <c r="C32" s="139"/>
      <c r="D32" s="125">
        <v>0.6381944444444444</v>
      </c>
      <c r="E32" s="140">
        <v>60.186239999999998</v>
      </c>
      <c r="F32" s="137"/>
      <c r="G32" s="137"/>
      <c r="H32" s="131"/>
      <c r="I32" s="149" t="s">
        <v>94</v>
      </c>
      <c r="J32" s="128">
        <f>IF(ISERROR(VLOOKUP(I32,Max_Load_France!$B$2:$C$102,2,FALSE)/1000),"",VLOOKUP(I32,Max_Load_France!$B$2:$C$102,2,FALSE)/1000)</f>
        <v>40</v>
      </c>
      <c r="K32" s="129"/>
      <c r="L32" s="130">
        <f t="shared" si="0"/>
        <v>0.79500000000000004</v>
      </c>
      <c r="M32" s="131">
        <f>IF(VLOOKUP($I32,Max_Load_France!$B$2:$M$102,3,FALSE)="","",VLOOKUP($I32,Max_Load_France!$B$2:$M$102,3,FALSE))</f>
        <v>0</v>
      </c>
      <c r="N32" s="131">
        <f>IF(VLOOKUP($I32,Max_Load_France!$B$2:$M$102,4,FALSE)="","",VLOOKUP($I32,Max_Load_France!$B$2:$M$102,4,FALSE))</f>
        <v>0</v>
      </c>
      <c r="O32" s="131">
        <f>IF(VLOOKUP($I32,Max_Load_France!$B$2:$M$102,5,FALSE)="","",VLOOKUP($I32,Max_Load_France!$B$2:$M$102,5,FALSE))</f>
        <v>1</v>
      </c>
      <c r="P32" s="131">
        <f>IF(VLOOKUP($I32,Max_Load_France!$B$2:$M$102,6,FALSE)="","",VLOOKUP($I32,Max_Load_France!$B$2:$M$102,6,FALSE))</f>
        <v>1</v>
      </c>
      <c r="Q32" s="131">
        <f>IF(VLOOKUP($I32,Max_Load_France!$B$2:$M$102,7,FALSE)="","",VLOOKUP($I32,Max_Load_France!$B$2:$M$102,7,FALSE))</f>
        <v>1</v>
      </c>
      <c r="R32" s="131" t="str">
        <f>IF(VLOOKUP($I32,Max_Load_France!$B$2:$M$102,8,FALSE)="","",VLOOKUP($I32,Max_Load_France!$B$2:$M$102,8,FALSE))</f>
        <v/>
      </c>
      <c r="S32" s="131" t="str">
        <f>IF(VLOOKUP($I32,Max_Load_France!$B$2:$M$102,9,FALSE)="","",VLOOKUP($I32,Max_Load_France!$B$2:$M$102,9,FALSE))</f>
        <v/>
      </c>
      <c r="T32" s="131" t="str">
        <f>IF(VLOOKUP($I32,Max_Load_France!$B$2:$M$102,10,FALSE)="","",VLOOKUP($I32,Max_Load_France!$B$2:$M$102,10,FALSE))</f>
        <v/>
      </c>
      <c r="U32" s="131" t="str">
        <f>IF(VLOOKUP($I32,Max_Load_France!$B$2:$M$102,11,FALSE)="","",VLOOKUP($I32,Max_Load_France!$B$2:$M$102,11,FALSE))</f>
        <v/>
      </c>
      <c r="V32" s="148">
        <v>5</v>
      </c>
      <c r="W32" s="132">
        <f t="shared" si="2"/>
        <v>31.8</v>
      </c>
      <c r="X32" s="133">
        <v>7.3</v>
      </c>
      <c r="Y32" s="133">
        <v>9.9</v>
      </c>
      <c r="Z32" s="133">
        <v>5</v>
      </c>
      <c r="AA32" s="133">
        <v>4.8</v>
      </c>
      <c r="AB32" s="133">
        <v>4.8</v>
      </c>
      <c r="AC32" s="101"/>
      <c r="AD32" s="101"/>
      <c r="AE32" s="101"/>
      <c r="AF32" s="101"/>
      <c r="AG32" s="134">
        <f t="shared" si="3"/>
        <v>14.600000000000001</v>
      </c>
      <c r="AH32" s="134" t="str">
        <f t="shared" si="4"/>
        <v/>
      </c>
      <c r="AI32" s="134" t="str">
        <f t="shared" si="5"/>
        <v/>
      </c>
      <c r="AJ32" s="134" t="str">
        <f t="shared" si="6"/>
        <v/>
      </c>
      <c r="AK32" s="135">
        <f t="shared" si="7"/>
        <v>36.459879120879123</v>
      </c>
      <c r="AL32" s="133">
        <v>7.4108461538461539</v>
      </c>
      <c r="AM32" s="133">
        <v>12.738901098901101</v>
      </c>
      <c r="AN32" s="133">
        <v>6.2837472527472524</v>
      </c>
      <c r="AO32" s="133">
        <v>3.1714285714285717</v>
      </c>
      <c r="AP32" s="145">
        <v>6.8549560439560437</v>
      </c>
      <c r="AQ32" s="101"/>
      <c r="AR32" s="101"/>
      <c r="AS32" s="101"/>
      <c r="AT32" s="101"/>
      <c r="AU32" s="134">
        <f t="shared" si="8"/>
        <v>16.310131868131869</v>
      </c>
      <c r="AV32" s="134" t="str">
        <f t="shared" si="9"/>
        <v/>
      </c>
      <c r="AW32" s="134"/>
      <c r="AX32" s="134"/>
      <c r="AY32" s="136">
        <f t="shared" si="26"/>
        <v>0.14653707927292836</v>
      </c>
      <c r="AZ32" s="136">
        <f t="shared" si="27"/>
        <v>1.5184404636459458E-2</v>
      </c>
      <c r="BA32" s="136">
        <f t="shared" si="28"/>
        <v>0.28675768675768692</v>
      </c>
      <c r="BB32" s="136">
        <f t="shared" si="29"/>
        <v>0.25674945054945048</v>
      </c>
      <c r="BC32" s="136">
        <f t="shared" si="30"/>
        <v>-0.33928571428571419</v>
      </c>
      <c r="BD32" s="136">
        <f t="shared" si="31"/>
        <v>0.4281158424908425</v>
      </c>
      <c r="BE32" s="136" t="str">
        <f t="shared" si="32"/>
        <v/>
      </c>
      <c r="BF32" s="136" t="str">
        <f t="shared" si="33"/>
        <v/>
      </c>
      <c r="BG32" s="136" t="str">
        <f t="shared" si="34"/>
        <v/>
      </c>
      <c r="BH32" s="136" t="str">
        <f t="shared" si="35"/>
        <v/>
      </c>
      <c r="BI32" s="136">
        <f t="shared" si="36"/>
        <v>0.1171323197350594</v>
      </c>
      <c r="BJ32" s="136" t="str">
        <f t="shared" si="37"/>
        <v/>
      </c>
      <c r="BK32" s="136" t="str">
        <f t="shared" si="38"/>
        <v/>
      </c>
      <c r="BL32" s="136" t="str">
        <f t="shared" si="39"/>
        <v/>
      </c>
      <c r="BM32" s="76"/>
      <c r="BN32" s="76"/>
    </row>
    <row r="33" spans="1:66" s="85" customFormat="1" ht="12.75">
      <c r="A33" s="148" t="s">
        <v>231</v>
      </c>
      <c r="B33" s="128" t="s">
        <v>267</v>
      </c>
      <c r="C33" s="139"/>
      <c r="D33" s="125">
        <v>0.64027777777777783</v>
      </c>
      <c r="E33" s="140">
        <v>77.201999999999998</v>
      </c>
      <c r="F33" s="137"/>
      <c r="G33" s="137"/>
      <c r="H33" s="131"/>
      <c r="I33" s="149" t="s">
        <v>94</v>
      </c>
      <c r="J33" s="128">
        <f>IF(ISERROR(VLOOKUP(I33,Max_Load_France!$B$2:$C$102,2,FALSE)/1000),"",VLOOKUP(I33,Max_Load_France!$B$2:$C$102,2,FALSE)/1000)</f>
        <v>40</v>
      </c>
      <c r="K33" s="129"/>
      <c r="L33" s="130">
        <f t="shared" si="0"/>
        <v>0.36</v>
      </c>
      <c r="M33" s="131">
        <f>IF(VLOOKUP($I33,Max_Load_France!$B$2:$M$102,3,FALSE)="","",VLOOKUP($I33,Max_Load_France!$B$2:$M$102,3,FALSE))</f>
        <v>0</v>
      </c>
      <c r="N33" s="131">
        <f>IF(VLOOKUP($I33,Max_Load_France!$B$2:$M$102,4,FALSE)="","",VLOOKUP($I33,Max_Load_France!$B$2:$M$102,4,FALSE))</f>
        <v>0</v>
      </c>
      <c r="O33" s="131">
        <f>IF(VLOOKUP($I33,Max_Load_France!$B$2:$M$102,5,FALSE)="","",VLOOKUP($I33,Max_Load_France!$B$2:$M$102,5,FALSE))</f>
        <v>1</v>
      </c>
      <c r="P33" s="131">
        <f>IF(VLOOKUP($I33,Max_Load_France!$B$2:$M$102,6,FALSE)="","",VLOOKUP($I33,Max_Load_France!$B$2:$M$102,6,FALSE))</f>
        <v>1</v>
      </c>
      <c r="Q33" s="131">
        <f>IF(VLOOKUP($I33,Max_Load_France!$B$2:$M$102,7,FALSE)="","",VLOOKUP($I33,Max_Load_France!$B$2:$M$102,7,FALSE))</f>
        <v>1</v>
      </c>
      <c r="R33" s="131" t="str">
        <f>IF(VLOOKUP($I33,Max_Load_France!$B$2:$M$102,8,FALSE)="","",VLOOKUP($I33,Max_Load_France!$B$2:$M$102,8,FALSE))</f>
        <v/>
      </c>
      <c r="S33" s="131" t="str">
        <f>IF(VLOOKUP($I33,Max_Load_France!$B$2:$M$102,9,FALSE)="","",VLOOKUP($I33,Max_Load_France!$B$2:$M$102,9,FALSE))</f>
        <v/>
      </c>
      <c r="T33" s="131" t="str">
        <f>IF(VLOOKUP($I33,Max_Load_France!$B$2:$M$102,10,FALSE)="","",VLOOKUP($I33,Max_Load_France!$B$2:$M$102,10,FALSE))</f>
        <v/>
      </c>
      <c r="U33" s="131" t="str">
        <f>IF(VLOOKUP($I33,Max_Load_France!$B$2:$M$102,11,FALSE)="","",VLOOKUP($I33,Max_Load_France!$B$2:$M$102,11,FALSE))</f>
        <v/>
      </c>
      <c r="V33" s="148">
        <v>5</v>
      </c>
      <c r="W33" s="132">
        <f t="shared" si="2"/>
        <v>14.399999999999999</v>
      </c>
      <c r="X33" s="133">
        <v>5.9</v>
      </c>
      <c r="Y33" s="133">
        <v>3.4</v>
      </c>
      <c r="Z33" s="133">
        <v>1.7</v>
      </c>
      <c r="AA33" s="133">
        <v>1.7</v>
      </c>
      <c r="AB33" s="133">
        <v>1.7</v>
      </c>
      <c r="AC33" s="101"/>
      <c r="AD33" s="101"/>
      <c r="AE33" s="101"/>
      <c r="AF33" s="101"/>
      <c r="AG33" s="134">
        <f t="shared" si="3"/>
        <v>5.0999999999999996</v>
      </c>
      <c r="AH33" s="134" t="str">
        <f t="shared" si="4"/>
        <v/>
      </c>
      <c r="AI33" s="134" t="str">
        <f t="shared" si="5"/>
        <v/>
      </c>
      <c r="AJ33" s="134" t="str">
        <f t="shared" si="6"/>
        <v/>
      </c>
      <c r="AK33" s="135">
        <f t="shared" si="7"/>
        <v>16.91354945054945</v>
      </c>
      <c r="AL33" s="133">
        <v>6.4915384615384619</v>
      </c>
      <c r="AM33" s="133">
        <v>5.325736263736264</v>
      </c>
      <c r="AN33" s="133">
        <v>1.5292747252747252</v>
      </c>
      <c r="AO33" s="133">
        <v>1.8163406593406595</v>
      </c>
      <c r="AP33" s="133">
        <v>1.7506593406593407</v>
      </c>
      <c r="AQ33" s="101"/>
      <c r="AR33" s="101"/>
      <c r="AS33" s="101"/>
      <c r="AT33" s="101"/>
      <c r="AU33" s="134">
        <f t="shared" si="8"/>
        <v>5.0962747252747249</v>
      </c>
      <c r="AV33" s="134" t="str">
        <f t="shared" si="9"/>
        <v/>
      </c>
      <c r="AW33" s="134"/>
      <c r="AX33" s="134"/>
      <c r="AY33" s="136">
        <f t="shared" si="26"/>
        <v>0.17455204517704526</v>
      </c>
      <c r="AZ33" s="136">
        <f t="shared" si="27"/>
        <v>0.10026075619295959</v>
      </c>
      <c r="BA33" s="136">
        <f t="shared" si="28"/>
        <v>0.56639301874596004</v>
      </c>
      <c r="BB33" s="136">
        <f t="shared" si="29"/>
        <v>-0.1004266321913381</v>
      </c>
      <c r="BC33" s="136">
        <f t="shared" si="30"/>
        <v>6.8435681965093836E-2</v>
      </c>
      <c r="BD33" s="136">
        <f t="shared" si="31"/>
        <v>2.9799612152553379E-2</v>
      </c>
      <c r="BE33" s="136" t="str">
        <f t="shared" si="32"/>
        <v/>
      </c>
      <c r="BF33" s="136" t="str">
        <f t="shared" si="33"/>
        <v/>
      </c>
      <c r="BG33" s="136" t="str">
        <f t="shared" si="34"/>
        <v/>
      </c>
      <c r="BH33" s="136" t="str">
        <f t="shared" si="35"/>
        <v/>
      </c>
      <c r="BI33" s="136">
        <f t="shared" si="36"/>
        <v>-7.3044602456367254E-4</v>
      </c>
      <c r="BJ33" s="136" t="str">
        <f t="shared" si="37"/>
        <v/>
      </c>
      <c r="BK33" s="136" t="str">
        <f t="shared" si="38"/>
        <v/>
      </c>
      <c r="BL33" s="136" t="str">
        <f t="shared" si="39"/>
        <v/>
      </c>
      <c r="BM33" s="76"/>
      <c r="BN33" s="76"/>
    </row>
    <row r="34" spans="1:66" s="85" customFormat="1" ht="12.75">
      <c r="A34" s="148" t="s">
        <v>232</v>
      </c>
      <c r="B34" s="128" t="s">
        <v>268</v>
      </c>
      <c r="C34" s="139"/>
      <c r="D34" s="125">
        <v>0.64444444444444449</v>
      </c>
      <c r="E34" s="140">
        <v>63.833760000000005</v>
      </c>
      <c r="F34" s="137"/>
      <c r="G34" s="137"/>
      <c r="H34" s="131"/>
      <c r="I34" s="149" t="s">
        <v>94</v>
      </c>
      <c r="J34" s="128">
        <f>IF(ISERROR(VLOOKUP(I34,Max_Load_France!$B$2:$C$102,2,FALSE)/1000),"",VLOOKUP(I34,Max_Load_France!$B$2:$C$102,2,FALSE)/1000)</f>
        <v>40</v>
      </c>
      <c r="K34" s="129"/>
      <c r="L34" s="130">
        <f t="shared" si="0"/>
        <v>0.91249999999999998</v>
      </c>
      <c r="M34" s="131">
        <f>IF(VLOOKUP($I34,Max_Load_France!$B$2:$M$102,3,FALSE)="","",VLOOKUP($I34,Max_Load_France!$B$2:$M$102,3,FALSE))</f>
        <v>0</v>
      </c>
      <c r="N34" s="131">
        <f>IF(VLOOKUP($I34,Max_Load_France!$B$2:$M$102,4,FALSE)="","",VLOOKUP($I34,Max_Load_France!$B$2:$M$102,4,FALSE))</f>
        <v>0</v>
      </c>
      <c r="O34" s="131">
        <f>IF(VLOOKUP($I34,Max_Load_France!$B$2:$M$102,5,FALSE)="","",VLOOKUP($I34,Max_Load_France!$B$2:$M$102,5,FALSE))</f>
        <v>1</v>
      </c>
      <c r="P34" s="131">
        <f>IF(VLOOKUP($I34,Max_Load_France!$B$2:$M$102,6,FALSE)="","",VLOOKUP($I34,Max_Load_France!$B$2:$M$102,6,FALSE))</f>
        <v>1</v>
      </c>
      <c r="Q34" s="131">
        <f>IF(VLOOKUP($I34,Max_Load_France!$B$2:$M$102,7,FALSE)="","",VLOOKUP($I34,Max_Load_France!$B$2:$M$102,7,FALSE))</f>
        <v>1</v>
      </c>
      <c r="R34" s="131" t="str">
        <f>IF(VLOOKUP($I34,Max_Load_France!$B$2:$M$102,8,FALSE)="","",VLOOKUP($I34,Max_Load_France!$B$2:$M$102,8,FALSE))</f>
        <v/>
      </c>
      <c r="S34" s="131" t="str">
        <f>IF(VLOOKUP($I34,Max_Load_France!$B$2:$M$102,9,FALSE)="","",VLOOKUP($I34,Max_Load_France!$B$2:$M$102,9,FALSE))</f>
        <v/>
      </c>
      <c r="T34" s="131" t="str">
        <f>IF(VLOOKUP($I34,Max_Load_France!$B$2:$M$102,10,FALSE)="","",VLOOKUP($I34,Max_Load_France!$B$2:$M$102,10,FALSE))</f>
        <v/>
      </c>
      <c r="U34" s="131" t="str">
        <f>IF(VLOOKUP($I34,Max_Load_France!$B$2:$M$102,11,FALSE)="","",VLOOKUP($I34,Max_Load_France!$B$2:$M$102,11,FALSE))</f>
        <v/>
      </c>
      <c r="V34" s="148">
        <v>5</v>
      </c>
      <c r="W34" s="132">
        <f t="shared" si="2"/>
        <v>36.5</v>
      </c>
      <c r="X34" s="133">
        <v>6</v>
      </c>
      <c r="Y34" s="133">
        <v>10.7</v>
      </c>
      <c r="Z34" s="133">
        <v>6.6</v>
      </c>
      <c r="AA34" s="133">
        <v>6.6</v>
      </c>
      <c r="AB34" s="133">
        <v>6.6</v>
      </c>
      <c r="AC34" s="101"/>
      <c r="AD34" s="101"/>
      <c r="AE34" s="101"/>
      <c r="AF34" s="101"/>
      <c r="AG34" s="134">
        <f t="shared" si="3"/>
        <v>19.799999999999997</v>
      </c>
      <c r="AH34" s="134" t="str">
        <f t="shared" si="4"/>
        <v/>
      </c>
      <c r="AI34" s="134" t="str">
        <f t="shared" si="5"/>
        <v/>
      </c>
      <c r="AJ34" s="134" t="str">
        <f t="shared" si="6"/>
        <v/>
      </c>
      <c r="AK34" s="135">
        <f t="shared" si="7"/>
        <v>33.684494505494506</v>
      </c>
      <c r="AL34" s="133">
        <v>3.7069560439560441</v>
      </c>
      <c r="AM34" s="133">
        <v>11.276593406593408</v>
      </c>
      <c r="AN34" s="133">
        <v>4.8327912087912086</v>
      </c>
      <c r="AO34" s="133">
        <v>7.1643186813186821</v>
      </c>
      <c r="AP34" s="133">
        <v>6.7038351648351648</v>
      </c>
      <c r="AQ34" s="101"/>
      <c r="AR34" s="101"/>
      <c r="AS34" s="101"/>
      <c r="AT34" s="101"/>
      <c r="AU34" s="134">
        <f t="shared" si="8"/>
        <v>18.700945054945056</v>
      </c>
      <c r="AV34" s="134" t="str">
        <f t="shared" si="9"/>
        <v/>
      </c>
      <c r="AW34" s="134"/>
      <c r="AX34" s="134"/>
      <c r="AY34" s="136">
        <f t="shared" si="26"/>
        <v>-7.7137136835766965E-2</v>
      </c>
      <c r="AZ34" s="136">
        <f t="shared" si="27"/>
        <v>-0.38217399267399266</v>
      </c>
      <c r="BA34" s="136">
        <f t="shared" si="28"/>
        <v>5.388723426106623E-2</v>
      </c>
      <c r="BB34" s="136">
        <f t="shared" si="29"/>
        <v>-0.26775890775890776</v>
      </c>
      <c r="BC34" s="136">
        <f t="shared" si="30"/>
        <v>8.5502830502830682E-2</v>
      </c>
      <c r="BD34" s="136">
        <f t="shared" si="31"/>
        <v>1.5732600732600788E-2</v>
      </c>
      <c r="BE34" s="136" t="str">
        <f t="shared" si="32"/>
        <v/>
      </c>
      <c r="BF34" s="136" t="str">
        <f t="shared" si="33"/>
        <v/>
      </c>
      <c r="BG34" s="136" t="str">
        <f t="shared" si="34"/>
        <v/>
      </c>
      <c r="BH34" s="136" t="str">
        <f t="shared" si="35"/>
        <v/>
      </c>
      <c r="BI34" s="136">
        <f t="shared" si="36"/>
        <v>-5.5507825507825341E-2</v>
      </c>
      <c r="BJ34" s="136" t="str">
        <f t="shared" si="37"/>
        <v/>
      </c>
      <c r="BK34" s="136" t="str">
        <f t="shared" si="38"/>
        <v/>
      </c>
      <c r="BL34" s="136" t="str">
        <f t="shared" si="39"/>
        <v/>
      </c>
      <c r="BM34" s="76"/>
      <c r="BN34" s="76"/>
    </row>
    <row r="35" spans="1:66" s="89" customFormat="1" ht="12.75">
      <c r="A35" s="148" t="s">
        <v>233</v>
      </c>
      <c r="B35" s="128" t="s">
        <v>269</v>
      </c>
      <c r="C35" s="139"/>
      <c r="D35" s="125">
        <v>0.64652777777777781</v>
      </c>
      <c r="E35" s="140">
        <v>71.580600000000004</v>
      </c>
      <c r="F35" s="137"/>
      <c r="G35" s="137"/>
      <c r="H35" s="131"/>
      <c r="I35" s="149" t="s">
        <v>94</v>
      </c>
      <c r="J35" s="128">
        <f>IF(ISERROR(VLOOKUP(I35,Max_Load_France!$B$2:$C$102,2,FALSE)/1000),"",VLOOKUP(I35,Max_Load_France!$B$2:$C$102,2,FALSE)/1000)</f>
        <v>40</v>
      </c>
      <c r="K35" s="129"/>
      <c r="L35" s="130">
        <f t="shared" si="0"/>
        <v>0.72</v>
      </c>
      <c r="M35" s="131">
        <f>IF(VLOOKUP($I35,Max_Load_France!$B$2:$M$102,3,FALSE)="","",VLOOKUP($I35,Max_Load_France!$B$2:$M$102,3,FALSE))</f>
        <v>0</v>
      </c>
      <c r="N35" s="131">
        <f>IF(VLOOKUP($I35,Max_Load_France!$B$2:$M$102,4,FALSE)="","",VLOOKUP($I35,Max_Load_France!$B$2:$M$102,4,FALSE))</f>
        <v>0</v>
      </c>
      <c r="O35" s="131">
        <f>IF(VLOOKUP($I35,Max_Load_France!$B$2:$M$102,5,FALSE)="","",VLOOKUP($I35,Max_Load_France!$B$2:$M$102,5,FALSE))</f>
        <v>1</v>
      </c>
      <c r="P35" s="131">
        <f>IF(VLOOKUP($I35,Max_Load_France!$B$2:$M$102,6,FALSE)="","",VLOOKUP($I35,Max_Load_France!$B$2:$M$102,6,FALSE))</f>
        <v>1</v>
      </c>
      <c r="Q35" s="131">
        <f>IF(VLOOKUP($I35,Max_Load_France!$B$2:$M$102,7,FALSE)="","",VLOOKUP($I35,Max_Load_France!$B$2:$M$102,7,FALSE))</f>
        <v>1</v>
      </c>
      <c r="R35" s="131" t="str">
        <f>IF(VLOOKUP($I35,Max_Load_France!$B$2:$M$102,8,FALSE)="","",VLOOKUP($I35,Max_Load_France!$B$2:$M$102,8,FALSE))</f>
        <v/>
      </c>
      <c r="S35" s="131" t="str">
        <f>IF(VLOOKUP($I35,Max_Load_France!$B$2:$M$102,9,FALSE)="","",VLOOKUP($I35,Max_Load_France!$B$2:$M$102,9,FALSE))</f>
        <v/>
      </c>
      <c r="T35" s="131" t="str">
        <f>IF(VLOOKUP($I35,Max_Load_France!$B$2:$M$102,10,FALSE)="","",VLOOKUP($I35,Max_Load_France!$B$2:$M$102,10,FALSE))</f>
        <v/>
      </c>
      <c r="U35" s="131" t="str">
        <f>IF(VLOOKUP($I35,Max_Load_France!$B$2:$M$102,11,FALSE)="","",VLOOKUP($I35,Max_Load_France!$B$2:$M$102,11,FALSE))</f>
        <v/>
      </c>
      <c r="V35" s="148">
        <v>5</v>
      </c>
      <c r="W35" s="132">
        <f t="shared" si="2"/>
        <v>28.8</v>
      </c>
      <c r="X35" s="133">
        <v>7.3</v>
      </c>
      <c r="Y35" s="133">
        <v>11.7</v>
      </c>
      <c r="Z35" s="133">
        <v>3.3</v>
      </c>
      <c r="AA35" s="133">
        <v>3.3</v>
      </c>
      <c r="AB35" s="133">
        <v>3.2</v>
      </c>
      <c r="AC35" s="101"/>
      <c r="AD35" s="101"/>
      <c r="AE35" s="101"/>
      <c r="AF35" s="101"/>
      <c r="AG35" s="134">
        <f t="shared" si="3"/>
        <v>9.8000000000000007</v>
      </c>
      <c r="AH35" s="134" t="str">
        <f t="shared" si="4"/>
        <v/>
      </c>
      <c r="AI35" s="134" t="str">
        <f t="shared" si="5"/>
        <v/>
      </c>
      <c r="AJ35" s="134" t="str">
        <f t="shared" si="6"/>
        <v/>
      </c>
      <c r="AK35" s="135">
        <f t="shared" si="7"/>
        <v>29.247505494505496</v>
      </c>
      <c r="AL35" s="133">
        <v>5.9068901098901101</v>
      </c>
      <c r="AM35" s="133">
        <v>13.922747252747254</v>
      </c>
      <c r="AN35" s="133">
        <v>2.8240659340659344</v>
      </c>
      <c r="AO35" s="133">
        <v>4.3159450549450558</v>
      </c>
      <c r="AP35" s="133">
        <v>2.277857142857143</v>
      </c>
      <c r="AQ35" s="101"/>
      <c r="AR35" s="101"/>
      <c r="AS35" s="101"/>
      <c r="AT35" s="101"/>
      <c r="AU35" s="134">
        <f t="shared" si="8"/>
        <v>9.4178681318681328</v>
      </c>
      <c r="AV35" s="134" t="str">
        <f t="shared" si="9"/>
        <v/>
      </c>
      <c r="AW35" s="134"/>
      <c r="AX35" s="134"/>
      <c r="AY35" s="136">
        <f t="shared" si="26"/>
        <v>1.5538385225885267E-2</v>
      </c>
      <c r="AZ35" s="136">
        <f t="shared" si="27"/>
        <v>-0.19083697124793012</v>
      </c>
      <c r="BA35" s="136">
        <f t="shared" si="28"/>
        <v>0.18997839767070551</v>
      </c>
      <c r="BB35" s="136">
        <f t="shared" si="29"/>
        <v>-0.14422244422244407</v>
      </c>
      <c r="BC35" s="136">
        <f t="shared" si="30"/>
        <v>0.30786213786213817</v>
      </c>
      <c r="BD35" s="136">
        <f t="shared" si="31"/>
        <v>-0.28816964285714286</v>
      </c>
      <c r="BE35" s="136" t="str">
        <f t="shared" si="32"/>
        <v/>
      </c>
      <c r="BF35" s="136" t="str">
        <f t="shared" si="33"/>
        <v/>
      </c>
      <c r="BG35" s="136" t="str">
        <f t="shared" si="34"/>
        <v/>
      </c>
      <c r="BH35" s="136" t="str">
        <f t="shared" si="35"/>
        <v/>
      </c>
      <c r="BI35" s="136">
        <f t="shared" si="36"/>
        <v>-3.8993047768557949E-2</v>
      </c>
      <c r="BJ35" s="136" t="str">
        <f t="shared" si="37"/>
        <v/>
      </c>
      <c r="BK35" s="136" t="str">
        <f t="shared" si="38"/>
        <v/>
      </c>
      <c r="BL35" s="136" t="str">
        <f t="shared" si="39"/>
        <v/>
      </c>
      <c r="BM35" s="76"/>
      <c r="BN35" s="76"/>
    </row>
    <row r="36" spans="1:66" ht="12.75">
      <c r="A36" s="148" t="s">
        <v>234</v>
      </c>
      <c r="B36" s="128" t="s">
        <v>270</v>
      </c>
      <c r="C36" s="139"/>
      <c r="D36" s="125">
        <v>0.64930555555555558</v>
      </c>
      <c r="E36" s="140">
        <v>78.853320000000011</v>
      </c>
      <c r="F36" s="137"/>
      <c r="G36" s="137"/>
      <c r="H36" s="131"/>
      <c r="I36" s="149" t="s">
        <v>94</v>
      </c>
      <c r="J36" s="128">
        <f>IF(ISERROR(VLOOKUP(I36,Max_Load_France!$B$2:$C$102,2,FALSE)/1000),"",VLOOKUP(I36,Max_Load_France!$B$2:$C$102,2,FALSE)/1000)</f>
        <v>40</v>
      </c>
      <c r="K36" s="129"/>
      <c r="L36" s="130">
        <f t="shared" si="0"/>
        <v>0.66</v>
      </c>
      <c r="M36" s="131">
        <f>IF(VLOOKUP($I36,Max_Load_France!$B$2:$M$102,3,FALSE)="","",VLOOKUP($I36,Max_Load_France!$B$2:$M$102,3,FALSE))</f>
        <v>0</v>
      </c>
      <c r="N36" s="131">
        <f>IF(VLOOKUP($I36,Max_Load_France!$B$2:$M$102,4,FALSE)="","",VLOOKUP($I36,Max_Load_France!$B$2:$M$102,4,FALSE))</f>
        <v>0</v>
      </c>
      <c r="O36" s="131">
        <f>IF(VLOOKUP($I36,Max_Load_France!$B$2:$M$102,5,FALSE)="","",VLOOKUP($I36,Max_Load_France!$B$2:$M$102,5,FALSE))</f>
        <v>1</v>
      </c>
      <c r="P36" s="131">
        <f>IF(VLOOKUP($I36,Max_Load_France!$B$2:$M$102,6,FALSE)="","",VLOOKUP($I36,Max_Load_France!$B$2:$M$102,6,FALSE))</f>
        <v>1</v>
      </c>
      <c r="Q36" s="131">
        <f>IF(VLOOKUP($I36,Max_Load_France!$B$2:$M$102,7,FALSE)="","",VLOOKUP($I36,Max_Load_France!$B$2:$M$102,7,FALSE))</f>
        <v>1</v>
      </c>
      <c r="R36" s="131" t="str">
        <f>IF(VLOOKUP($I36,Max_Load_France!$B$2:$M$102,8,FALSE)="","",VLOOKUP($I36,Max_Load_France!$B$2:$M$102,8,FALSE))</f>
        <v/>
      </c>
      <c r="S36" s="131" t="str">
        <f>IF(VLOOKUP($I36,Max_Load_France!$B$2:$M$102,9,FALSE)="","",VLOOKUP($I36,Max_Load_France!$B$2:$M$102,9,FALSE))</f>
        <v/>
      </c>
      <c r="T36" s="131" t="str">
        <f>IF(VLOOKUP($I36,Max_Load_France!$B$2:$M$102,10,FALSE)="","",VLOOKUP($I36,Max_Load_France!$B$2:$M$102,10,FALSE))</f>
        <v/>
      </c>
      <c r="U36" s="131" t="str">
        <f>IF(VLOOKUP($I36,Max_Load_France!$B$2:$M$102,11,FALSE)="","",VLOOKUP($I36,Max_Load_France!$B$2:$M$102,11,FALSE))</f>
        <v/>
      </c>
      <c r="V36" s="148">
        <v>5</v>
      </c>
      <c r="W36" s="132">
        <f t="shared" si="2"/>
        <v>26.400000000000002</v>
      </c>
      <c r="X36" s="133">
        <v>6.3</v>
      </c>
      <c r="Y36" s="133">
        <v>7</v>
      </c>
      <c r="Z36" s="133">
        <v>4.4000000000000004</v>
      </c>
      <c r="AA36" s="133">
        <v>4.4000000000000004</v>
      </c>
      <c r="AB36" s="133">
        <v>4.3</v>
      </c>
      <c r="AC36" s="101"/>
      <c r="AD36" s="101"/>
      <c r="AE36" s="101"/>
      <c r="AF36" s="101"/>
      <c r="AG36" s="134">
        <f t="shared" si="3"/>
        <v>13.100000000000001</v>
      </c>
      <c r="AH36" s="134" t="str">
        <f t="shared" si="4"/>
        <v/>
      </c>
      <c r="AI36" s="134" t="str">
        <f t="shared" si="5"/>
        <v/>
      </c>
      <c r="AJ36" s="134" t="str">
        <f t="shared" si="6"/>
        <v/>
      </c>
      <c r="AK36" s="135">
        <f t="shared" si="7"/>
        <v>26.493747252747255</v>
      </c>
      <c r="AL36" s="133">
        <v>5.2522747252747255</v>
      </c>
      <c r="AM36" s="133">
        <v>8.3448681318681324</v>
      </c>
      <c r="AN36" s="133">
        <v>4.0886153846153848</v>
      </c>
      <c r="AO36" s="133">
        <v>4.8462857142857141</v>
      </c>
      <c r="AP36" s="133">
        <v>3.9617032967032966</v>
      </c>
      <c r="AQ36" s="101"/>
      <c r="AR36" s="101"/>
      <c r="AS36" s="101"/>
      <c r="AT36" s="101"/>
      <c r="AU36" s="134">
        <f t="shared" si="8"/>
        <v>12.896604395604395</v>
      </c>
      <c r="AV36" s="134" t="str">
        <f t="shared" si="9"/>
        <v/>
      </c>
      <c r="AW36" s="134"/>
      <c r="AX36" s="134"/>
      <c r="AY36" s="136">
        <f t="shared" si="26"/>
        <v>3.5510323010323076E-3</v>
      </c>
      <c r="AZ36" s="136">
        <f t="shared" si="27"/>
        <v>-0.16630559916274196</v>
      </c>
      <c r="BA36" s="136">
        <f t="shared" si="28"/>
        <v>0.19212401883830463</v>
      </c>
      <c r="BB36" s="136">
        <f t="shared" si="29"/>
        <v>-7.0769230769230806E-2</v>
      </c>
      <c r="BC36" s="136">
        <f t="shared" si="30"/>
        <v>0.1014285714285713</v>
      </c>
      <c r="BD36" s="136">
        <f t="shared" si="31"/>
        <v>-7.8673651929465876E-2</v>
      </c>
      <c r="BE36" s="136" t="str">
        <f t="shared" si="32"/>
        <v/>
      </c>
      <c r="BF36" s="136" t="str">
        <f t="shared" si="33"/>
        <v/>
      </c>
      <c r="BG36" s="136" t="str">
        <f t="shared" si="34"/>
        <v/>
      </c>
      <c r="BH36" s="136" t="str">
        <f t="shared" si="35"/>
        <v/>
      </c>
      <c r="BI36" s="136">
        <f t="shared" si="36"/>
        <v>-1.5526382014931754E-2</v>
      </c>
      <c r="BJ36" s="136" t="str">
        <f t="shared" si="37"/>
        <v/>
      </c>
      <c r="BK36" s="136" t="str">
        <f t="shared" si="38"/>
        <v/>
      </c>
      <c r="BL36" s="136" t="str">
        <f t="shared" si="39"/>
        <v/>
      </c>
      <c r="BM36" s="76"/>
      <c r="BN36" s="76"/>
    </row>
    <row r="37" spans="1:66" ht="12.75">
      <c r="A37" s="148" t="s">
        <v>235</v>
      </c>
      <c r="B37" s="128" t="s">
        <v>271</v>
      </c>
      <c r="C37" s="139"/>
      <c r="D37" s="125">
        <v>0.65138888888888891</v>
      </c>
      <c r="E37" s="140">
        <v>51.738840000000003</v>
      </c>
      <c r="F37" s="137"/>
      <c r="G37" s="137"/>
      <c r="H37" s="131"/>
      <c r="I37" s="149" t="s">
        <v>94</v>
      </c>
      <c r="J37" s="128">
        <f>IF(ISERROR(VLOOKUP(I37,Max_Load_France!$B$2:$C$102,2,FALSE)/1000),"",VLOOKUP(I37,Max_Load_France!$B$2:$C$102,2,FALSE)/1000)</f>
        <v>40</v>
      </c>
      <c r="K37" s="129"/>
      <c r="L37" s="130">
        <f t="shared" si="0"/>
        <v>1.0225</v>
      </c>
      <c r="M37" s="131">
        <f>IF(VLOOKUP($I37,Max_Load_France!$B$2:$M$102,3,FALSE)="","",VLOOKUP($I37,Max_Load_France!$B$2:$M$102,3,FALSE))</f>
        <v>0</v>
      </c>
      <c r="N37" s="131">
        <f>IF(VLOOKUP($I37,Max_Load_France!$B$2:$M$102,4,FALSE)="","",VLOOKUP($I37,Max_Load_France!$B$2:$M$102,4,FALSE))</f>
        <v>0</v>
      </c>
      <c r="O37" s="131">
        <f>IF(VLOOKUP($I37,Max_Load_France!$B$2:$M$102,5,FALSE)="","",VLOOKUP($I37,Max_Load_France!$B$2:$M$102,5,FALSE))</f>
        <v>1</v>
      </c>
      <c r="P37" s="131">
        <f>IF(VLOOKUP($I37,Max_Load_France!$B$2:$M$102,6,FALSE)="","",VLOOKUP($I37,Max_Load_France!$B$2:$M$102,6,FALSE))</f>
        <v>1</v>
      </c>
      <c r="Q37" s="131">
        <f>IF(VLOOKUP($I37,Max_Load_France!$B$2:$M$102,7,FALSE)="","",VLOOKUP($I37,Max_Load_France!$B$2:$M$102,7,FALSE))</f>
        <v>1</v>
      </c>
      <c r="R37" s="131" t="str">
        <f>IF(VLOOKUP($I37,Max_Load_France!$B$2:$M$102,8,FALSE)="","",VLOOKUP($I37,Max_Load_France!$B$2:$M$102,8,FALSE))</f>
        <v/>
      </c>
      <c r="S37" s="131" t="str">
        <f>IF(VLOOKUP($I37,Max_Load_France!$B$2:$M$102,9,FALSE)="","",VLOOKUP($I37,Max_Load_France!$B$2:$M$102,9,FALSE))</f>
        <v/>
      </c>
      <c r="T37" s="131" t="str">
        <f>IF(VLOOKUP($I37,Max_Load_France!$B$2:$M$102,10,FALSE)="","",VLOOKUP($I37,Max_Load_France!$B$2:$M$102,10,FALSE))</f>
        <v/>
      </c>
      <c r="U37" s="131" t="str">
        <f>IF(VLOOKUP($I37,Max_Load_France!$B$2:$M$102,11,FALSE)="","",VLOOKUP($I37,Max_Load_France!$B$2:$M$102,11,FALSE))</f>
        <v/>
      </c>
      <c r="V37" s="148">
        <v>5</v>
      </c>
      <c r="W37" s="132">
        <f t="shared" si="2"/>
        <v>40.9</v>
      </c>
      <c r="X37" s="133">
        <v>6.1</v>
      </c>
      <c r="Y37" s="133">
        <v>11.2</v>
      </c>
      <c r="Z37" s="133">
        <v>8.1</v>
      </c>
      <c r="AA37" s="133">
        <v>7.9</v>
      </c>
      <c r="AB37" s="133">
        <v>7.6</v>
      </c>
      <c r="AC37" s="101"/>
      <c r="AD37" s="101"/>
      <c r="AE37" s="101"/>
      <c r="AF37" s="101"/>
      <c r="AG37" s="134">
        <f t="shared" si="3"/>
        <v>23.6</v>
      </c>
      <c r="AH37" s="134" t="str">
        <f t="shared" si="4"/>
        <v/>
      </c>
      <c r="AI37" s="134" t="str">
        <f t="shared" si="5"/>
        <v/>
      </c>
      <c r="AJ37" s="134" t="str">
        <f t="shared" si="6"/>
        <v/>
      </c>
      <c r="AK37" s="135">
        <f t="shared" si="7"/>
        <v>42.591043956043961</v>
      </c>
      <c r="AL37" s="133">
        <v>5.1515384615384612</v>
      </c>
      <c r="AM37" s="133">
        <v>13.027032967032968</v>
      </c>
      <c r="AN37" s="133">
        <v>7.0038351648351655</v>
      </c>
      <c r="AO37" s="133">
        <v>10.553076923076924</v>
      </c>
      <c r="AP37" s="133">
        <v>6.8555604395604393</v>
      </c>
      <c r="AQ37" s="101"/>
      <c r="AR37" s="101"/>
      <c r="AS37" s="101"/>
      <c r="AT37" s="101"/>
      <c r="AU37" s="134">
        <f t="shared" si="8"/>
        <v>24.412472527472527</v>
      </c>
      <c r="AV37" s="134" t="str">
        <f t="shared" si="9"/>
        <v/>
      </c>
      <c r="AW37" s="134"/>
      <c r="AX37" s="134"/>
      <c r="AY37" s="136">
        <f t="shared" si="26"/>
        <v>4.1345817996184912E-2</v>
      </c>
      <c r="AZ37" s="136">
        <f t="shared" si="27"/>
        <v>-0.15548549810844894</v>
      </c>
      <c r="BA37" s="136">
        <f t="shared" si="28"/>
        <v>0.16312794348508647</v>
      </c>
      <c r="BB37" s="136">
        <f t="shared" si="29"/>
        <v>-0.13532899199565854</v>
      </c>
      <c r="BC37" s="136">
        <f t="shared" si="30"/>
        <v>0.33583252190847135</v>
      </c>
      <c r="BD37" s="136">
        <f t="shared" si="31"/>
        <v>-9.7952573742047425E-2</v>
      </c>
      <c r="BE37" s="136" t="str">
        <f t="shared" si="32"/>
        <v/>
      </c>
      <c r="BF37" s="136" t="str">
        <f t="shared" si="33"/>
        <v/>
      </c>
      <c r="BG37" s="136" t="str">
        <f t="shared" si="34"/>
        <v/>
      </c>
      <c r="BH37" s="136" t="str">
        <f t="shared" si="35"/>
        <v/>
      </c>
      <c r="BI37" s="136">
        <f t="shared" si="36"/>
        <v>3.44268020115477E-2</v>
      </c>
      <c r="BJ37" s="136" t="str">
        <f t="shared" si="37"/>
        <v/>
      </c>
      <c r="BK37" s="136" t="str">
        <f t="shared" si="38"/>
        <v/>
      </c>
      <c r="BL37" s="136" t="str">
        <f t="shared" si="39"/>
        <v/>
      </c>
      <c r="BM37" s="76"/>
      <c r="BN37" s="76"/>
    </row>
    <row r="38" spans="1:66" ht="12.75">
      <c r="A38" s="148" t="s">
        <v>236</v>
      </c>
      <c r="B38" s="128" t="s">
        <v>272</v>
      </c>
      <c r="C38" s="139"/>
      <c r="D38" s="125">
        <v>0.65694444444444444</v>
      </c>
      <c r="E38" s="140">
        <v>62.217719999999993</v>
      </c>
      <c r="F38" s="137"/>
      <c r="G38" s="137"/>
      <c r="H38" s="131"/>
      <c r="I38" s="149" t="s">
        <v>94</v>
      </c>
      <c r="J38" s="128">
        <f>IF(ISERROR(VLOOKUP(I38,Max_Load_France!$B$2:$C$102,2,FALSE)/1000),"",VLOOKUP(I38,Max_Load_France!$B$2:$C$102,2,FALSE)/1000)</f>
        <v>40</v>
      </c>
      <c r="K38" s="129"/>
      <c r="L38" s="130">
        <f t="shared" si="0"/>
        <v>0.68500000000000005</v>
      </c>
      <c r="M38" s="131">
        <f>IF(VLOOKUP($I38,Max_Load_France!$B$2:$M$102,3,FALSE)="","",VLOOKUP($I38,Max_Load_France!$B$2:$M$102,3,FALSE))</f>
        <v>0</v>
      </c>
      <c r="N38" s="131">
        <f>IF(VLOOKUP($I38,Max_Load_France!$B$2:$M$102,4,FALSE)="","",VLOOKUP($I38,Max_Load_France!$B$2:$M$102,4,FALSE))</f>
        <v>0</v>
      </c>
      <c r="O38" s="131">
        <f>IF(VLOOKUP($I38,Max_Load_France!$B$2:$M$102,5,FALSE)="","",VLOOKUP($I38,Max_Load_France!$B$2:$M$102,5,FALSE))</f>
        <v>1</v>
      </c>
      <c r="P38" s="131">
        <f>IF(VLOOKUP($I38,Max_Load_France!$B$2:$M$102,6,FALSE)="","",VLOOKUP($I38,Max_Load_France!$B$2:$M$102,6,FALSE))</f>
        <v>1</v>
      </c>
      <c r="Q38" s="131">
        <f>IF(VLOOKUP($I38,Max_Load_France!$B$2:$M$102,7,FALSE)="","",VLOOKUP($I38,Max_Load_France!$B$2:$M$102,7,FALSE))</f>
        <v>1</v>
      </c>
      <c r="R38" s="131" t="str">
        <f>IF(VLOOKUP($I38,Max_Load_France!$B$2:$M$102,8,FALSE)="","",VLOOKUP($I38,Max_Load_France!$B$2:$M$102,8,FALSE))</f>
        <v/>
      </c>
      <c r="S38" s="131" t="str">
        <f>IF(VLOOKUP($I38,Max_Load_France!$B$2:$M$102,9,FALSE)="","",VLOOKUP($I38,Max_Load_France!$B$2:$M$102,9,FALSE))</f>
        <v/>
      </c>
      <c r="T38" s="131" t="str">
        <f>IF(VLOOKUP($I38,Max_Load_France!$B$2:$M$102,10,FALSE)="","",VLOOKUP($I38,Max_Load_France!$B$2:$M$102,10,FALSE))</f>
        <v/>
      </c>
      <c r="U38" s="131" t="str">
        <f>IF(VLOOKUP($I38,Max_Load_France!$B$2:$M$102,11,FALSE)="","",VLOOKUP($I38,Max_Load_France!$B$2:$M$102,11,FALSE))</f>
        <v/>
      </c>
      <c r="V38" s="148">
        <v>5</v>
      </c>
      <c r="W38" s="132">
        <f t="shared" si="2"/>
        <v>27.400000000000002</v>
      </c>
      <c r="X38" s="133">
        <v>6.5</v>
      </c>
      <c r="Y38" s="133">
        <v>6.5</v>
      </c>
      <c r="Z38" s="133">
        <v>4.8</v>
      </c>
      <c r="AA38" s="133">
        <v>4.8</v>
      </c>
      <c r="AB38" s="133">
        <v>4.8</v>
      </c>
      <c r="AC38" s="101"/>
      <c r="AD38" s="101"/>
      <c r="AE38" s="101"/>
      <c r="AF38" s="101"/>
      <c r="AG38" s="134">
        <f t="shared" si="3"/>
        <v>14.399999999999999</v>
      </c>
      <c r="AH38" s="134" t="str">
        <f t="shared" si="4"/>
        <v/>
      </c>
      <c r="AI38" s="134" t="str">
        <f t="shared" si="5"/>
        <v/>
      </c>
      <c r="AJ38" s="134" t="str">
        <f t="shared" si="6"/>
        <v/>
      </c>
      <c r="AK38" s="135">
        <f t="shared" si="7"/>
        <v>24.948857142857143</v>
      </c>
      <c r="AL38" s="133">
        <v>5.2198571428571432</v>
      </c>
      <c r="AM38" s="133">
        <v>7.155626373626375</v>
      </c>
      <c r="AN38" s="133">
        <v>2.6979010989010987</v>
      </c>
      <c r="AO38" s="133">
        <v>5.6180659340659345</v>
      </c>
      <c r="AP38" s="133">
        <v>4.2574065934065937</v>
      </c>
      <c r="AQ38" s="101"/>
      <c r="AR38" s="101"/>
      <c r="AS38" s="101"/>
      <c r="AT38" s="101"/>
      <c r="AU38" s="134">
        <f t="shared" si="8"/>
        <v>12.573373626373627</v>
      </c>
      <c r="AV38" s="134" t="str">
        <f t="shared" si="9"/>
        <v/>
      </c>
      <c r="AW38" s="134"/>
      <c r="AX38" s="134"/>
      <c r="AY38" s="136">
        <f t="shared" si="26"/>
        <v>-8.9457768508863458E-2</v>
      </c>
      <c r="AZ38" s="136">
        <f t="shared" si="27"/>
        <v>-0.1969450549450549</v>
      </c>
      <c r="BA38" s="136">
        <f t="shared" si="28"/>
        <v>0.10086559594251923</v>
      </c>
      <c r="BB38" s="136">
        <f t="shared" si="29"/>
        <v>-0.43793727106227109</v>
      </c>
      <c r="BC38" s="136">
        <f t="shared" si="30"/>
        <v>0.17043040293040307</v>
      </c>
      <c r="BD38" s="136">
        <f t="shared" si="31"/>
        <v>-0.11304029304029295</v>
      </c>
      <c r="BE38" s="136" t="str">
        <f t="shared" si="32"/>
        <v/>
      </c>
      <c r="BF38" s="136" t="str">
        <f t="shared" si="33"/>
        <v/>
      </c>
      <c r="BG38" s="136" t="str">
        <f t="shared" si="34"/>
        <v/>
      </c>
      <c r="BH38" s="136" t="str">
        <f t="shared" si="35"/>
        <v/>
      </c>
      <c r="BI38" s="136">
        <f t="shared" si="36"/>
        <v>-0.12684905372405361</v>
      </c>
      <c r="BJ38" s="136" t="str">
        <f t="shared" si="37"/>
        <v/>
      </c>
      <c r="BK38" s="136" t="str">
        <f t="shared" si="38"/>
        <v/>
      </c>
      <c r="BL38" s="136" t="str">
        <f t="shared" si="39"/>
        <v/>
      </c>
      <c r="BM38" s="76"/>
      <c r="BN38" s="76"/>
    </row>
    <row r="39" spans="1:66" ht="12.75">
      <c r="A39" s="148" t="s">
        <v>237</v>
      </c>
      <c r="B39" s="128" t="s">
        <v>273</v>
      </c>
      <c r="C39" s="139"/>
      <c r="D39" s="125">
        <v>0.65833333333333333</v>
      </c>
      <c r="E39" s="140">
        <v>64.391400000000004</v>
      </c>
      <c r="F39" s="137"/>
      <c r="G39" s="137"/>
      <c r="H39" s="131"/>
      <c r="I39" s="149" t="s">
        <v>94</v>
      </c>
      <c r="J39" s="128">
        <f>IF(ISERROR(VLOOKUP(I39,Max_Load_France!$B$2:$C$102,2,FALSE)/1000),"",VLOOKUP(I39,Max_Load_France!$B$2:$C$102,2,FALSE)/1000)</f>
        <v>40</v>
      </c>
      <c r="K39" s="129"/>
      <c r="L39" s="130">
        <f t="shared" si="0"/>
        <v>0.97499999999999998</v>
      </c>
      <c r="M39" s="131">
        <f>IF(VLOOKUP($I39,Max_Load_France!$B$2:$M$102,3,FALSE)="","",VLOOKUP($I39,Max_Load_France!$B$2:$M$102,3,FALSE))</f>
        <v>0</v>
      </c>
      <c r="N39" s="131">
        <f>IF(VLOOKUP($I39,Max_Load_France!$B$2:$M$102,4,FALSE)="","",VLOOKUP($I39,Max_Load_France!$B$2:$M$102,4,FALSE))</f>
        <v>0</v>
      </c>
      <c r="O39" s="131">
        <f>IF(VLOOKUP($I39,Max_Load_France!$B$2:$M$102,5,FALSE)="","",VLOOKUP($I39,Max_Load_France!$B$2:$M$102,5,FALSE))</f>
        <v>1</v>
      </c>
      <c r="P39" s="131">
        <f>IF(VLOOKUP($I39,Max_Load_France!$B$2:$M$102,6,FALSE)="","",VLOOKUP($I39,Max_Load_France!$B$2:$M$102,6,FALSE))</f>
        <v>1</v>
      </c>
      <c r="Q39" s="131">
        <f>IF(VLOOKUP($I39,Max_Load_France!$B$2:$M$102,7,FALSE)="","",VLOOKUP($I39,Max_Load_France!$B$2:$M$102,7,FALSE))</f>
        <v>1</v>
      </c>
      <c r="R39" s="131" t="str">
        <f>IF(VLOOKUP($I39,Max_Load_France!$B$2:$M$102,8,FALSE)="","",VLOOKUP($I39,Max_Load_France!$B$2:$M$102,8,FALSE))</f>
        <v/>
      </c>
      <c r="S39" s="131" t="str">
        <f>IF(VLOOKUP($I39,Max_Load_France!$B$2:$M$102,9,FALSE)="","",VLOOKUP($I39,Max_Load_France!$B$2:$M$102,9,FALSE))</f>
        <v/>
      </c>
      <c r="T39" s="131" t="str">
        <f>IF(VLOOKUP($I39,Max_Load_France!$B$2:$M$102,10,FALSE)="","",VLOOKUP($I39,Max_Load_France!$B$2:$M$102,10,FALSE))</f>
        <v/>
      </c>
      <c r="U39" s="131" t="str">
        <f>IF(VLOOKUP($I39,Max_Load_France!$B$2:$M$102,11,FALSE)="","",VLOOKUP($I39,Max_Load_France!$B$2:$M$102,11,FALSE))</f>
        <v/>
      </c>
      <c r="V39" s="148">
        <v>5</v>
      </c>
      <c r="W39" s="132">
        <f t="shared" si="2"/>
        <v>39</v>
      </c>
      <c r="X39" s="133">
        <v>7</v>
      </c>
      <c r="Y39" s="133">
        <v>11.2</v>
      </c>
      <c r="Z39" s="133">
        <v>6.8</v>
      </c>
      <c r="AA39" s="133">
        <v>7</v>
      </c>
      <c r="AB39" s="133">
        <v>7</v>
      </c>
      <c r="AC39" s="101"/>
      <c r="AD39" s="101"/>
      <c r="AE39" s="101"/>
      <c r="AF39" s="101"/>
      <c r="AG39" s="134">
        <f t="shared" si="3"/>
        <v>20.8</v>
      </c>
      <c r="AH39" s="134" t="str">
        <f t="shared" si="4"/>
        <v/>
      </c>
      <c r="AI39" s="134" t="str">
        <f t="shared" si="5"/>
        <v/>
      </c>
      <c r="AJ39" s="134" t="str">
        <f t="shared" si="6"/>
        <v/>
      </c>
      <c r="AK39" s="135">
        <f t="shared" si="7"/>
        <v>40.801956043956046</v>
      </c>
      <c r="AL39" s="133">
        <v>5.1714945054945058</v>
      </c>
      <c r="AM39" s="133">
        <v>13.774945054945055</v>
      </c>
      <c r="AN39" s="133">
        <v>6.3667472527472526</v>
      </c>
      <c r="AO39" s="133">
        <v>7.7287032967032969</v>
      </c>
      <c r="AP39" s="133">
        <v>7.7600659340659348</v>
      </c>
      <c r="AQ39" s="101"/>
      <c r="AR39" s="101"/>
      <c r="AS39" s="101"/>
      <c r="AT39" s="101"/>
      <c r="AU39" s="134">
        <f t="shared" si="8"/>
        <v>21.855516483516485</v>
      </c>
      <c r="AV39" s="134" t="str">
        <f t="shared" si="9"/>
        <v/>
      </c>
      <c r="AW39" s="134"/>
      <c r="AX39" s="134"/>
      <c r="AY39" s="136">
        <f t="shared" si="26"/>
        <v>4.6204001127078113E-2</v>
      </c>
      <c r="AZ39" s="136">
        <f t="shared" si="27"/>
        <v>-0.26121507064364202</v>
      </c>
      <c r="BA39" s="136">
        <f t="shared" si="28"/>
        <v>0.22990580847723716</v>
      </c>
      <c r="BB39" s="136">
        <f t="shared" si="29"/>
        <v>-6.3713639301874597E-2</v>
      </c>
      <c r="BC39" s="136">
        <f t="shared" si="30"/>
        <v>0.10410047095761385</v>
      </c>
      <c r="BD39" s="136">
        <f t="shared" si="31"/>
        <v>0.10858084772370498</v>
      </c>
      <c r="BE39" s="136" t="str">
        <f t="shared" si="32"/>
        <v/>
      </c>
      <c r="BF39" s="136" t="str">
        <f t="shared" si="33"/>
        <v/>
      </c>
      <c r="BG39" s="136" t="str">
        <f t="shared" si="34"/>
        <v/>
      </c>
      <c r="BH39" s="136" t="str">
        <f t="shared" si="35"/>
        <v/>
      </c>
      <c r="BI39" s="136">
        <f t="shared" si="36"/>
        <v>5.074598478444637E-2</v>
      </c>
      <c r="BJ39" s="136" t="str">
        <f t="shared" si="37"/>
        <v/>
      </c>
      <c r="BK39" s="136" t="str">
        <f t="shared" si="38"/>
        <v/>
      </c>
      <c r="BL39" s="136" t="str">
        <f t="shared" si="39"/>
        <v/>
      </c>
      <c r="BM39" s="76"/>
      <c r="BN39" s="76"/>
    </row>
    <row r="40" spans="1:66" ht="12.75">
      <c r="A40" s="148" t="s">
        <v>238</v>
      </c>
      <c r="B40" s="128" t="s">
        <v>274</v>
      </c>
      <c r="C40" s="139"/>
      <c r="D40" s="125">
        <v>0.66180555555555554</v>
      </c>
      <c r="E40" s="140">
        <v>56.932920000000003</v>
      </c>
      <c r="F40" s="137"/>
      <c r="G40" s="137"/>
      <c r="H40" s="131"/>
      <c r="I40" s="149" t="s">
        <v>94</v>
      </c>
      <c r="J40" s="128">
        <f>IF(ISERROR(VLOOKUP(I40,Max_Load_France!$B$2:$C$102,2,FALSE)/1000),"",VLOOKUP(I40,Max_Load_France!$B$2:$C$102,2,FALSE)/1000)</f>
        <v>40</v>
      </c>
      <c r="K40" s="129"/>
      <c r="L40" s="130">
        <f t="shared" si="0"/>
        <v>0.86250000000000004</v>
      </c>
      <c r="M40" s="131">
        <f>IF(VLOOKUP($I40,Max_Load_France!$B$2:$M$102,3,FALSE)="","",VLOOKUP($I40,Max_Load_France!$B$2:$M$102,3,FALSE))</f>
        <v>0</v>
      </c>
      <c r="N40" s="131">
        <f>IF(VLOOKUP($I40,Max_Load_France!$B$2:$M$102,4,FALSE)="","",VLOOKUP($I40,Max_Load_France!$B$2:$M$102,4,FALSE))</f>
        <v>0</v>
      </c>
      <c r="O40" s="131">
        <f>IF(VLOOKUP($I40,Max_Load_France!$B$2:$M$102,5,FALSE)="","",VLOOKUP($I40,Max_Load_France!$B$2:$M$102,5,FALSE))</f>
        <v>1</v>
      </c>
      <c r="P40" s="131">
        <f>IF(VLOOKUP($I40,Max_Load_France!$B$2:$M$102,6,FALSE)="","",VLOOKUP($I40,Max_Load_France!$B$2:$M$102,6,FALSE))</f>
        <v>1</v>
      </c>
      <c r="Q40" s="131">
        <f>IF(VLOOKUP($I40,Max_Load_France!$B$2:$M$102,7,FALSE)="","",VLOOKUP($I40,Max_Load_France!$B$2:$M$102,7,FALSE))</f>
        <v>1</v>
      </c>
      <c r="R40" s="131" t="str">
        <f>IF(VLOOKUP($I40,Max_Load_France!$B$2:$M$102,8,FALSE)="","",VLOOKUP($I40,Max_Load_France!$B$2:$M$102,8,FALSE))</f>
        <v/>
      </c>
      <c r="S40" s="131" t="str">
        <f>IF(VLOOKUP($I40,Max_Load_France!$B$2:$M$102,9,FALSE)="","",VLOOKUP($I40,Max_Load_France!$B$2:$M$102,9,FALSE))</f>
        <v/>
      </c>
      <c r="T40" s="131" t="str">
        <f>IF(VLOOKUP($I40,Max_Load_France!$B$2:$M$102,10,FALSE)="","",VLOOKUP($I40,Max_Load_France!$B$2:$M$102,10,FALSE))</f>
        <v/>
      </c>
      <c r="U40" s="131" t="str">
        <f>IF(VLOOKUP($I40,Max_Load_France!$B$2:$M$102,11,FALSE)="","",VLOOKUP($I40,Max_Load_France!$B$2:$M$102,11,FALSE))</f>
        <v/>
      </c>
      <c r="V40" s="148">
        <v>5</v>
      </c>
      <c r="W40" s="132">
        <f t="shared" si="2"/>
        <v>34.5</v>
      </c>
      <c r="X40" s="133">
        <v>8.5</v>
      </c>
      <c r="Y40" s="133">
        <v>12.1</v>
      </c>
      <c r="Z40" s="133">
        <v>4.7</v>
      </c>
      <c r="AA40" s="133">
        <v>4.8</v>
      </c>
      <c r="AB40" s="133">
        <v>4.4000000000000004</v>
      </c>
      <c r="AC40" s="101"/>
      <c r="AD40" s="101"/>
      <c r="AE40" s="101"/>
      <c r="AF40" s="101"/>
      <c r="AG40" s="134">
        <f t="shared" si="3"/>
        <v>13.9</v>
      </c>
      <c r="AH40" s="134" t="str">
        <f t="shared" si="4"/>
        <v/>
      </c>
      <c r="AI40" s="134" t="str">
        <f t="shared" si="5"/>
        <v/>
      </c>
      <c r="AJ40" s="134" t="str">
        <f t="shared" si="6"/>
        <v/>
      </c>
      <c r="AK40" s="135">
        <f t="shared" si="7"/>
        <v>40.544439560439564</v>
      </c>
      <c r="AL40" s="133">
        <v>7.8431098901098899</v>
      </c>
      <c r="AM40" s="133">
        <v>14.091428571428573</v>
      </c>
      <c r="AN40" s="133">
        <v>5.6586923076923084</v>
      </c>
      <c r="AO40" s="133">
        <v>6.291956043956044</v>
      </c>
      <c r="AP40" s="133">
        <v>6.6592527472527481</v>
      </c>
      <c r="AQ40" s="101"/>
      <c r="AR40" s="101"/>
      <c r="AS40" s="101"/>
      <c r="AT40" s="101"/>
      <c r="AU40" s="134">
        <f t="shared" si="8"/>
        <v>18.609901098901101</v>
      </c>
      <c r="AV40" s="134" t="str">
        <f t="shared" si="9"/>
        <v/>
      </c>
      <c r="AW40" s="134"/>
      <c r="AX40" s="134"/>
      <c r="AY40" s="136">
        <f t="shared" si="26"/>
        <v>0.17520114667940764</v>
      </c>
      <c r="AZ40" s="136">
        <f t="shared" si="27"/>
        <v>-7.7281189398836478E-2</v>
      </c>
      <c r="BA40" s="136">
        <f t="shared" si="28"/>
        <v>0.1645808736717829</v>
      </c>
      <c r="BB40" s="136">
        <f t="shared" si="29"/>
        <v>0.20397708674304429</v>
      </c>
      <c r="BC40" s="136">
        <f t="shared" si="30"/>
        <v>0.31082417582417587</v>
      </c>
      <c r="BD40" s="136">
        <f t="shared" si="31"/>
        <v>0.51346653346653348</v>
      </c>
      <c r="BE40" s="136" t="str">
        <f t="shared" si="32"/>
        <v/>
      </c>
      <c r="BF40" s="136" t="str">
        <f t="shared" si="33"/>
        <v/>
      </c>
      <c r="BG40" s="136" t="str">
        <f t="shared" si="34"/>
        <v/>
      </c>
      <c r="BH40" s="136" t="str">
        <f t="shared" si="35"/>
        <v/>
      </c>
      <c r="BI40" s="136">
        <f t="shared" si="36"/>
        <v>0.3388418056763382</v>
      </c>
      <c r="BJ40" s="136" t="str">
        <f t="shared" si="37"/>
        <v/>
      </c>
      <c r="BK40" s="136" t="str">
        <f t="shared" si="38"/>
        <v/>
      </c>
      <c r="BL40" s="136" t="str">
        <f t="shared" si="39"/>
        <v/>
      </c>
      <c r="BM40" s="76"/>
      <c r="BN40" s="76"/>
    </row>
    <row r="41" spans="1:66" s="89" customFormat="1" ht="12.75">
      <c r="A41" s="148" t="s">
        <v>239</v>
      </c>
      <c r="B41" s="128" t="s">
        <v>275</v>
      </c>
      <c r="C41" s="139"/>
      <c r="D41" s="125">
        <v>0.66527777777777775</v>
      </c>
      <c r="E41" s="140">
        <v>54.613440000000004</v>
      </c>
      <c r="F41" s="137"/>
      <c r="G41" s="137"/>
      <c r="H41" s="131"/>
      <c r="I41" s="149" t="s">
        <v>94</v>
      </c>
      <c r="J41" s="128">
        <f>IF(ISERROR(VLOOKUP(I41,Max_Load_France!$B$2:$C$102,2,FALSE)/1000),"",VLOOKUP(I41,Max_Load_France!$B$2:$C$102,2,FALSE)/1000)</f>
        <v>40</v>
      </c>
      <c r="K41" s="129"/>
      <c r="L41" s="130">
        <f t="shared" si="0"/>
        <v>1.0250000000000001</v>
      </c>
      <c r="M41" s="131">
        <f>IF(VLOOKUP($I41,Max_Load_France!$B$2:$M$102,3,FALSE)="","",VLOOKUP($I41,Max_Load_France!$B$2:$M$102,3,FALSE))</f>
        <v>0</v>
      </c>
      <c r="N41" s="131">
        <f>IF(VLOOKUP($I41,Max_Load_France!$B$2:$M$102,4,FALSE)="","",VLOOKUP($I41,Max_Load_France!$B$2:$M$102,4,FALSE))</f>
        <v>0</v>
      </c>
      <c r="O41" s="131">
        <f>IF(VLOOKUP($I41,Max_Load_France!$B$2:$M$102,5,FALSE)="","",VLOOKUP($I41,Max_Load_France!$B$2:$M$102,5,FALSE))</f>
        <v>1</v>
      </c>
      <c r="P41" s="131">
        <f>IF(VLOOKUP($I41,Max_Load_France!$B$2:$M$102,6,FALSE)="","",VLOOKUP($I41,Max_Load_France!$B$2:$M$102,6,FALSE))</f>
        <v>1</v>
      </c>
      <c r="Q41" s="131">
        <f>IF(VLOOKUP($I41,Max_Load_France!$B$2:$M$102,7,FALSE)="","",VLOOKUP($I41,Max_Load_France!$B$2:$M$102,7,FALSE))</f>
        <v>1</v>
      </c>
      <c r="R41" s="131" t="str">
        <f>IF(VLOOKUP($I41,Max_Load_France!$B$2:$M$102,8,FALSE)="","",VLOOKUP($I41,Max_Load_France!$B$2:$M$102,8,FALSE))</f>
        <v/>
      </c>
      <c r="S41" s="131" t="str">
        <f>IF(VLOOKUP($I41,Max_Load_France!$B$2:$M$102,9,FALSE)="","",VLOOKUP($I41,Max_Load_France!$B$2:$M$102,9,FALSE))</f>
        <v/>
      </c>
      <c r="T41" s="131" t="str">
        <f>IF(VLOOKUP($I41,Max_Load_France!$B$2:$M$102,10,FALSE)="","",VLOOKUP($I41,Max_Load_France!$B$2:$M$102,10,FALSE))</f>
        <v/>
      </c>
      <c r="U41" s="131" t="str">
        <f>IF(VLOOKUP($I41,Max_Load_France!$B$2:$M$102,11,FALSE)="","",VLOOKUP($I41,Max_Load_France!$B$2:$M$102,11,FALSE))</f>
        <v/>
      </c>
      <c r="V41" s="148">
        <v>5</v>
      </c>
      <c r="W41" s="132">
        <f t="shared" si="2"/>
        <v>41.000000000000007</v>
      </c>
      <c r="X41" s="133">
        <v>6.7</v>
      </c>
      <c r="Y41" s="133">
        <v>12.4</v>
      </c>
      <c r="Z41" s="133">
        <v>7.5</v>
      </c>
      <c r="AA41" s="133">
        <v>7.2</v>
      </c>
      <c r="AB41" s="133">
        <v>7.2</v>
      </c>
      <c r="AC41" s="101"/>
      <c r="AD41" s="101"/>
      <c r="AE41" s="101"/>
      <c r="AF41" s="101"/>
      <c r="AG41" s="134">
        <f t="shared" si="3"/>
        <v>21.9</v>
      </c>
      <c r="AH41" s="134" t="str">
        <f t="shared" si="4"/>
        <v/>
      </c>
      <c r="AI41" s="134"/>
      <c r="AJ41" s="134"/>
      <c r="AK41" s="135">
        <f t="shared" si="7"/>
        <v>52.801252747252754</v>
      </c>
      <c r="AL41" s="133">
        <v>7.0694945054945064</v>
      </c>
      <c r="AM41" s="133">
        <v>17.787142857142857</v>
      </c>
      <c r="AN41" s="133">
        <v>10.446241758241758</v>
      </c>
      <c r="AO41" s="133">
        <v>5.7224395604395601</v>
      </c>
      <c r="AP41" s="133">
        <v>11.775934065934067</v>
      </c>
      <c r="AQ41" s="101"/>
      <c r="AR41" s="101"/>
      <c r="AS41" s="101"/>
      <c r="AT41" s="101"/>
      <c r="AU41" s="134">
        <f t="shared" si="8"/>
        <v>27.944615384615386</v>
      </c>
      <c r="AV41" s="134" t="str">
        <f t="shared" si="9"/>
        <v/>
      </c>
      <c r="AW41" s="134"/>
      <c r="AX41" s="134"/>
      <c r="AY41" s="136">
        <f t="shared" si="26"/>
        <v>0.28783543285982305</v>
      </c>
      <c r="AZ41" s="136">
        <f t="shared" si="27"/>
        <v>5.5148433655896452E-2</v>
      </c>
      <c r="BA41" s="136">
        <f t="shared" si="28"/>
        <v>0.43444700460829488</v>
      </c>
      <c r="BB41" s="136">
        <f t="shared" si="29"/>
        <v>0.39283223443223442</v>
      </c>
      <c r="BC41" s="136">
        <f t="shared" si="30"/>
        <v>-0.20521672771672778</v>
      </c>
      <c r="BD41" s="136">
        <f t="shared" si="31"/>
        <v>0.63554639804639812</v>
      </c>
      <c r="BE41" s="136" t="str">
        <f t="shared" si="32"/>
        <v/>
      </c>
      <c r="BF41" s="136" t="str">
        <f t="shared" si="33"/>
        <v/>
      </c>
      <c r="BG41" s="136" t="str">
        <f t="shared" si="34"/>
        <v/>
      </c>
      <c r="BH41" s="136" t="str">
        <f t="shared" si="35"/>
        <v/>
      </c>
      <c r="BI41" s="136">
        <f t="shared" si="36"/>
        <v>0.27600983491394465</v>
      </c>
      <c r="BJ41" s="136" t="str">
        <f t="shared" si="37"/>
        <v/>
      </c>
      <c r="BK41" s="136" t="str">
        <f t="shared" si="38"/>
        <v/>
      </c>
      <c r="BL41" s="136" t="str">
        <f t="shared" si="39"/>
        <v/>
      </c>
      <c r="BM41" s="76"/>
      <c r="BN41" s="76"/>
    </row>
    <row r="42" spans="1:66" ht="12.75">
      <c r="A42" s="148" t="s">
        <v>240</v>
      </c>
      <c r="B42" s="128" t="s">
        <v>276</v>
      </c>
      <c r="C42" s="139"/>
      <c r="D42" s="125">
        <v>0.66736111111111107</v>
      </c>
      <c r="E42" s="140">
        <v>66.722039999999993</v>
      </c>
      <c r="F42" s="137"/>
      <c r="G42" s="137"/>
      <c r="H42" s="131"/>
      <c r="I42" s="149" t="s">
        <v>108</v>
      </c>
      <c r="J42" s="128">
        <f>IF(ISERROR(VLOOKUP(I42,Max_Load_France!$B$2:$C$102,2,FALSE)/1000),"",VLOOKUP(I42,Max_Load_France!$B$2:$C$102,2,FALSE)/1000)</f>
        <v>26</v>
      </c>
      <c r="K42" s="129"/>
      <c r="L42" s="130">
        <f t="shared" si="0"/>
        <v>0.73076923076923073</v>
      </c>
      <c r="M42" s="131">
        <f>IF(VLOOKUP($I42,Max_Load_France!$B$2:$M$102,3,FALSE)="","",VLOOKUP($I42,Max_Load_France!$B$2:$M$102,3,FALSE))</f>
        <v>0</v>
      </c>
      <c r="N42" s="131">
        <f>IF(VLOOKUP($I42,Max_Load_France!$B$2:$M$102,4,FALSE)="","",VLOOKUP($I42,Max_Load_France!$B$2:$M$102,4,FALSE))</f>
        <v>1</v>
      </c>
      <c r="O42" s="131">
        <f>IF(VLOOKUP($I42,Max_Load_France!$B$2:$M$102,5,FALSE)="","",VLOOKUP($I42,Max_Load_France!$B$2:$M$102,5,FALSE))</f>
        <v>1</v>
      </c>
      <c r="P42" s="131" t="str">
        <f>IF(VLOOKUP($I42,Max_Load_France!$B$2:$M$102,6,FALSE)="","",VLOOKUP($I42,Max_Load_France!$B$2:$M$102,6,FALSE))</f>
        <v/>
      </c>
      <c r="Q42" s="131" t="str">
        <f>IF(VLOOKUP($I42,Max_Load_France!$B$2:$M$102,7,FALSE)="","",VLOOKUP($I42,Max_Load_France!$B$2:$M$102,7,FALSE))</f>
        <v/>
      </c>
      <c r="R42" s="131" t="str">
        <f>IF(VLOOKUP($I42,Max_Load_France!$B$2:$M$102,8,FALSE)="","",VLOOKUP($I42,Max_Load_France!$B$2:$M$102,8,FALSE))</f>
        <v/>
      </c>
      <c r="S42" s="131" t="str">
        <f>IF(VLOOKUP($I42,Max_Load_France!$B$2:$M$102,9,FALSE)="","",VLOOKUP($I42,Max_Load_France!$B$2:$M$102,9,FALSE))</f>
        <v/>
      </c>
      <c r="T42" s="131" t="str">
        <f>IF(VLOOKUP($I42,Max_Load_France!$B$2:$M$102,10,FALSE)="","",VLOOKUP($I42,Max_Load_France!$B$2:$M$102,10,FALSE))</f>
        <v/>
      </c>
      <c r="U42" s="131" t="str">
        <f>IF(VLOOKUP($I42,Max_Load_France!$B$2:$M$102,11,FALSE)="","",VLOOKUP($I42,Max_Load_France!$B$2:$M$102,11,FALSE))</f>
        <v/>
      </c>
      <c r="V42" s="148">
        <v>5</v>
      </c>
      <c r="W42" s="132">
        <f t="shared" si="2"/>
        <v>19</v>
      </c>
      <c r="X42" s="133">
        <v>7.5</v>
      </c>
      <c r="Y42" s="133">
        <v>7.4</v>
      </c>
      <c r="Z42" s="133">
        <v>4.0999999999999996</v>
      </c>
      <c r="AA42" s="133"/>
      <c r="AB42" s="133"/>
      <c r="AC42" s="101"/>
      <c r="AD42" s="101"/>
      <c r="AE42" s="101"/>
      <c r="AF42" s="101"/>
      <c r="AG42" s="134">
        <f t="shared" si="3"/>
        <v>11.5</v>
      </c>
      <c r="AH42" s="134" t="str">
        <f t="shared" si="4"/>
        <v/>
      </c>
      <c r="AI42" s="134"/>
      <c r="AJ42" s="134"/>
      <c r="AK42" s="135">
        <f t="shared" si="7"/>
        <v>21.988236263736265</v>
      </c>
      <c r="AL42" s="143">
        <v>8.3840000000000003</v>
      </c>
      <c r="AM42" s="143">
        <v>7.3637912087912083</v>
      </c>
      <c r="AN42" s="143">
        <v>4.6970109890109892</v>
      </c>
      <c r="AO42" s="143">
        <v>0.85127582417582426</v>
      </c>
      <c r="AP42" s="143">
        <v>0.69215824175824181</v>
      </c>
      <c r="AQ42" s="101"/>
      <c r="AR42" s="101"/>
      <c r="AS42" s="101"/>
      <c r="AT42" s="101"/>
      <c r="AU42" s="134">
        <f t="shared" si="8"/>
        <v>12.060802197802197</v>
      </c>
      <c r="AV42" s="134" t="str">
        <f t="shared" si="9"/>
        <v/>
      </c>
      <c r="AW42" s="134"/>
      <c r="AX42" s="134"/>
      <c r="AY42" s="136">
        <f t="shared" si="26"/>
        <v>0.15727559282822448</v>
      </c>
      <c r="AZ42" s="136">
        <f t="shared" si="27"/>
        <v>0.11786666666666672</v>
      </c>
      <c r="BA42" s="136">
        <f t="shared" si="28"/>
        <v>-4.8930798930800073E-3</v>
      </c>
      <c r="BB42" s="136">
        <f t="shared" si="29"/>
        <v>0.14561243634414381</v>
      </c>
      <c r="BC42" s="136" t="str">
        <f t="shared" si="30"/>
        <v/>
      </c>
      <c r="BD42" s="136" t="str">
        <f t="shared" si="31"/>
        <v/>
      </c>
      <c r="BE42" s="136" t="str">
        <f t="shared" si="32"/>
        <v/>
      </c>
      <c r="BF42" s="136" t="str">
        <f t="shared" si="33"/>
        <v/>
      </c>
      <c r="BG42" s="136" t="str">
        <f t="shared" si="34"/>
        <v/>
      </c>
      <c r="BH42" s="136" t="str">
        <f t="shared" si="35"/>
        <v/>
      </c>
      <c r="BI42" s="136">
        <f t="shared" si="36"/>
        <v>4.8765408504538837E-2</v>
      </c>
      <c r="BJ42" s="136" t="str">
        <f t="shared" si="37"/>
        <v/>
      </c>
      <c r="BK42" s="136" t="str">
        <f t="shared" si="38"/>
        <v/>
      </c>
      <c r="BL42" s="136" t="str">
        <f t="shared" si="39"/>
        <v/>
      </c>
      <c r="BM42" s="76"/>
      <c r="BN42" s="76"/>
    </row>
    <row r="43" spans="1:66" ht="12.75">
      <c r="A43" s="148" t="s">
        <v>241</v>
      </c>
      <c r="B43" s="128" t="s">
        <v>278</v>
      </c>
      <c r="C43" s="139"/>
      <c r="D43" s="125">
        <v>0.67569444444444438</v>
      </c>
      <c r="E43" s="140">
        <v>79.705799999999996</v>
      </c>
      <c r="F43" s="137"/>
      <c r="G43" s="137"/>
      <c r="H43" s="131"/>
      <c r="I43" s="149" t="s">
        <v>94</v>
      </c>
      <c r="J43" s="128">
        <f>IF(ISERROR(VLOOKUP(I43,Max_Load_France!$B$2:$C$102,2,FALSE)/1000),"",VLOOKUP(I43,Max_Load_France!$B$2:$C$102,2,FALSE)/1000)</f>
        <v>40</v>
      </c>
      <c r="K43" s="129"/>
      <c r="L43" s="130">
        <f t="shared" si="0"/>
        <v>0.75249999999999984</v>
      </c>
      <c r="M43" s="131">
        <f>IF(VLOOKUP($I43,Max_Load_France!$B$2:$M$102,3,FALSE)="","",VLOOKUP($I43,Max_Load_France!$B$2:$M$102,3,FALSE))</f>
        <v>0</v>
      </c>
      <c r="N43" s="131">
        <f>IF(VLOOKUP($I43,Max_Load_France!$B$2:$M$102,4,FALSE)="","",VLOOKUP($I43,Max_Load_France!$B$2:$M$102,4,FALSE))</f>
        <v>0</v>
      </c>
      <c r="O43" s="131">
        <f>IF(VLOOKUP($I43,Max_Load_France!$B$2:$M$102,5,FALSE)="","",VLOOKUP($I43,Max_Load_France!$B$2:$M$102,5,FALSE))</f>
        <v>1</v>
      </c>
      <c r="P43" s="131">
        <f>IF(VLOOKUP($I43,Max_Load_France!$B$2:$M$102,6,FALSE)="","",VLOOKUP($I43,Max_Load_France!$B$2:$M$102,6,FALSE))</f>
        <v>1</v>
      </c>
      <c r="Q43" s="131">
        <f>IF(VLOOKUP($I43,Max_Load_France!$B$2:$M$102,7,FALSE)="","",VLOOKUP($I43,Max_Load_France!$B$2:$M$102,7,FALSE))</f>
        <v>1</v>
      </c>
      <c r="R43" s="131" t="str">
        <f>IF(VLOOKUP($I43,Max_Load_France!$B$2:$M$102,8,FALSE)="","",VLOOKUP($I43,Max_Load_France!$B$2:$M$102,8,FALSE))</f>
        <v/>
      </c>
      <c r="S43" s="131" t="str">
        <f>IF(VLOOKUP($I43,Max_Load_France!$B$2:$M$102,9,FALSE)="","",VLOOKUP($I43,Max_Load_France!$B$2:$M$102,9,FALSE))</f>
        <v/>
      </c>
      <c r="T43" s="131" t="str">
        <f>IF(VLOOKUP($I43,Max_Load_France!$B$2:$M$102,10,FALSE)="","",VLOOKUP($I43,Max_Load_France!$B$2:$M$102,10,FALSE))</f>
        <v/>
      </c>
      <c r="U43" s="131" t="str">
        <f>IF(VLOOKUP($I43,Max_Load_France!$B$2:$M$102,11,FALSE)="","",VLOOKUP($I43,Max_Load_France!$B$2:$M$102,11,FALSE))</f>
        <v/>
      </c>
      <c r="V43" s="148">
        <v>5</v>
      </c>
      <c r="W43" s="132">
        <f t="shared" si="2"/>
        <v>30.099999999999994</v>
      </c>
      <c r="X43" s="133">
        <v>7</v>
      </c>
      <c r="Y43" s="133">
        <v>9.9</v>
      </c>
      <c r="Z43" s="133">
        <v>4.4000000000000004</v>
      </c>
      <c r="AA43" s="133">
        <v>4.4000000000000004</v>
      </c>
      <c r="AB43" s="133">
        <v>4.4000000000000004</v>
      </c>
      <c r="AC43" s="101"/>
      <c r="AD43" s="101"/>
      <c r="AE43" s="101"/>
      <c r="AF43" s="101"/>
      <c r="AG43" s="134">
        <f t="shared" si="3"/>
        <v>13.200000000000001</v>
      </c>
      <c r="AH43" s="134" t="str">
        <f t="shared" si="4"/>
        <v/>
      </c>
      <c r="AI43" s="134"/>
      <c r="AJ43" s="134"/>
      <c r="AK43" s="135">
        <f t="shared" si="7"/>
        <v>31.37543956043956</v>
      </c>
      <c r="AL43" s="143">
        <v>6.5736263736263743</v>
      </c>
      <c r="AM43" s="143">
        <v>11.775054945054945</v>
      </c>
      <c r="AN43" s="143">
        <v>4.4511428571428571</v>
      </c>
      <c r="AO43" s="143">
        <v>3.6511648351648351</v>
      </c>
      <c r="AP43" s="143">
        <v>4.9244505494505493</v>
      </c>
      <c r="AQ43" s="101"/>
      <c r="AR43" s="101"/>
      <c r="AS43" s="101"/>
      <c r="AT43" s="101"/>
      <c r="AU43" s="134">
        <f t="shared" si="8"/>
        <v>13.026758241758241</v>
      </c>
      <c r="AV43" s="134" t="str">
        <f t="shared" si="9"/>
        <v/>
      </c>
      <c r="AW43" s="134"/>
      <c r="AX43" s="134"/>
      <c r="AY43" s="136">
        <f t="shared" si="26"/>
        <v>4.2373407323573607E-2</v>
      </c>
      <c r="AZ43" s="136">
        <f t="shared" si="27"/>
        <v>-6.0910518053375107E-2</v>
      </c>
      <c r="BA43" s="136">
        <f t="shared" si="28"/>
        <v>0.18939948939948939</v>
      </c>
      <c r="BB43" s="136">
        <f t="shared" si="29"/>
        <v>1.1623376623376525E-2</v>
      </c>
      <c r="BC43" s="136">
        <f t="shared" si="30"/>
        <v>-0.17018981018981028</v>
      </c>
      <c r="BD43" s="136">
        <f t="shared" si="31"/>
        <v>0.11919330669330656</v>
      </c>
      <c r="BE43" s="136" t="str">
        <f t="shared" si="32"/>
        <v/>
      </c>
      <c r="BF43" s="136" t="str">
        <f t="shared" si="33"/>
        <v/>
      </c>
      <c r="BG43" s="136" t="str">
        <f t="shared" si="34"/>
        <v/>
      </c>
      <c r="BH43" s="136" t="str">
        <f t="shared" si="35"/>
        <v/>
      </c>
      <c r="BI43" s="136">
        <f t="shared" si="36"/>
        <v>-1.3124375624375758E-2</v>
      </c>
      <c r="BJ43" s="136" t="str">
        <f t="shared" si="37"/>
        <v/>
      </c>
      <c r="BK43" s="136" t="str">
        <f t="shared" si="38"/>
        <v/>
      </c>
      <c r="BL43" s="136" t="str">
        <f t="shared" si="39"/>
        <v/>
      </c>
      <c r="BM43" s="76"/>
      <c r="BN43" s="76"/>
    </row>
    <row r="44" spans="1:66" ht="12.75">
      <c r="A44" s="148" t="s">
        <v>242</v>
      </c>
      <c r="B44" s="128" t="s">
        <v>279</v>
      </c>
      <c r="C44" s="139"/>
      <c r="D44" s="141">
        <v>0.68472222222222223</v>
      </c>
      <c r="E44" s="144">
        <v>89.36712</v>
      </c>
      <c r="F44" s="129"/>
      <c r="G44" s="129"/>
      <c r="H44" s="131"/>
      <c r="I44" s="149" t="s">
        <v>94</v>
      </c>
      <c r="J44" s="128">
        <f>IF(ISERROR(VLOOKUP(I44,Max_Load_France!$B$2:$C$102,2,FALSE)/1000),"",VLOOKUP(I44,Max_Load_France!$B$2:$C$102,2,FALSE)/1000)</f>
        <v>40</v>
      </c>
      <c r="K44" s="129"/>
      <c r="L44" s="130">
        <f t="shared" si="0"/>
        <v>0.42250000000000004</v>
      </c>
      <c r="M44" s="131">
        <f>IF(VLOOKUP($I44,Max_Load_France!$B$2:$M$102,3,FALSE)="","",VLOOKUP($I44,Max_Load_France!$B$2:$M$102,3,FALSE))</f>
        <v>0</v>
      </c>
      <c r="N44" s="131">
        <f>IF(VLOOKUP($I44,Max_Load_France!$B$2:$M$102,4,FALSE)="","",VLOOKUP($I44,Max_Load_France!$B$2:$M$102,4,FALSE))</f>
        <v>0</v>
      </c>
      <c r="O44" s="131">
        <f>IF(VLOOKUP($I44,Max_Load_France!$B$2:$M$102,5,FALSE)="","",VLOOKUP($I44,Max_Load_France!$B$2:$M$102,5,FALSE))</f>
        <v>1</v>
      </c>
      <c r="P44" s="131">
        <f>IF(VLOOKUP($I44,Max_Load_France!$B$2:$M$102,6,FALSE)="","",VLOOKUP($I44,Max_Load_France!$B$2:$M$102,6,FALSE))</f>
        <v>1</v>
      </c>
      <c r="Q44" s="131">
        <f>IF(VLOOKUP($I44,Max_Load_France!$B$2:$M$102,7,FALSE)="","",VLOOKUP($I44,Max_Load_France!$B$2:$M$102,7,FALSE))</f>
        <v>1</v>
      </c>
      <c r="R44" s="131" t="str">
        <f>IF(VLOOKUP($I44,Max_Load_France!$B$2:$M$102,8,FALSE)="","",VLOOKUP($I44,Max_Load_France!$B$2:$M$102,8,FALSE))</f>
        <v/>
      </c>
      <c r="S44" s="131" t="str">
        <f>IF(VLOOKUP($I44,Max_Load_France!$B$2:$M$102,9,FALSE)="","",VLOOKUP($I44,Max_Load_France!$B$2:$M$102,9,FALSE))</f>
        <v/>
      </c>
      <c r="T44" s="131" t="str">
        <f>IF(VLOOKUP($I44,Max_Load_France!$B$2:$M$102,10,FALSE)="","",VLOOKUP($I44,Max_Load_France!$B$2:$M$102,10,FALSE))</f>
        <v/>
      </c>
      <c r="U44" s="131" t="str">
        <f>IF(VLOOKUP($I44,Max_Load_France!$B$2:$M$102,11,FALSE)="","",VLOOKUP($I44,Max_Load_France!$B$2:$M$102,11,FALSE))</f>
        <v/>
      </c>
      <c r="V44" s="148">
        <v>5</v>
      </c>
      <c r="W44" s="132">
        <f t="shared" si="2"/>
        <v>16.900000000000002</v>
      </c>
      <c r="X44" s="142">
        <v>5.7</v>
      </c>
      <c r="Y44" s="142">
        <v>4.0999999999999996</v>
      </c>
      <c r="Z44" s="142">
        <v>2.4</v>
      </c>
      <c r="AA44" s="142">
        <v>2.4</v>
      </c>
      <c r="AB44" s="142">
        <v>2.2999999999999998</v>
      </c>
      <c r="AC44" s="142"/>
      <c r="AD44" s="142"/>
      <c r="AE44" s="142"/>
      <c r="AF44" s="142"/>
      <c r="AG44" s="134">
        <f t="shared" si="3"/>
        <v>7.1</v>
      </c>
      <c r="AH44" s="134" t="str">
        <f t="shared" si="4"/>
        <v/>
      </c>
      <c r="AI44" s="134"/>
      <c r="AJ44" s="134"/>
      <c r="AK44" s="135">
        <f t="shared" si="7"/>
        <v>15.100313186813187</v>
      </c>
      <c r="AL44" s="133">
        <v>5.4254835164835162</v>
      </c>
      <c r="AM44" s="133">
        <v>4.5764725274725278</v>
      </c>
      <c r="AN44" s="133">
        <v>0.76481868131868136</v>
      </c>
      <c r="AO44" s="133">
        <v>3.0735604395604397</v>
      </c>
      <c r="AP44" s="133">
        <v>1.2599780219780221</v>
      </c>
      <c r="AQ44" s="143"/>
      <c r="AR44" s="143"/>
      <c r="AS44" s="143"/>
      <c r="AT44" s="143"/>
      <c r="AU44" s="134">
        <f t="shared" si="8"/>
        <v>5.098357142857143</v>
      </c>
      <c r="AV44" s="134" t="str">
        <f t="shared" si="9"/>
        <v/>
      </c>
      <c r="AW44" s="134"/>
      <c r="AX44" s="134"/>
      <c r="AY44" s="136">
        <f t="shared" si="26"/>
        <v>-0.10649034397555118</v>
      </c>
      <c r="AZ44" s="136">
        <f t="shared" si="27"/>
        <v>-4.8160786581839289E-2</v>
      </c>
      <c r="BA44" s="136">
        <f t="shared" si="28"/>
        <v>0.11621281157866541</v>
      </c>
      <c r="BB44" s="136">
        <f t="shared" si="29"/>
        <v>-0.68132554945054935</v>
      </c>
      <c r="BC44" s="136">
        <f t="shared" si="30"/>
        <v>0.28065018315018325</v>
      </c>
      <c r="BD44" s="136">
        <f t="shared" si="31"/>
        <v>-0.45218346870520776</v>
      </c>
      <c r="BE44" s="136" t="str">
        <f t="shared" si="32"/>
        <v/>
      </c>
      <c r="BF44" s="136" t="str">
        <f t="shared" si="33"/>
        <v/>
      </c>
      <c r="BG44" s="136" t="str">
        <f t="shared" si="34"/>
        <v/>
      </c>
      <c r="BH44" s="136" t="str">
        <f t="shared" si="35"/>
        <v/>
      </c>
      <c r="BI44" s="136">
        <f t="shared" si="36"/>
        <v>-0.28192152917505026</v>
      </c>
      <c r="BJ44" s="136" t="str">
        <f t="shared" si="37"/>
        <v/>
      </c>
      <c r="BK44" s="136" t="str">
        <f t="shared" si="38"/>
        <v/>
      </c>
      <c r="BL44" s="136" t="str">
        <f t="shared" si="39"/>
        <v/>
      </c>
      <c r="BM44" s="76"/>
      <c r="BN44" s="76"/>
    </row>
    <row r="45" spans="1:66" ht="12.75">
      <c r="A45" s="148" t="s">
        <v>243</v>
      </c>
      <c r="B45" s="128" t="s">
        <v>281</v>
      </c>
      <c r="C45" s="139"/>
      <c r="D45" s="125">
        <v>0.68819444444444444</v>
      </c>
      <c r="E45" s="144">
        <v>62.217719999999993</v>
      </c>
      <c r="F45" s="137"/>
      <c r="G45" s="137"/>
      <c r="H45" s="137"/>
      <c r="I45" s="149" t="s">
        <v>130</v>
      </c>
      <c r="J45" s="128">
        <f>IF(ISERROR(VLOOKUP(I45,Max_Load_France!$B$2:$C$102,2,FALSE)/1000),"",VLOOKUP(I45,Max_Load_France!$B$2:$C$102,2,FALSE)/1000)</f>
        <v>40</v>
      </c>
      <c r="K45" s="137"/>
      <c r="L45" s="130">
        <f t="shared" si="0"/>
        <v>0.64250000000000007</v>
      </c>
      <c r="M45" s="131">
        <f>IF(VLOOKUP($I45,Max_Load_France!$B$2:$M$102,3,FALSE)="","",VLOOKUP($I45,Max_Load_France!$B$2:$M$102,3,FALSE))</f>
        <v>0</v>
      </c>
      <c r="N45" s="131">
        <f>IF(VLOOKUP($I45,Max_Load_France!$B$2:$M$102,4,FALSE)="","",VLOOKUP($I45,Max_Load_France!$B$2:$M$102,4,FALSE))</f>
        <v>1</v>
      </c>
      <c r="O45" s="131">
        <f>IF(VLOOKUP($I45,Max_Load_France!$B$2:$M$102,5,FALSE)="","",VLOOKUP($I45,Max_Load_France!$B$2:$M$102,5,FALSE))</f>
        <v>1</v>
      </c>
      <c r="P45" s="131">
        <f>IF(VLOOKUP($I45,Max_Load_France!$B$2:$M$102,6,FALSE)="","",VLOOKUP($I45,Max_Load_France!$B$2:$M$102,6,FALSE))</f>
        <v>2</v>
      </c>
      <c r="Q45" s="131">
        <f>IF(VLOOKUP($I45,Max_Load_France!$B$2:$M$102,7,FALSE)="","",VLOOKUP($I45,Max_Load_France!$B$2:$M$102,7,FALSE))</f>
        <v>2</v>
      </c>
      <c r="R45" s="131" t="str">
        <f>IF(VLOOKUP($I45,Max_Load_France!$B$2:$M$102,8,FALSE)="","",VLOOKUP($I45,Max_Load_France!$B$2:$M$102,8,FALSE))</f>
        <v/>
      </c>
      <c r="S45" s="131" t="str">
        <f>IF(VLOOKUP($I45,Max_Load_France!$B$2:$M$102,9,FALSE)="","",VLOOKUP($I45,Max_Load_France!$B$2:$M$102,9,FALSE))</f>
        <v/>
      </c>
      <c r="T45" s="131" t="str">
        <f>IF(VLOOKUP($I45,Max_Load_France!$B$2:$M$102,10,FALSE)="","",VLOOKUP($I45,Max_Load_France!$B$2:$M$102,10,FALSE))</f>
        <v/>
      </c>
      <c r="U45" s="131" t="str">
        <f>IF(VLOOKUP($I45,Max_Load_France!$B$2:$M$102,11,FALSE)="","",VLOOKUP($I45,Max_Load_France!$B$2:$M$102,11,FALSE))</f>
        <v/>
      </c>
      <c r="V45" s="148">
        <v>5</v>
      </c>
      <c r="W45" s="132">
        <f t="shared" si="2"/>
        <v>25.700000000000003</v>
      </c>
      <c r="X45" s="146">
        <v>5.7</v>
      </c>
      <c r="Y45" s="146">
        <v>8.5</v>
      </c>
      <c r="Z45" s="146">
        <v>2.6</v>
      </c>
      <c r="AA45" s="146">
        <v>4.5</v>
      </c>
      <c r="AB45" s="146">
        <v>4.4000000000000004</v>
      </c>
      <c r="AC45" s="146"/>
      <c r="AD45" s="146"/>
      <c r="AE45" s="146"/>
      <c r="AF45" s="146"/>
      <c r="AG45" s="134">
        <f t="shared" si="3"/>
        <v>11.1</v>
      </c>
      <c r="AH45" s="134">
        <f t="shared" si="4"/>
        <v>8.9</v>
      </c>
      <c r="AI45" s="134"/>
      <c r="AJ45" s="134"/>
      <c r="AK45" s="135">
        <f t="shared" si="7"/>
        <v>26.217065934065936</v>
      </c>
      <c r="AL45" s="147">
        <v>6.3258131868131873</v>
      </c>
      <c r="AM45" s="147">
        <v>9.0508901098901102</v>
      </c>
      <c r="AN45" s="147">
        <v>2.9037032967032967</v>
      </c>
      <c r="AO45" s="147">
        <v>3.2533406593406595</v>
      </c>
      <c r="AP45" s="147">
        <v>4.6833186813186813</v>
      </c>
      <c r="AQ45" s="147"/>
      <c r="AR45" s="147"/>
      <c r="AS45" s="147"/>
      <c r="AT45" s="147"/>
      <c r="AU45" s="134">
        <f t="shared" si="8"/>
        <v>11.954593406593407</v>
      </c>
      <c r="AV45" s="134">
        <f t="shared" si="9"/>
        <v>7.9366593406593413</v>
      </c>
      <c r="AW45" s="134"/>
      <c r="AX45" s="134"/>
      <c r="AY45" s="136">
        <f t="shared" si="26"/>
        <v>2.0119297045367031E-2</v>
      </c>
      <c r="AZ45" s="136">
        <f t="shared" si="27"/>
        <v>0.10979178716020827</v>
      </c>
      <c r="BA45" s="136">
        <f t="shared" si="28"/>
        <v>6.4810601163542383E-2</v>
      </c>
      <c r="BB45" s="136">
        <f t="shared" si="29"/>
        <v>0.11680896027049871</v>
      </c>
      <c r="BC45" s="136">
        <f t="shared" si="30"/>
        <v>-0.27703540903540902</v>
      </c>
      <c r="BD45" s="136">
        <f t="shared" si="31"/>
        <v>6.439060939060931E-2</v>
      </c>
      <c r="BE45" s="136" t="str">
        <f t="shared" si="32"/>
        <v/>
      </c>
      <c r="BF45" s="136" t="str">
        <f t="shared" si="33"/>
        <v/>
      </c>
      <c r="BG45" s="136" t="str">
        <f t="shared" si="34"/>
        <v/>
      </c>
      <c r="BH45" s="136" t="str">
        <f t="shared" si="35"/>
        <v/>
      </c>
      <c r="BI45" s="136">
        <f t="shared" si="36"/>
        <v>7.6990396990397059E-2</v>
      </c>
      <c r="BJ45" s="136">
        <f t="shared" si="37"/>
        <v>-0.10824052352142235</v>
      </c>
      <c r="BK45" s="136" t="str">
        <f t="shared" si="38"/>
        <v/>
      </c>
      <c r="BL45" s="136" t="str">
        <f t="shared" si="39"/>
        <v/>
      </c>
      <c r="BM45" s="76"/>
      <c r="BN45" s="76"/>
    </row>
    <row r="46" spans="1:66" ht="12.75">
      <c r="A46" s="148" t="s">
        <v>244</v>
      </c>
      <c r="B46" s="128" t="s">
        <v>280</v>
      </c>
      <c r="C46" s="139"/>
      <c r="D46" s="125">
        <v>0.68680555555555556</v>
      </c>
      <c r="E46" s="140">
        <v>60.932159999999996</v>
      </c>
      <c r="F46" s="137"/>
      <c r="G46" s="137"/>
      <c r="H46" s="137"/>
      <c r="I46" s="149" t="s">
        <v>94</v>
      </c>
      <c r="J46" s="128">
        <f>IF(ISERROR(VLOOKUP(I46,Max_Load_France!$B$2:$C$102,2,FALSE)/1000),"",VLOOKUP(I46,Max_Load_France!$B$2:$C$102,2,FALSE)/1000)</f>
        <v>40</v>
      </c>
      <c r="K46" s="137"/>
      <c r="L46" s="130">
        <f t="shared" si="0"/>
        <v>0.95749999999999991</v>
      </c>
      <c r="M46" s="131">
        <f>IF(VLOOKUP($I46,Max_Load_France!$B$2:$M$102,3,FALSE)="","",VLOOKUP($I46,Max_Load_France!$B$2:$M$102,3,FALSE))</f>
        <v>0</v>
      </c>
      <c r="N46" s="131">
        <f>IF(VLOOKUP($I46,Max_Load_France!$B$2:$M$102,4,FALSE)="","",VLOOKUP($I46,Max_Load_France!$B$2:$M$102,4,FALSE))</f>
        <v>0</v>
      </c>
      <c r="O46" s="131">
        <f>IF(VLOOKUP($I46,Max_Load_France!$B$2:$M$102,5,FALSE)="","",VLOOKUP($I46,Max_Load_France!$B$2:$M$102,5,FALSE))</f>
        <v>1</v>
      </c>
      <c r="P46" s="131">
        <f>IF(VLOOKUP($I46,Max_Load_France!$B$2:$M$102,6,FALSE)="","",VLOOKUP($I46,Max_Load_France!$B$2:$M$102,6,FALSE))</f>
        <v>1</v>
      </c>
      <c r="Q46" s="131">
        <f>IF(VLOOKUP($I46,Max_Load_France!$B$2:$M$102,7,FALSE)="","",VLOOKUP($I46,Max_Load_France!$B$2:$M$102,7,FALSE))</f>
        <v>1</v>
      </c>
      <c r="R46" s="131" t="str">
        <f>IF(VLOOKUP($I46,Max_Load_France!$B$2:$M$102,8,FALSE)="","",VLOOKUP($I46,Max_Load_France!$B$2:$M$102,8,FALSE))</f>
        <v/>
      </c>
      <c r="S46" s="131" t="str">
        <f>IF(VLOOKUP($I46,Max_Load_France!$B$2:$M$102,9,FALSE)="","",VLOOKUP($I46,Max_Load_France!$B$2:$M$102,9,FALSE))</f>
        <v/>
      </c>
      <c r="T46" s="131" t="str">
        <f>IF(VLOOKUP($I46,Max_Load_France!$B$2:$M$102,10,FALSE)="","",VLOOKUP($I46,Max_Load_France!$B$2:$M$102,10,FALSE))</f>
        <v/>
      </c>
      <c r="U46" s="131" t="str">
        <f>IF(VLOOKUP($I46,Max_Load_France!$B$2:$M$102,11,FALSE)="","",VLOOKUP($I46,Max_Load_France!$B$2:$M$102,11,FALSE))</f>
        <v/>
      </c>
      <c r="V46" s="148">
        <v>5</v>
      </c>
      <c r="W46" s="132">
        <f t="shared" si="2"/>
        <v>38.299999999999997</v>
      </c>
      <c r="X46" s="146">
        <v>6.5</v>
      </c>
      <c r="Y46" s="146">
        <v>10.5</v>
      </c>
      <c r="Z46" s="146">
        <v>7</v>
      </c>
      <c r="AA46" s="146">
        <v>7.2</v>
      </c>
      <c r="AB46" s="146">
        <v>7.1</v>
      </c>
      <c r="AC46" s="146"/>
      <c r="AD46" s="146"/>
      <c r="AE46" s="146"/>
      <c r="AF46" s="146"/>
      <c r="AG46" s="134">
        <f t="shared" si="3"/>
        <v>21.299999999999997</v>
      </c>
      <c r="AH46" s="134" t="str">
        <f t="shared" si="4"/>
        <v/>
      </c>
      <c r="AI46" s="134"/>
      <c r="AJ46" s="134"/>
      <c r="AK46" s="135">
        <f t="shared" si="7"/>
        <v>37.736637362637367</v>
      </c>
      <c r="AL46" s="147">
        <v>5.2254505494505494</v>
      </c>
      <c r="AM46" s="147">
        <v>11.865824175824176</v>
      </c>
      <c r="AN46" s="147">
        <v>5.8009450549450552</v>
      </c>
      <c r="AO46" s="147">
        <v>7.6389230769230778</v>
      </c>
      <c r="AP46" s="147">
        <v>7.2054945054945048</v>
      </c>
      <c r="AQ46" s="147"/>
      <c r="AR46" s="147"/>
      <c r="AS46" s="147"/>
      <c r="AT46" s="147"/>
      <c r="AU46" s="134">
        <f t="shared" si="8"/>
        <v>20.645362637362638</v>
      </c>
      <c r="AV46" s="134" t="str">
        <f t="shared" si="9"/>
        <v/>
      </c>
      <c r="AW46" s="134"/>
      <c r="AX46" s="134"/>
      <c r="AY46" s="136">
        <f t="shared" si="26"/>
        <v>-1.4709207241844125E-2</v>
      </c>
      <c r="AZ46" s="136">
        <f t="shared" si="27"/>
        <v>-0.19608453085376162</v>
      </c>
      <c r="BA46" s="136">
        <f t="shared" si="28"/>
        <v>0.13007849293563586</v>
      </c>
      <c r="BB46" s="136">
        <f t="shared" si="29"/>
        <v>-0.17129356357927783</v>
      </c>
      <c r="BC46" s="136">
        <f t="shared" si="30"/>
        <v>6.096153846153856E-2</v>
      </c>
      <c r="BD46" s="136">
        <f t="shared" si="31"/>
        <v>1.4858381055564102E-2</v>
      </c>
      <c r="BE46" s="136" t="str">
        <f t="shared" si="32"/>
        <v/>
      </c>
      <c r="BF46" s="136" t="str">
        <f t="shared" si="33"/>
        <v/>
      </c>
      <c r="BG46" s="136" t="str">
        <f t="shared" si="34"/>
        <v/>
      </c>
      <c r="BH46" s="136" t="str">
        <f t="shared" si="35"/>
        <v/>
      </c>
      <c r="BI46" s="136">
        <f t="shared" si="36"/>
        <v>-3.0734148480627204E-2</v>
      </c>
      <c r="BJ46" s="136" t="str">
        <f t="shared" si="37"/>
        <v/>
      </c>
      <c r="BK46" s="136" t="str">
        <f t="shared" si="38"/>
        <v/>
      </c>
      <c r="BL46" s="136" t="str">
        <f t="shared" si="39"/>
        <v/>
      </c>
      <c r="BM46" s="76"/>
      <c r="BN46" s="76"/>
    </row>
    <row r="47" spans="1:66" ht="12.75">
      <c r="A47" s="148" t="s">
        <v>245</v>
      </c>
      <c r="B47" s="128" t="s">
        <v>277</v>
      </c>
      <c r="C47" s="139"/>
      <c r="D47" s="125">
        <v>0.67083333333333339</v>
      </c>
      <c r="E47" s="140">
        <v>53.620200000000004</v>
      </c>
      <c r="F47" s="137"/>
      <c r="G47" s="137"/>
      <c r="H47" s="137"/>
      <c r="I47" s="149" t="s">
        <v>94</v>
      </c>
      <c r="J47" s="128">
        <f>IF(ISERROR(VLOOKUP(I47,Max_Load_France!$B$2:$C$102,2,FALSE)/1000),"",VLOOKUP(I47,Max_Load_France!$B$2:$C$102,2,FALSE)/1000)</f>
        <v>40</v>
      </c>
      <c r="K47" s="137"/>
      <c r="L47" s="130">
        <f t="shared" si="0"/>
        <v>0.80500000000000005</v>
      </c>
      <c r="M47" s="131">
        <f>IF(VLOOKUP($I47,Max_Load_France!$B$2:$M$102,3,FALSE)="","",VLOOKUP($I47,Max_Load_France!$B$2:$M$102,3,FALSE))</f>
        <v>0</v>
      </c>
      <c r="N47" s="131">
        <f>IF(VLOOKUP($I47,Max_Load_France!$B$2:$M$102,4,FALSE)="","",VLOOKUP($I47,Max_Load_France!$B$2:$M$102,4,FALSE))</f>
        <v>0</v>
      </c>
      <c r="O47" s="131">
        <f>IF(VLOOKUP($I47,Max_Load_France!$B$2:$M$102,5,FALSE)="","",VLOOKUP($I47,Max_Load_France!$B$2:$M$102,5,FALSE))</f>
        <v>1</v>
      </c>
      <c r="P47" s="131">
        <f>IF(VLOOKUP($I47,Max_Load_France!$B$2:$M$102,6,FALSE)="","",VLOOKUP($I47,Max_Load_France!$B$2:$M$102,6,FALSE))</f>
        <v>1</v>
      </c>
      <c r="Q47" s="131">
        <f>IF(VLOOKUP($I47,Max_Load_France!$B$2:$M$102,7,FALSE)="","",VLOOKUP($I47,Max_Load_France!$B$2:$M$102,7,FALSE))</f>
        <v>1</v>
      </c>
      <c r="R47" s="131" t="str">
        <f>IF(VLOOKUP($I47,Max_Load_France!$B$2:$M$102,8,FALSE)="","",VLOOKUP($I47,Max_Load_France!$B$2:$M$102,8,FALSE))</f>
        <v/>
      </c>
      <c r="S47" s="131" t="str">
        <f>IF(VLOOKUP($I47,Max_Load_France!$B$2:$M$102,9,FALSE)="","",VLOOKUP($I47,Max_Load_France!$B$2:$M$102,9,FALSE))</f>
        <v/>
      </c>
      <c r="T47" s="131" t="str">
        <f>IF(VLOOKUP($I47,Max_Load_France!$B$2:$M$102,10,FALSE)="","",VLOOKUP($I47,Max_Load_France!$B$2:$M$102,10,FALSE))</f>
        <v/>
      </c>
      <c r="U47" s="131" t="str">
        <f>IF(VLOOKUP($I47,Max_Load_France!$B$2:$M$102,11,FALSE)="","",VLOOKUP($I47,Max_Load_France!$B$2:$M$102,11,FALSE))</f>
        <v/>
      </c>
      <c r="V47" s="148">
        <v>5</v>
      </c>
      <c r="W47" s="132">
        <f t="shared" si="2"/>
        <v>32.200000000000003</v>
      </c>
      <c r="X47" s="146">
        <v>7.2</v>
      </c>
      <c r="Y47" s="146">
        <v>9.6999999999999993</v>
      </c>
      <c r="Z47" s="146">
        <v>5.5</v>
      </c>
      <c r="AA47" s="146">
        <v>5.0999999999999996</v>
      </c>
      <c r="AB47" s="146">
        <v>4.7</v>
      </c>
      <c r="AC47" s="146"/>
      <c r="AD47" s="146"/>
      <c r="AE47" s="146"/>
      <c r="AF47" s="146"/>
      <c r="AG47" s="134">
        <f t="shared" si="3"/>
        <v>15.3</v>
      </c>
      <c r="AH47" s="134" t="str">
        <f t="shared" si="4"/>
        <v/>
      </c>
      <c r="AI47" s="134"/>
      <c r="AJ47" s="134"/>
      <c r="AK47" s="135">
        <f t="shared" si="7"/>
        <v>40.225373626373624</v>
      </c>
      <c r="AL47" s="147">
        <v>6.2430769230769227</v>
      </c>
      <c r="AM47" s="147">
        <v>13.196813186813186</v>
      </c>
      <c r="AN47" s="147">
        <v>6.391285714285714</v>
      </c>
      <c r="AO47" s="147">
        <v>6.0909230769230769</v>
      </c>
      <c r="AP47" s="147">
        <v>8.3032747252747257</v>
      </c>
      <c r="AQ47" s="147"/>
      <c r="AR47" s="147"/>
      <c r="AS47" s="147"/>
      <c r="AT47" s="147"/>
      <c r="AU47" s="134">
        <f t="shared" si="8"/>
        <v>20.785483516483517</v>
      </c>
      <c r="AV47" s="134" t="str">
        <f t="shared" si="9"/>
        <v/>
      </c>
      <c r="AW47" s="134"/>
      <c r="AX47" s="134"/>
      <c r="AY47" s="136">
        <f t="shared" si="26"/>
        <v>0.24923520578800065</v>
      </c>
      <c r="AZ47" s="136">
        <f t="shared" si="27"/>
        <v>-0.13290598290598296</v>
      </c>
      <c r="BA47" s="136">
        <f t="shared" si="28"/>
        <v>0.36049620482610173</v>
      </c>
      <c r="BB47" s="136">
        <f t="shared" si="29"/>
        <v>0.162051948051948</v>
      </c>
      <c r="BC47" s="136">
        <f t="shared" si="30"/>
        <v>0.19429864253393672</v>
      </c>
      <c r="BD47" s="136">
        <f t="shared" si="31"/>
        <v>0.76665419686696279</v>
      </c>
      <c r="BE47" s="136" t="str">
        <f t="shared" si="32"/>
        <v/>
      </c>
      <c r="BF47" s="136" t="str">
        <f t="shared" si="33"/>
        <v/>
      </c>
      <c r="BG47" s="136" t="str">
        <f t="shared" si="34"/>
        <v/>
      </c>
      <c r="BH47" s="136" t="str">
        <f t="shared" si="35"/>
        <v/>
      </c>
      <c r="BI47" s="136">
        <f t="shared" si="36"/>
        <v>0.35852833441068727</v>
      </c>
      <c r="BJ47" s="136" t="str">
        <f t="shared" si="37"/>
        <v/>
      </c>
      <c r="BK47" s="136" t="str">
        <f t="shared" si="38"/>
        <v/>
      </c>
      <c r="BL47" s="136" t="str">
        <f t="shared" si="39"/>
        <v/>
      </c>
      <c r="BM47" s="76"/>
      <c r="BN47" s="76"/>
    </row>
    <row r="48" spans="1:66" ht="12.75">
      <c r="A48" s="73"/>
      <c r="B48" s="74"/>
      <c r="C48" s="91"/>
      <c r="I48" s="124"/>
      <c r="J48" s="74"/>
      <c r="L48" s="98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99"/>
      <c r="X48" s="110"/>
      <c r="Y48" s="110"/>
      <c r="Z48" s="110"/>
      <c r="AA48" s="110"/>
      <c r="AB48" s="110"/>
      <c r="AC48" s="110"/>
      <c r="AD48" s="110"/>
      <c r="AE48" s="110"/>
      <c r="AF48" s="110"/>
      <c r="AG48" s="75"/>
      <c r="AH48" s="75"/>
      <c r="AI48" s="75"/>
      <c r="AJ48" s="75"/>
      <c r="AK48" s="106"/>
      <c r="AL48" s="111"/>
      <c r="AM48" s="111"/>
      <c r="AN48" s="111"/>
      <c r="AO48" s="111"/>
      <c r="AP48" s="111"/>
      <c r="AQ48" s="111"/>
      <c r="AR48" s="111"/>
      <c r="AS48" s="111"/>
      <c r="AT48" s="111"/>
      <c r="AU48" s="75"/>
      <c r="AV48" s="75"/>
      <c r="AW48" s="75"/>
      <c r="AX48" s="75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76"/>
      <c r="BN48" s="76"/>
    </row>
  </sheetData>
  <dataConsolidate/>
  <mergeCells count="28">
    <mergeCell ref="A10:A11"/>
    <mergeCell ref="C10:C11"/>
    <mergeCell ref="D10:D11"/>
    <mergeCell ref="E10:E11"/>
    <mergeCell ref="AQ4:AX4"/>
    <mergeCell ref="AQ5:AX5"/>
    <mergeCell ref="AQ6:AX6"/>
    <mergeCell ref="F10:F11"/>
    <mergeCell ref="G10:G11"/>
    <mergeCell ref="H10:H11"/>
    <mergeCell ref="L10:L11"/>
    <mergeCell ref="B10:B11"/>
    <mergeCell ref="I10:K10"/>
    <mergeCell ref="M10:V10"/>
    <mergeCell ref="AK10:AX10"/>
    <mergeCell ref="W10:AJ10"/>
    <mergeCell ref="AY10:BL10"/>
    <mergeCell ref="C3:H3"/>
    <mergeCell ref="C4:H4"/>
    <mergeCell ref="C5:H5"/>
    <mergeCell ref="C6:H6"/>
    <mergeCell ref="AQ7:AX7"/>
    <mergeCell ref="AQ3:BB3"/>
    <mergeCell ref="Z3:AK3"/>
    <mergeCell ref="Z4:AG4"/>
    <mergeCell ref="Z5:AG5"/>
    <mergeCell ref="Z6:AG6"/>
    <mergeCell ref="Z7:AG7"/>
  </mergeCells>
  <phoneticPr fontId="4" type="noConversion"/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Donnée non valide" error="Ce type n'existe pas">
          <x14:formula1>
            <xm:f>Max_Load_France!$B$3:$B$100</xm:f>
          </x14:formula1>
          <xm:sqref>I48</xm:sqref>
        </x14:dataValidation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I12:I47 I49:I1048576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00B0F0"/>
    <pageSetUpPr fitToPage="1"/>
  </sheetPr>
  <dimension ref="A1:CA58"/>
  <sheetViews>
    <sheetView topLeftCell="A3" zoomScaleNormal="100" workbookViewId="0">
      <pane xSplit="1" ySplit="9" topLeftCell="I12" activePane="bottomRight" state="frozen"/>
      <selection activeCell="A3" sqref="A3"/>
      <selection pane="topRight" activeCell="B3" sqref="B3"/>
      <selection pane="bottomLeft" activeCell="A12" sqref="A12"/>
      <selection pane="bottomRight" activeCell="AY50" sqref="AY50:BJ50"/>
    </sheetView>
  </sheetViews>
  <sheetFormatPr baseColWidth="10" defaultColWidth="11.5703125" defaultRowHeight="12.75"/>
  <cols>
    <col min="1" max="1" width="19.28515625" bestFit="1" customWidth="1"/>
    <col min="2" max="2" width="15.42578125" bestFit="1" customWidth="1"/>
    <col min="3" max="3" width="13.85546875" hidden="1" customWidth="1"/>
    <col min="4" max="4" width="9.7109375" customWidth="1"/>
    <col min="5" max="5" width="4.140625" customWidth="1"/>
    <col min="6" max="6" width="3.140625" hidden="1" customWidth="1"/>
    <col min="7" max="7" width="4" hidden="1" customWidth="1"/>
    <col min="8" max="8" width="4.85546875" hidden="1" customWidth="1"/>
    <col min="9" max="9" width="6.85546875" bestFit="1" customWidth="1"/>
    <col min="10" max="10" width="4.42578125" bestFit="1" customWidth="1"/>
    <col min="11" max="11" width="4.140625" hidden="1" customWidth="1"/>
    <col min="12" max="12" width="9.140625" customWidth="1"/>
    <col min="13" max="13" width="3.7109375" customWidth="1"/>
    <col min="14" max="15" width="3.5703125" customWidth="1"/>
    <col min="16" max="16" width="3.42578125" customWidth="1"/>
    <col min="17" max="17" width="4.42578125" customWidth="1"/>
    <col min="18" max="18" width="3.85546875" customWidth="1"/>
    <col min="19" max="19" width="3.7109375" hidden="1" customWidth="1"/>
    <col min="20" max="21" width="3.42578125" hidden="1" customWidth="1"/>
    <col min="22" max="22" width="2.85546875" bestFit="1" customWidth="1"/>
    <col min="23" max="23" width="5.28515625" customWidth="1"/>
    <col min="24" max="29" width="5.7109375" customWidth="1"/>
    <col min="30" max="30" width="5.7109375" hidden="1" customWidth="1"/>
    <col min="31" max="32" width="5" hidden="1" customWidth="1"/>
    <col min="33" max="33" width="7" customWidth="1"/>
    <col min="34" max="34" width="6.7109375" customWidth="1"/>
    <col min="35" max="35" width="7.140625" hidden="1" customWidth="1"/>
    <col min="36" max="36" width="6.5703125" hidden="1" customWidth="1"/>
    <col min="37" max="37" width="7.28515625" customWidth="1"/>
    <col min="38" max="42" width="5.140625" customWidth="1"/>
    <col min="43" max="43" width="4.7109375" customWidth="1"/>
    <col min="44" max="46" width="4.7109375" hidden="1" customWidth="1"/>
    <col min="47" max="48" width="4.85546875" bestFit="1" customWidth="1"/>
    <col min="49" max="49" width="6.140625" hidden="1" customWidth="1"/>
    <col min="50" max="50" width="3.85546875" hidden="1" customWidth="1"/>
    <col min="51" max="57" width="6.85546875" customWidth="1"/>
    <col min="58" max="60" width="6.85546875" bestFit="1" customWidth="1"/>
    <col min="61" max="61" width="6.42578125" customWidth="1"/>
    <col min="62" max="62" width="6.85546875" bestFit="1" customWidth="1"/>
    <col min="63" max="63" width="6.85546875" customWidth="1"/>
    <col min="64" max="65" width="12.7109375" hidden="1" customWidth="1"/>
    <col min="66" max="66" width="6.7109375" customWidth="1"/>
    <col min="67" max="67" width="7.140625" bestFit="1" customWidth="1"/>
  </cols>
  <sheetData>
    <row r="1" spans="1:79" s="77" customFormat="1" ht="11.25"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6"/>
    </row>
    <row r="2" spans="1:79" s="77" customFormat="1" ht="15">
      <c r="W2" s="78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</row>
    <row r="3" spans="1:79" s="77" customFormat="1" ht="24" customHeight="1">
      <c r="B3" s="153" t="s">
        <v>0</v>
      </c>
      <c r="C3" s="406" t="s">
        <v>283</v>
      </c>
      <c r="D3" s="406"/>
      <c r="E3" s="406"/>
      <c r="F3" s="406"/>
      <c r="G3" s="406"/>
      <c r="H3" s="406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Z3" s="421" t="s">
        <v>202</v>
      </c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3"/>
      <c r="AQ3" s="421" t="s">
        <v>196</v>
      </c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3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</row>
    <row r="4" spans="1:79" s="77" customFormat="1" ht="12.75" customHeight="1">
      <c r="B4" s="153" t="s">
        <v>1</v>
      </c>
      <c r="C4" s="406" t="s">
        <v>284</v>
      </c>
      <c r="D4" s="406"/>
      <c r="E4" s="406"/>
      <c r="F4" s="406"/>
      <c r="G4" s="406"/>
      <c r="H4" s="406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H4" s="66"/>
      <c r="BI4" s="6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</row>
    <row r="5" spans="1:79" s="77" customFormat="1" ht="12.75" customHeight="1">
      <c r="B5" s="153" t="s">
        <v>7</v>
      </c>
      <c r="C5" s="406" t="s">
        <v>201</v>
      </c>
      <c r="D5" s="406"/>
      <c r="E5" s="406"/>
      <c r="F5" s="406"/>
      <c r="G5" s="406"/>
      <c r="H5" s="406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COUNTIF($L$12:$L$48,"&gt;0,9")</f>
        <v>18</v>
      </c>
      <c r="AI5" s="117">
        <f t="array" ref="AI5">COUNT(IF($L$12:$L$48&gt;0.9,IF($M$12:$U$48&gt;=0,$M$12:$U$48,"")))</f>
        <v>91</v>
      </c>
      <c r="AJ5" s="80">
        <f t="array" ref="AJ5">COUNT(IF($L$12:$L$48&gt;0.9,IF($M$12:$U$48&gt;=1,$M$12:$U$48,"")))</f>
        <v>56</v>
      </c>
      <c r="AK5" s="80">
        <f t="array" ref="AK5">COUNT(IF($L$12:$L$48&gt;0.9,IF($AG$12:$AJ$48&gt;0,$AG$12:$AJ$48,"")))</f>
        <v>20</v>
      </c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COUNT(AY12:AY48)</f>
        <v>28</v>
      </c>
      <c r="AZ5" s="80">
        <f>COUNT(AZ12:BD47,0)</f>
        <v>54</v>
      </c>
      <c r="BA5" s="80">
        <f>COUNT(BE12:BI47,0)</f>
        <v>85</v>
      </c>
      <c r="BB5" s="80">
        <f>COUNT($BJ$12:$BM$48)</f>
        <v>32</v>
      </c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</row>
    <row r="6" spans="1:79" s="77" customFormat="1" ht="12.75" customHeight="1">
      <c r="B6" s="153" t="s">
        <v>354</v>
      </c>
      <c r="C6" s="406">
        <v>41</v>
      </c>
      <c r="D6" s="406"/>
      <c r="E6" s="406"/>
      <c r="F6" s="406"/>
      <c r="G6" s="406"/>
      <c r="H6" s="406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AVERAGEIF($L$12:$L$48,"&gt;0,9",$AY$12:$AY$48)</f>
        <v>9.1249279415133708E-2</v>
      </c>
      <c r="AI6" s="115">
        <f t="array" ref="AI6">AVERAGE(IF($L$12:$L$48&gt;0.9,IF($M$12:$U$47=0,$AZ$12:$BH$48,"")))</f>
        <v>7.355271135539676E-2</v>
      </c>
      <c r="AJ6" s="115">
        <f t="array" ref="AJ6">AVERAGE(IF($L$12:$L$48&gt;0.9,IF($M$12:$U$47&gt;=1,$AZ$12:$BH$48,"")))</f>
        <v>7.7685593637179085E-2</v>
      </c>
      <c r="AK6" s="115">
        <f t="array" ref="AK6">AVERAGE(IF($L$12:$L$48&gt;0.9,IF($AG$12:$AJ$48&gt;0,$BJ$12:$BM$48,"")))</f>
        <v>6.0800236266989244E-2</v>
      </c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AVERAGE($AY$12:$AY$48)</f>
        <v>8.8320217212550983E-2</v>
      </c>
      <c r="AZ6" s="115">
        <f>AVERAGE(AZ12:BD48)</f>
        <v>8.0470054836814339E-2</v>
      </c>
      <c r="BA6" s="115">
        <f>AVERAGE(BE12:BI48)</f>
        <v>6.5571374131237939E-2</v>
      </c>
      <c r="BB6" s="115">
        <f>AVERAGEIF($AG$12:$AJ$48,"&gt;0",$BJ$12:$BM$48)</f>
        <v>5.9645845349950218E-2</v>
      </c>
      <c r="BK6" s="340" t="s">
        <v>357</v>
      </c>
      <c r="BN6" s="351">
        <v>1</v>
      </c>
      <c r="BO6" s="338" t="s">
        <v>356</v>
      </c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</row>
    <row r="7" spans="1:79" s="77" customFormat="1" ht="12.75" customHeight="1">
      <c r="B7" s="81"/>
      <c r="C7" s="76"/>
      <c r="D7" s="76"/>
      <c r="E7" s="81"/>
      <c r="F7" s="81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STDEV(IF($L$12:$L$48&gt;0.9,$AY$12:$AY$48))</f>
        <v>0.13017543535659706</v>
      </c>
      <c r="AI7" s="115">
        <f t="array" ref="AI7">STDEV(IF($L$12:$L$48&gt;0.9,IF($M$12:$U$48=0,$AZ$12:$BH$48,"")))</f>
        <v>0.25839868748215788</v>
      </c>
      <c r="AJ7" s="115">
        <f t="array" ref="AJ7">STDEV(IF($L$12:$L$48&gt;0.9,IF($M$12:$U$48&gt;=1,$AZ$12:$BH$48,"")))</f>
        <v>0.18906419751497111</v>
      </c>
      <c r="AK7" s="115">
        <f t="array" ref="AK7">STDEV(IF($L$12:$L$48&gt;0.9,IF($AG$12:$AJ$48&gt;0,$BJ$12:$BM$48,"")))</f>
        <v>0.15728870503966727</v>
      </c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STDEV($AY$12:$AY$48)</f>
        <v>0.14656943677366979</v>
      </c>
      <c r="AZ7" s="115">
        <f>STDEV(AZ12:BD48)</f>
        <v>0.2542805505713327</v>
      </c>
      <c r="BA7" s="115">
        <f>STDEV(BE12:BI48)</f>
        <v>0.25415538011273603</v>
      </c>
      <c r="BB7" s="115">
        <f t="array" ref="BB7">STDEV(IF($AG$12:$AJ$47&gt;0,$BJ$12:$BM$47))</f>
        <v>0.17360772590041276</v>
      </c>
      <c r="BK7" s="340" t="s">
        <v>355</v>
      </c>
      <c r="BN7" s="351">
        <v>1</v>
      </c>
      <c r="BO7" s="338" t="s">
        <v>356</v>
      </c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</row>
    <row r="8" spans="1:79" s="77" customFormat="1" ht="12.75" customHeight="1">
      <c r="B8" s="81"/>
      <c r="C8" s="76"/>
      <c r="D8" s="76"/>
      <c r="E8" s="81"/>
      <c r="F8" s="8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</row>
    <row r="9" spans="1:79" s="77" customFormat="1" ht="12.75" customHeight="1">
      <c r="BK9" s="340" t="s">
        <v>367</v>
      </c>
      <c r="BN9" s="353">
        <v>0.8</v>
      </c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</row>
    <row r="10" spans="1:79" s="77" customFormat="1" ht="12.75" customHeight="1">
      <c r="A10" s="425" t="s">
        <v>181</v>
      </c>
      <c r="B10" s="425" t="s">
        <v>180</v>
      </c>
      <c r="C10" s="425" t="s">
        <v>182</v>
      </c>
      <c r="D10" s="426" t="s">
        <v>183</v>
      </c>
      <c r="E10" s="425" t="s">
        <v>13</v>
      </c>
      <c r="F10" s="425" t="s">
        <v>14</v>
      </c>
      <c r="G10" s="425" t="s">
        <v>15</v>
      </c>
      <c r="H10" s="425" t="s">
        <v>16</v>
      </c>
      <c r="I10" s="424" t="s">
        <v>17</v>
      </c>
      <c r="J10" s="424"/>
      <c r="K10" s="424"/>
      <c r="L10" s="426" t="s">
        <v>95</v>
      </c>
      <c r="M10" s="424" t="s">
        <v>18</v>
      </c>
      <c r="N10" s="424"/>
      <c r="O10" s="424"/>
      <c r="P10" s="424"/>
      <c r="Q10" s="424"/>
      <c r="R10" s="424"/>
      <c r="S10" s="424"/>
      <c r="T10" s="424"/>
      <c r="U10" s="424"/>
      <c r="V10" s="424"/>
      <c r="W10" s="424" t="s">
        <v>31</v>
      </c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 t="s">
        <v>30</v>
      </c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 t="s">
        <v>19</v>
      </c>
      <c r="AZ10" s="424"/>
      <c r="BA10" s="424"/>
      <c r="BB10" s="424"/>
      <c r="BC10" s="424"/>
      <c r="BD10" s="424"/>
      <c r="BE10" s="424"/>
      <c r="BF10" s="424"/>
      <c r="BG10" s="424"/>
      <c r="BH10" s="424"/>
      <c r="BI10" s="424"/>
      <c r="BJ10" s="424"/>
      <c r="BK10" s="424"/>
      <c r="BL10" s="424"/>
      <c r="BM10" s="424"/>
      <c r="BN10" s="336">
        <f>PERCENTILE(BN12:BN47,BN9)</f>
        <v>131.227</v>
      </c>
      <c r="BO10" s="33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</row>
    <row r="11" spans="1:79" s="77" customFormat="1" ht="12.75" customHeight="1">
      <c r="A11" s="425"/>
      <c r="B11" s="425"/>
      <c r="C11" s="425"/>
      <c r="D11" s="426"/>
      <c r="E11" s="425"/>
      <c r="F11" s="425"/>
      <c r="G11" s="425"/>
      <c r="H11" s="425"/>
      <c r="I11" s="330" t="s">
        <v>20</v>
      </c>
      <c r="J11" s="330" t="s">
        <v>165</v>
      </c>
      <c r="K11" s="330" t="s">
        <v>21</v>
      </c>
      <c r="L11" s="426"/>
      <c r="M11" s="330" t="s">
        <v>186</v>
      </c>
      <c r="N11" s="330" t="s">
        <v>187</v>
      </c>
      <c r="O11" s="330" t="s">
        <v>188</v>
      </c>
      <c r="P11" s="330" t="s">
        <v>189</v>
      </c>
      <c r="Q11" s="330" t="s">
        <v>190</v>
      </c>
      <c r="R11" s="330" t="s">
        <v>191</v>
      </c>
      <c r="S11" s="330" t="s">
        <v>192</v>
      </c>
      <c r="T11" s="330" t="s">
        <v>193</v>
      </c>
      <c r="U11" s="330" t="s">
        <v>194</v>
      </c>
      <c r="V11" s="330" t="s">
        <v>185</v>
      </c>
      <c r="W11" s="330" t="s">
        <v>3</v>
      </c>
      <c r="X11" s="330" t="s">
        <v>22</v>
      </c>
      <c r="Y11" s="330" t="s">
        <v>23</v>
      </c>
      <c r="Z11" s="330" t="s">
        <v>24</v>
      </c>
      <c r="AA11" s="330" t="s">
        <v>25</v>
      </c>
      <c r="AB11" s="330" t="s">
        <v>26</v>
      </c>
      <c r="AC11" s="330" t="s">
        <v>27</v>
      </c>
      <c r="AD11" s="330" t="s">
        <v>90</v>
      </c>
      <c r="AE11" s="330" t="s">
        <v>91</v>
      </c>
      <c r="AF11" s="330" t="s">
        <v>184</v>
      </c>
      <c r="AG11" s="330" t="s">
        <v>28</v>
      </c>
      <c r="AH11" s="330" t="s">
        <v>29</v>
      </c>
      <c r="AI11" s="330" t="s">
        <v>92</v>
      </c>
      <c r="AJ11" s="330" t="s">
        <v>93</v>
      </c>
      <c r="AK11" s="330" t="s">
        <v>3</v>
      </c>
      <c r="AL11" s="330" t="s">
        <v>22</v>
      </c>
      <c r="AM11" s="330" t="s">
        <v>23</v>
      </c>
      <c r="AN11" s="330" t="s">
        <v>24</v>
      </c>
      <c r="AO11" s="330" t="s">
        <v>25</v>
      </c>
      <c r="AP11" s="330" t="s">
        <v>26</v>
      </c>
      <c r="AQ11" s="330" t="s">
        <v>27</v>
      </c>
      <c r="AR11" s="330" t="s">
        <v>90</v>
      </c>
      <c r="AS11" s="330" t="s">
        <v>91</v>
      </c>
      <c r="AT11" s="330" t="s">
        <v>184</v>
      </c>
      <c r="AU11" s="330" t="s">
        <v>28</v>
      </c>
      <c r="AV11" s="330" t="s">
        <v>29</v>
      </c>
      <c r="AW11" s="330" t="s">
        <v>92</v>
      </c>
      <c r="AX11" s="330" t="s">
        <v>93</v>
      </c>
      <c r="AY11" s="330" t="s">
        <v>3</v>
      </c>
      <c r="AZ11" s="330" t="s">
        <v>22</v>
      </c>
      <c r="BA11" s="330" t="s">
        <v>23</v>
      </c>
      <c r="BB11" s="330" t="s">
        <v>24</v>
      </c>
      <c r="BC11" s="330" t="s">
        <v>25</v>
      </c>
      <c r="BD11" s="330" t="s">
        <v>26</v>
      </c>
      <c r="BE11" s="330" t="s">
        <v>362</v>
      </c>
      <c r="BF11" s="330" t="s">
        <v>363</v>
      </c>
      <c r="BG11" s="330" t="s">
        <v>364</v>
      </c>
      <c r="BH11" s="330" t="s">
        <v>365</v>
      </c>
      <c r="BI11" s="330" t="s">
        <v>366</v>
      </c>
      <c r="BJ11" s="330" t="s">
        <v>28</v>
      </c>
      <c r="BK11" s="330" t="s">
        <v>29</v>
      </c>
      <c r="BL11" s="330" t="s">
        <v>92</v>
      </c>
      <c r="BM11" s="330" t="s">
        <v>93</v>
      </c>
      <c r="BN11" s="337" t="s">
        <v>353</v>
      </c>
      <c r="BP11" s="94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</row>
    <row r="12" spans="1:79" s="89" customFormat="1" ht="11.25">
      <c r="A12" s="357" t="s">
        <v>211</v>
      </c>
      <c r="B12" s="360" t="s">
        <v>246</v>
      </c>
      <c r="C12" s="361"/>
      <c r="D12" s="362">
        <v>0.38263888888888892</v>
      </c>
      <c r="E12" s="363">
        <v>66.421800000000005</v>
      </c>
      <c r="F12" s="364"/>
      <c r="G12" s="364"/>
      <c r="H12" s="357"/>
      <c r="I12" s="360" t="s">
        <v>94</v>
      </c>
      <c r="J12" s="356">
        <f>IF(ISERROR(VLOOKUP(I12,Max_Load_France!$B$2:$C$102,2,FALSE)/1000),"",VLOOKUP(I12,Max_Load_France!$B$2:$C$102,2,FALSE)/1000)</f>
        <v>40</v>
      </c>
      <c r="K12" s="319"/>
      <c r="L12" s="385">
        <f t="shared" ref="L12:L37" si="0">W12/J12</f>
        <v>0.87750000000000006</v>
      </c>
      <c r="M12" s="356">
        <f>IF(VLOOKUP($I12,Max_Load_France!$B$2:$M$102,3,FALSE)="","",VLOOKUP($I12,Max_Load_France!$B$2:$M$102,3,FALSE))</f>
        <v>0</v>
      </c>
      <c r="N12" s="356">
        <f>IF(VLOOKUP($I12,Max_Load_France!$B$2:$M$102,4,FALSE)="","",VLOOKUP($I12,Max_Load_France!$B$2:$M$102,4,FALSE))</f>
        <v>0</v>
      </c>
      <c r="O12" s="356">
        <f>IF(VLOOKUP($I12,Max_Load_France!$B$2:$M$102,5,FALSE)="","",VLOOKUP($I12,Max_Load_France!$B$2:$M$102,5,FALSE))</f>
        <v>1</v>
      </c>
      <c r="P12" s="356">
        <f>IF(VLOOKUP($I12,Max_Load_France!$B$2:$M$102,6,FALSE)="","",VLOOKUP($I12,Max_Load_France!$B$2:$M$102,6,FALSE))</f>
        <v>1</v>
      </c>
      <c r="Q12" s="356">
        <f>IF(VLOOKUP($I12,Max_Load_France!$B$2:$M$102,7,FALSE)="","",VLOOKUP($I12,Max_Load_France!$B$2:$M$102,7,FALSE))</f>
        <v>1</v>
      </c>
      <c r="R12" s="356" t="str">
        <f>IF(VLOOKUP($I12,Max_Load_France!$B$2:$M$102,8,FALSE)="","",VLOOKUP($I12,Max_Load_France!$B$2:$M$102,8,FALSE))</f>
        <v/>
      </c>
      <c r="S12" s="356" t="str">
        <f>IF(VLOOKUP($I12,Max_Load_France!$B$2:$M$102,9,FALSE)="","",VLOOKUP($I12,Max_Load_France!$B$2:$M$102,9,FALSE))</f>
        <v/>
      </c>
      <c r="T12" s="356" t="str">
        <f>IF(VLOOKUP($I12,Max_Load_France!$B$2:$M$102,10,FALSE)="","",VLOOKUP($I12,Max_Load_France!$B$2:$M$102,10,FALSE))</f>
        <v/>
      </c>
      <c r="U12" s="356" t="str">
        <f>IF(VLOOKUP($I12,Max_Load_France!$B$2:$M$102,11,FALSE)="","",VLOOKUP($I12,Max_Load_France!$B$2:$M$102,11,FALSE))</f>
        <v/>
      </c>
      <c r="V12" s="357">
        <v>5</v>
      </c>
      <c r="W12" s="384">
        <f>SUM($X12:$AF12)</f>
        <v>35.1</v>
      </c>
      <c r="X12" s="354">
        <v>6.7</v>
      </c>
      <c r="Y12" s="354">
        <v>9.6</v>
      </c>
      <c r="Z12" s="354">
        <v>6.4</v>
      </c>
      <c r="AA12" s="354">
        <v>6.2</v>
      </c>
      <c r="AB12" s="354">
        <v>6.2</v>
      </c>
      <c r="AC12" s="355"/>
      <c r="AD12" s="324"/>
      <c r="AE12" s="324"/>
      <c r="AF12" s="324"/>
      <c r="AG12" s="379">
        <f>IF(SUMIF($M$12:$R$12,1,$X$12:$AC$12)&gt;0,SUMIF($M$12:$R$12,1,$X$12:$AC$12),"")</f>
        <v>18.8</v>
      </c>
      <c r="AH12" s="379" t="str">
        <f>IF(SUMIF(N12:S12,2,Y12:AD12)&gt;0,SUMIF(N12:S12,2,Y12:AD12),"")</f>
        <v/>
      </c>
      <c r="AI12" s="380" t="str">
        <f>IF(SUMIF($M12:$U12,"=3",$X12:$AF12)=0,"",SUMIF($M12:$U12,"=3",$X12:$AF12))</f>
        <v/>
      </c>
      <c r="AJ12" s="380" t="str">
        <f>IF(SUMIF($M12:$U12,"=4",$X12:$AF12)=0,"",SUMIF($M12:$U12,"=4",$X12:$AF12))</f>
        <v/>
      </c>
      <c r="AK12" s="381">
        <f t="shared" ref="AK12:AK47" si="1">SUM(AL12:AR12)</f>
        <v>31.650791208791212</v>
      </c>
      <c r="AL12" s="354">
        <v>5.6906373626373625</v>
      </c>
      <c r="AM12" s="354">
        <v>10.459802197802199</v>
      </c>
      <c r="AN12" s="354">
        <v>3.5502197802197806</v>
      </c>
      <c r="AO12" s="354">
        <v>6.9157362637362638</v>
      </c>
      <c r="AP12" s="354">
        <v>5.0343956043956046</v>
      </c>
      <c r="AQ12" s="355"/>
      <c r="AR12" s="324"/>
      <c r="AS12" s="324"/>
      <c r="AT12" s="324"/>
      <c r="AU12" s="378">
        <f>IF(SUMIF($M12:$U12,"=1",$AL12:$AT12)=0,"",SUMIF($M12:$U12,"=1",$AL12:$AT12))</f>
        <v>15.50035164835165</v>
      </c>
      <c r="AV12" s="378" t="str">
        <f>IF(SUMIF($M12:$U12,"=2",$AL12:$AT12)=0,"",SUMIF($M12:$U12,"=2",$AL12:$AT12))</f>
        <v/>
      </c>
      <c r="AW12" s="325" t="str">
        <f>IF(SUMIF($M12:$U12,"=3",$AL12:$AT12)=0,"",SUMIF($M12:$U12,"=3",$AL12:$AT12))</f>
        <v/>
      </c>
      <c r="AX12" s="325" t="str">
        <f>IF(SUMIF($M12:$U12,"=4",$AL12:$AT12)=0,"",SUMIF($M12:$U12,"=4",$AL12:$AT12))</f>
        <v/>
      </c>
      <c r="AY12" s="349">
        <f t="shared" ref="AY12:AY35" si="2">IF($W12/$V12&lt;$BN$6,"",IF($BN12&lt;$BN$10,IF(W12&gt;0,(AK12-W12)/W12,""),""))</f>
        <v>-9.8268056729595141E-2</v>
      </c>
      <c r="AZ12" s="349">
        <f>IF(M12=0,IF(AL12&lt;$BN$7,"",IF($W12/$V12&lt;$BN$6,"",IF($BN12&lt;$BN$10,IF(X12&gt;0,(AL12-X12)/X12,""),""))),"")</f>
        <v>-0.15065113990487128</v>
      </c>
      <c r="BA12" s="349">
        <f>IF(N12=0,IF(AM12&lt;$BN$7,"",IF($W12/$V12&lt;$BN$6,"",IF($BN12&lt;$BN$10,IF(Y12&gt;0,(AM12-Y12)/Y12,""),""))),"")</f>
        <v>8.9562728937729139E-2</v>
      </c>
      <c r="BB12" s="349" t="str">
        <f>IF(O12=0,IF(AN12&lt;$BN$7,"",IF($W12/$V12&lt;$BN$6,"",IF($BN12&lt;$BN$10,IF(Z12&gt;0,(AN12-Z12)/Z12,""),""))),"")</f>
        <v/>
      </c>
      <c r="BC12" s="349" t="str">
        <f>IF(P12=0,IF(AO12&lt;$BN$7,"",IF($W12/$V12&lt;$BN$6,"",IF($BN12&lt;$BN$10,IF(AA12&gt;0,(AO12-AA12)/AA12,""),""))),"")</f>
        <v/>
      </c>
      <c r="BD12" s="349" t="str">
        <f>IF(Q12=0,IF(AP12&lt;$BN$7,"",IF($W12/$V12&lt;$BN$6,"",IF($BN12&lt;$BN$10,IF(AB12&gt;0,(AP12-AB12)/AB12,""),""))),"")</f>
        <v/>
      </c>
      <c r="BE12" s="349" t="str">
        <f>IF(N12&gt;0,IF(AM12&lt;$BN$7,"",IF($W12/$V12&lt;$BN$6,"",IF($BN12&lt;$BN$10,IF(Y12&gt;0,(AM12-Y12)/Y12,""),""))),"")</f>
        <v/>
      </c>
      <c r="BF12" s="349">
        <f t="shared" ref="BF12:BI27" si="3">IF(O12&gt;0,IF(AN12&lt;$BN$7,"",IF($W12/$V12&lt;$BN$6,"",IF($BN12&lt;$BN$10,IF(Z12&gt;0,(AN12-Z12)/Z12,""),""))),"")</f>
        <v>-0.44527815934065934</v>
      </c>
      <c r="BG12" s="349">
        <f t="shared" si="3"/>
        <v>0.11544133286068768</v>
      </c>
      <c r="BH12" s="349">
        <f t="shared" si="3"/>
        <v>-0.18800070896845089</v>
      </c>
      <c r="BI12" s="349" t="str">
        <f t="shared" si="3"/>
        <v/>
      </c>
      <c r="BJ12" s="349">
        <f t="shared" ref="BJ12:BJ35" si="4">IF(AG12&lt;$BN$6*2,"",IF($BN12&lt;$BN$10,IF($BN12&lt;$BN$10,IF(AG12&lt;&gt;"",(AU12-AG12)/AG12,""),"")))</f>
        <v>-0.17551321019406121</v>
      </c>
      <c r="BK12" s="349" t="str">
        <f t="shared" ref="BK12:BK35" si="5">IF(AH12&lt;$BN$6*2,"",IF($BN12&lt;$BN$10,IF(AH12&lt;&gt;"",(AV12-AH12)/AH12,""),""))</f>
        <v/>
      </c>
      <c r="BL12" s="372" t="str">
        <f t="shared" ref="BL12:BL35" si="6">IF(AI12&lt;&gt;"",(AW12-AI12)/AI12,"")</f>
        <v/>
      </c>
      <c r="BM12" s="373" t="str">
        <f t="shared" ref="BM12:BM35" si="7">IF(AJ12&lt;&gt;"",(AX12-AJ12)/AJ12,"")</f>
        <v/>
      </c>
      <c r="BN12" s="374">
        <v>56.133000000000003</v>
      </c>
      <c r="BO12" s="334"/>
      <c r="BP12" s="94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</row>
    <row r="13" spans="1:79" s="89" customFormat="1" ht="11.25">
      <c r="A13" s="359" t="s">
        <v>212</v>
      </c>
      <c r="B13" s="365" t="s">
        <v>247</v>
      </c>
      <c r="C13" s="366"/>
      <c r="D13" s="367">
        <v>0.38541666666666669</v>
      </c>
      <c r="E13" s="368">
        <v>77.201999999999998</v>
      </c>
      <c r="F13" s="369"/>
      <c r="G13" s="369"/>
      <c r="H13" s="359"/>
      <c r="I13" s="365" t="s">
        <v>124</v>
      </c>
      <c r="J13" s="358">
        <f>IF(ISERROR(VLOOKUP(I13,Max_Load_France!$B$2:$C$102,2,FALSE)/1000),"",VLOOKUP(I13,Max_Load_France!$B$2:$C$102,2,FALSE)/1000)</f>
        <v>40</v>
      </c>
      <c r="K13" s="296"/>
      <c r="L13" s="386">
        <f t="shared" si="0"/>
        <v>0.36249999999999999</v>
      </c>
      <c r="M13" s="358">
        <f>IF(VLOOKUP($I13,Max_Load_France!$B$2:$M$102,3,FALSE)="","",VLOOKUP($I13,Max_Load_France!$B$2:$M$102,3,FALSE))</f>
        <v>0</v>
      </c>
      <c r="N13" s="358">
        <f>IF(VLOOKUP($I13,Max_Load_France!$B$2:$M$102,4,FALSE)="","",VLOOKUP($I13,Max_Load_France!$B$2:$M$102,4,FALSE))</f>
        <v>0</v>
      </c>
      <c r="O13" s="358">
        <f>IF(VLOOKUP($I13,Max_Load_France!$B$2:$M$102,5,FALSE)="","",VLOOKUP($I13,Max_Load_France!$B$2:$M$102,5,FALSE))</f>
        <v>0</v>
      </c>
      <c r="P13" s="358">
        <f>IF(VLOOKUP($I13,Max_Load_France!$B$2:$M$102,6,FALSE)="","",VLOOKUP($I13,Max_Load_France!$B$2:$M$102,6,FALSE))</f>
        <v>1</v>
      </c>
      <c r="Q13" s="358">
        <f>IF(VLOOKUP($I13,Max_Load_France!$B$2:$M$102,7,FALSE)="","",VLOOKUP($I13,Max_Load_France!$B$2:$M$102,7,FALSE))</f>
        <v>1</v>
      </c>
      <c r="R13" s="358" t="str">
        <f>IF(VLOOKUP($I13,Max_Load_France!$B$2:$M$102,8,FALSE)="","",VLOOKUP($I13,Max_Load_France!$B$2:$M$102,8,FALSE))</f>
        <v/>
      </c>
      <c r="S13" s="358" t="str">
        <f>IF(VLOOKUP($I13,Max_Load_France!$B$2:$M$102,9,FALSE)="","",VLOOKUP($I13,Max_Load_France!$B$2:$M$102,9,FALSE))</f>
        <v/>
      </c>
      <c r="T13" s="358" t="str">
        <f>IF(VLOOKUP($I13,Max_Load_France!$B$2:$M$102,10,FALSE)="","",VLOOKUP($I13,Max_Load_France!$B$2:$M$102,10,FALSE))</f>
        <v/>
      </c>
      <c r="U13" s="358" t="str">
        <f>IF(VLOOKUP($I13,Max_Load_France!$B$2:$M$102,11,FALSE)="","",VLOOKUP($I13,Max_Load_France!$B$2:$M$102,11,FALSE))</f>
        <v/>
      </c>
      <c r="V13" s="359">
        <v>5</v>
      </c>
      <c r="W13" s="383">
        <f t="shared" ref="W13:W47" si="8">SUM($X13:$AF13)</f>
        <v>14.5</v>
      </c>
      <c r="X13" s="308">
        <v>5.6</v>
      </c>
      <c r="Y13" s="308">
        <v>3.1</v>
      </c>
      <c r="Z13" s="308">
        <v>1.9</v>
      </c>
      <c r="AA13" s="308">
        <v>2</v>
      </c>
      <c r="AB13" s="308">
        <v>1.9</v>
      </c>
      <c r="AC13" s="309"/>
      <c r="AD13" s="301"/>
      <c r="AE13" s="301"/>
      <c r="AF13" s="301"/>
      <c r="AG13" s="379">
        <f>IF(SUMIF(M13:R13,1,X13:AC13)&gt;0,SUMIF(M13:R13,1,X13:AC13),"")</f>
        <v>3.9</v>
      </c>
      <c r="AH13" s="379" t="str">
        <f t="shared" ref="AH13:AH48" si="9">IF(SUMIF(N13:S13,2,Y13:AD13)&gt;0,SUMIF(N13:S13,2,Y13:AD13),"")</f>
        <v/>
      </c>
      <c r="AI13" s="379" t="str">
        <f t="shared" ref="AI13:AI40" si="10">IF(SUMIF($M13:$U13,"=3",$X13:$AF13)=0,"",SUMIF($M13:$U13,"=3",$X13:$AF13))</f>
        <v/>
      </c>
      <c r="AJ13" s="379" t="str">
        <f t="shared" ref="AJ13:AJ40" si="11">IF(SUMIF($M13:$U13,"=4",$X13:$AF13)=0,"",SUMIF($M13:$U13,"=4",$X13:$AF13))</f>
        <v/>
      </c>
      <c r="AK13" s="381">
        <f t="shared" si="1"/>
        <v>15.607087912087913</v>
      </c>
      <c r="AL13" s="354">
        <v>6.0117802197802197</v>
      </c>
      <c r="AM13" s="354">
        <v>4.4498461538461545</v>
      </c>
      <c r="AN13" s="308">
        <v>1.1864505494505495</v>
      </c>
      <c r="AO13" s="308">
        <v>2.1054285714285719</v>
      </c>
      <c r="AP13" s="308">
        <v>1.8535824175824176</v>
      </c>
      <c r="AQ13" s="309"/>
      <c r="AR13" s="301"/>
      <c r="AS13" s="301"/>
      <c r="AT13" s="301"/>
      <c r="AU13" s="378">
        <f t="shared" ref="AU13:AU48" si="12">IF(SUMIF($M13:$U13,"=1",$AL13:$AT13)=0,"",SUMIF($M13:$U13,"=1",$AL13:$AT13))</f>
        <v>3.9590109890109897</v>
      </c>
      <c r="AV13" s="378" t="str">
        <f t="shared" ref="AV13:AV48" si="13">IF(SUMIF($M13:$U13,"=2",$AL13:$AT13)=0,"",SUMIF($M13:$U13,"=2",$AL13:$AT13))</f>
        <v/>
      </c>
      <c r="AW13" s="302" t="str">
        <f t="shared" ref="AW13:AW24" si="14">IF(SUMIF($M13:$U13,"=3",$AL13:$AT13)=0,"",SUMIF($M13:$U13,"=3",$AL13:$AT13))</f>
        <v/>
      </c>
      <c r="AX13" s="302" t="str">
        <f t="shared" ref="AX13:AX24" si="15">IF(SUMIF($M13:$U13,"=4",$AL13:$AT13)=0,"",SUMIF($M13:$U13,"=4",$AL13:$AT13))</f>
        <v/>
      </c>
      <c r="AY13" s="349">
        <f t="shared" si="2"/>
        <v>7.6350890488821571E-2</v>
      </c>
      <c r="AZ13" s="349">
        <f t="shared" ref="AZ13:BD47" si="16">IF(M13=0,IF(AL13&lt;$BN$7,"",IF($W13/$V13&lt;$BN$6,"",IF($BN13&lt;$BN$10,IF(X13&gt;0,(AL13-X13)/X13,""),""))),"")</f>
        <v>7.3532182103610733E-2</v>
      </c>
      <c r="BA13" s="349">
        <f t="shared" si="16"/>
        <v>0.43543424317617879</v>
      </c>
      <c r="BB13" s="349">
        <f t="shared" si="16"/>
        <v>-0.37555234239444762</v>
      </c>
      <c r="BC13" s="349" t="str">
        <f t="shared" si="16"/>
        <v/>
      </c>
      <c r="BD13" s="349" t="str">
        <f t="shared" si="16"/>
        <v/>
      </c>
      <c r="BE13" s="349" t="str">
        <f t="shared" ref="BE13:BI47" si="17">IF(N13&gt;0,IF(AM13&lt;$BN$7,"",IF($W13/$V13&lt;$BN$6,"",IF($BN13&lt;$BN$10,IF(Y13&gt;0,(AM13-Y13)/Y13,""),""))),"")</f>
        <v/>
      </c>
      <c r="BF13" s="349" t="str">
        <f t="shared" si="3"/>
        <v/>
      </c>
      <c r="BG13" s="349">
        <f t="shared" si="3"/>
        <v>5.2714285714285936E-2</v>
      </c>
      <c r="BH13" s="349">
        <f t="shared" si="3"/>
        <v>-2.443030653556964E-2</v>
      </c>
      <c r="BI13" s="349" t="str">
        <f t="shared" si="3"/>
        <v/>
      </c>
      <c r="BJ13" s="349">
        <f t="shared" si="4"/>
        <v>1.5131022823330714E-2</v>
      </c>
      <c r="BK13" s="349" t="str">
        <f t="shared" si="5"/>
        <v/>
      </c>
      <c r="BL13" s="375" t="str">
        <f t="shared" si="6"/>
        <v/>
      </c>
      <c r="BM13" s="376" t="str">
        <f t="shared" si="7"/>
        <v/>
      </c>
      <c r="BN13" s="374">
        <v>16.951699999999999</v>
      </c>
      <c r="BO13" s="334"/>
      <c r="BP13" s="94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</row>
    <row r="14" spans="1:79" s="89" customFormat="1" ht="11.25">
      <c r="A14" s="359" t="s">
        <v>213</v>
      </c>
      <c r="B14" s="365" t="s">
        <v>248</v>
      </c>
      <c r="C14" s="366"/>
      <c r="D14" s="367">
        <v>0.38958333333333334</v>
      </c>
      <c r="E14" s="368">
        <v>54.816480000000006</v>
      </c>
      <c r="F14" s="369"/>
      <c r="G14" s="369"/>
      <c r="H14" s="359"/>
      <c r="I14" s="365" t="s">
        <v>94</v>
      </c>
      <c r="J14" s="358">
        <f>IF(ISERROR(VLOOKUP(I14,Max_Load_France!$B$2:$C$102,2,FALSE)/1000),"",VLOOKUP(I14,Max_Load_France!$B$2:$C$102,2,FALSE)/1000)</f>
        <v>40</v>
      </c>
      <c r="K14" s="296"/>
      <c r="L14" s="386">
        <f t="shared" si="0"/>
        <v>1.05</v>
      </c>
      <c r="M14" s="358">
        <f>IF(VLOOKUP($I14,Max_Load_France!$B$2:$M$102,3,FALSE)="","",VLOOKUP($I14,Max_Load_France!$B$2:$M$102,3,FALSE))</f>
        <v>0</v>
      </c>
      <c r="N14" s="358">
        <f>IF(VLOOKUP($I14,Max_Load_France!$B$2:$M$102,4,FALSE)="","",VLOOKUP($I14,Max_Load_France!$B$2:$M$102,4,FALSE))</f>
        <v>0</v>
      </c>
      <c r="O14" s="358">
        <f>IF(VLOOKUP($I14,Max_Load_France!$B$2:$M$102,5,FALSE)="","",VLOOKUP($I14,Max_Load_France!$B$2:$M$102,5,FALSE))</f>
        <v>1</v>
      </c>
      <c r="P14" s="358">
        <f>IF(VLOOKUP($I14,Max_Load_France!$B$2:$M$102,6,FALSE)="","",VLOOKUP($I14,Max_Load_France!$B$2:$M$102,6,FALSE))</f>
        <v>1</v>
      </c>
      <c r="Q14" s="358">
        <f>IF(VLOOKUP($I14,Max_Load_France!$B$2:$M$102,7,FALSE)="","",VLOOKUP($I14,Max_Load_France!$B$2:$M$102,7,FALSE))</f>
        <v>1</v>
      </c>
      <c r="R14" s="358" t="str">
        <f>IF(VLOOKUP($I14,Max_Load_France!$B$2:$M$102,8,FALSE)="","",VLOOKUP($I14,Max_Load_France!$B$2:$M$102,8,FALSE))</f>
        <v/>
      </c>
      <c r="S14" s="358" t="str">
        <f>IF(VLOOKUP($I14,Max_Load_France!$B$2:$M$102,9,FALSE)="","",VLOOKUP($I14,Max_Load_France!$B$2:$M$102,9,FALSE))</f>
        <v/>
      </c>
      <c r="T14" s="358" t="str">
        <f>IF(VLOOKUP($I14,Max_Load_France!$B$2:$M$102,10,FALSE)="","",VLOOKUP($I14,Max_Load_France!$B$2:$M$102,10,FALSE))</f>
        <v/>
      </c>
      <c r="U14" s="358" t="str">
        <f>IF(VLOOKUP($I14,Max_Load_France!$B$2:$M$102,11,FALSE)="","",VLOOKUP($I14,Max_Load_France!$B$2:$M$102,11,FALSE))</f>
        <v/>
      </c>
      <c r="V14" s="359">
        <v>5</v>
      </c>
      <c r="W14" s="383">
        <f t="shared" si="8"/>
        <v>42</v>
      </c>
      <c r="X14" s="308">
        <v>7.5</v>
      </c>
      <c r="Y14" s="308">
        <v>13.8</v>
      </c>
      <c r="Z14" s="308">
        <v>7</v>
      </c>
      <c r="AA14" s="308">
        <v>6.9</v>
      </c>
      <c r="AB14" s="308">
        <v>6.8</v>
      </c>
      <c r="AC14" s="309"/>
      <c r="AD14" s="301"/>
      <c r="AE14" s="301"/>
      <c r="AF14" s="301"/>
      <c r="AG14" s="379">
        <f>IF(SUMIF(M14:R14,1,X14:AC14)&gt;0,SUMIF(M14:R14,1,X14:AC14),"")</f>
        <v>20.7</v>
      </c>
      <c r="AH14" s="379" t="str">
        <f t="shared" si="9"/>
        <v/>
      </c>
      <c r="AI14" s="379" t="str">
        <f t="shared" si="10"/>
        <v/>
      </c>
      <c r="AJ14" s="379" t="str">
        <f t="shared" si="11"/>
        <v/>
      </c>
      <c r="AK14" s="381">
        <f t="shared" si="1"/>
        <v>45.224252747252748</v>
      </c>
      <c r="AL14" s="354">
        <v>7.174153846153847</v>
      </c>
      <c r="AM14" s="354">
        <v>15.605384615384615</v>
      </c>
      <c r="AN14" s="308">
        <v>6.5507362637362636</v>
      </c>
      <c r="AO14" s="308">
        <v>8.1833186813186813</v>
      </c>
      <c r="AP14" s="308">
        <v>7.7106593406593413</v>
      </c>
      <c r="AQ14" s="309"/>
      <c r="AR14" s="301"/>
      <c r="AS14" s="301"/>
      <c r="AT14" s="301"/>
      <c r="AU14" s="378">
        <f t="shared" si="12"/>
        <v>22.444714285714287</v>
      </c>
      <c r="AV14" s="378" t="str">
        <f t="shared" si="13"/>
        <v/>
      </c>
      <c r="AW14" s="302" t="str">
        <f t="shared" si="14"/>
        <v/>
      </c>
      <c r="AX14" s="302" t="str">
        <f t="shared" si="15"/>
        <v/>
      </c>
      <c r="AY14" s="349">
        <f t="shared" si="2"/>
        <v>7.6767922553636875E-2</v>
      </c>
      <c r="AZ14" s="349">
        <f t="shared" si="16"/>
        <v>-4.3446153846153732E-2</v>
      </c>
      <c r="BA14" s="349">
        <f t="shared" si="16"/>
        <v>0.13082497212931987</v>
      </c>
      <c r="BB14" s="349" t="str">
        <f t="shared" si="16"/>
        <v/>
      </c>
      <c r="BC14" s="349" t="str">
        <f t="shared" si="16"/>
        <v/>
      </c>
      <c r="BD14" s="349" t="str">
        <f t="shared" si="16"/>
        <v/>
      </c>
      <c r="BE14" s="349" t="str">
        <f t="shared" si="17"/>
        <v/>
      </c>
      <c r="BF14" s="349">
        <f t="shared" si="3"/>
        <v>-6.4180533751962338E-2</v>
      </c>
      <c r="BG14" s="349">
        <f t="shared" si="3"/>
        <v>0.18598821468386681</v>
      </c>
      <c r="BH14" s="349">
        <f t="shared" si="3"/>
        <v>0.13392049127343258</v>
      </c>
      <c r="BI14" s="349" t="str">
        <f t="shared" si="3"/>
        <v/>
      </c>
      <c r="BJ14" s="349">
        <f t="shared" si="4"/>
        <v>8.4285714285714394E-2</v>
      </c>
      <c r="BK14" s="349" t="str">
        <f t="shared" si="5"/>
        <v/>
      </c>
      <c r="BL14" s="375" t="str">
        <f t="shared" si="6"/>
        <v/>
      </c>
      <c r="BM14" s="376" t="str">
        <f t="shared" si="7"/>
        <v/>
      </c>
      <c r="BN14" s="374">
        <v>51.723599999999998</v>
      </c>
      <c r="BO14" s="334"/>
      <c r="BP14" s="94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</row>
    <row r="15" spans="1:79" s="89" customFormat="1" ht="11.25">
      <c r="A15" s="359" t="s">
        <v>214</v>
      </c>
      <c r="B15" s="358" t="s">
        <v>250</v>
      </c>
      <c r="C15" s="358"/>
      <c r="D15" s="367">
        <v>0.39374999999999999</v>
      </c>
      <c r="E15" s="368">
        <v>60.186239999999998</v>
      </c>
      <c r="F15" s="369"/>
      <c r="G15" s="369"/>
      <c r="H15" s="359"/>
      <c r="I15" s="365" t="s">
        <v>129</v>
      </c>
      <c r="J15" s="358">
        <f>IF(ISERROR(VLOOKUP(I15,Max_Load_France!$B$2:$C$102,2,FALSE)/1000),"",VLOOKUP(I15,Max_Load_France!$B$2:$C$102,2,FALSE)/1000)</f>
        <v>40</v>
      </c>
      <c r="K15" s="296"/>
      <c r="L15" s="386">
        <f t="shared" si="0"/>
        <v>0.72250000000000003</v>
      </c>
      <c r="M15" s="358">
        <f>IF(VLOOKUP($I15,Max_Load_France!$B$2:$M$102,3,FALSE)="","",VLOOKUP($I15,Max_Load_France!$B$2:$M$102,3,FALSE))</f>
        <v>0</v>
      </c>
      <c r="N15" s="358">
        <f>IF(VLOOKUP($I15,Max_Load_France!$B$2:$M$102,4,FALSE)="","",VLOOKUP($I15,Max_Load_France!$B$2:$M$102,4,FALSE))</f>
        <v>1</v>
      </c>
      <c r="O15" s="358">
        <f>IF(VLOOKUP($I15,Max_Load_France!$B$2:$M$102,5,FALSE)="","",VLOOKUP($I15,Max_Load_France!$B$2:$M$102,5,FALSE))</f>
        <v>1</v>
      </c>
      <c r="P15" s="358">
        <f>IF(VLOOKUP($I15,Max_Load_France!$B$2:$M$102,6,FALSE)="","",VLOOKUP($I15,Max_Load_France!$B$2:$M$102,6,FALSE))</f>
        <v>2</v>
      </c>
      <c r="Q15" s="358">
        <f>IF(VLOOKUP($I15,Max_Load_France!$B$2:$M$102,7,FALSE)="","",VLOOKUP($I15,Max_Load_France!$B$2:$M$102,7,FALSE))</f>
        <v>2</v>
      </c>
      <c r="R15" s="358" t="str">
        <f>IF(VLOOKUP($I15,Max_Load_France!$B$2:$M$102,8,FALSE)="","",VLOOKUP($I15,Max_Load_France!$B$2:$M$102,8,FALSE))</f>
        <v/>
      </c>
      <c r="S15" s="358" t="str">
        <f>IF(VLOOKUP($I15,Max_Load_France!$B$2:$M$102,9,FALSE)="","",VLOOKUP($I15,Max_Load_France!$B$2:$M$102,9,FALSE))</f>
        <v/>
      </c>
      <c r="T15" s="358" t="str">
        <f>IF(VLOOKUP($I15,Max_Load_France!$B$2:$M$102,10,FALSE)="","",VLOOKUP($I15,Max_Load_France!$B$2:$M$102,10,FALSE))</f>
        <v/>
      </c>
      <c r="U15" s="358" t="str">
        <f>IF(VLOOKUP($I15,Max_Load_France!$B$2:$M$102,11,FALSE)="","",VLOOKUP($I15,Max_Load_France!$B$2:$M$102,11,FALSE))</f>
        <v/>
      </c>
      <c r="V15" s="359">
        <v>5</v>
      </c>
      <c r="W15" s="383">
        <f t="shared" si="8"/>
        <v>28.900000000000002</v>
      </c>
      <c r="X15" s="308">
        <v>6</v>
      </c>
      <c r="Y15" s="308">
        <v>8.1999999999999993</v>
      </c>
      <c r="Z15" s="308">
        <v>4.9000000000000004</v>
      </c>
      <c r="AA15" s="308">
        <v>4.8</v>
      </c>
      <c r="AB15" s="308">
        <v>5</v>
      </c>
      <c r="AC15" s="309"/>
      <c r="AD15" s="301"/>
      <c r="AE15" s="301"/>
      <c r="AF15" s="301"/>
      <c r="AG15" s="379">
        <f>IF(SUMIF(M15:R15,1,X15:AC15)&gt;0,SUMIF(M15:R15,1,X15:AC15),"")</f>
        <v>13.1</v>
      </c>
      <c r="AH15" s="379">
        <f t="shared" si="9"/>
        <v>9.8000000000000007</v>
      </c>
      <c r="AI15" s="379" t="str">
        <f t="shared" si="10"/>
        <v/>
      </c>
      <c r="AJ15" s="379" t="str">
        <f t="shared" si="11"/>
        <v/>
      </c>
      <c r="AK15" s="381">
        <f t="shared" si="1"/>
        <v>33.474153846153847</v>
      </c>
      <c r="AL15" s="354">
        <v>5.7450659340659342</v>
      </c>
      <c r="AM15" s="354">
        <v>11.151428571428571</v>
      </c>
      <c r="AN15" s="308">
        <v>4.9546923076923077</v>
      </c>
      <c r="AO15" s="308">
        <v>5.0573296703296711</v>
      </c>
      <c r="AP15" s="308">
        <v>6.5656373626373634</v>
      </c>
      <c r="AQ15" s="309"/>
      <c r="AR15" s="301"/>
      <c r="AS15" s="301"/>
      <c r="AT15" s="301"/>
      <c r="AU15" s="378">
        <f t="shared" si="12"/>
        <v>16.10612087912088</v>
      </c>
      <c r="AV15" s="378">
        <f t="shared" si="13"/>
        <v>11.622967032967034</v>
      </c>
      <c r="AW15" s="302" t="str">
        <f t="shared" si="14"/>
        <v/>
      </c>
      <c r="AX15" s="302" t="str">
        <f t="shared" si="15"/>
        <v/>
      </c>
      <c r="AY15" s="349">
        <f t="shared" si="2"/>
        <v>0.15827521959009841</v>
      </c>
      <c r="AZ15" s="349">
        <f t="shared" si="16"/>
        <v>-4.2489010989010957E-2</v>
      </c>
      <c r="BA15" s="349" t="str">
        <f t="shared" si="16"/>
        <v/>
      </c>
      <c r="BB15" s="349" t="str">
        <f t="shared" si="16"/>
        <v/>
      </c>
      <c r="BC15" s="349" t="str">
        <f t="shared" si="16"/>
        <v/>
      </c>
      <c r="BD15" s="349" t="str">
        <f t="shared" si="16"/>
        <v/>
      </c>
      <c r="BE15" s="349">
        <f t="shared" si="17"/>
        <v>0.35993031358885025</v>
      </c>
      <c r="BF15" s="349">
        <f t="shared" si="3"/>
        <v>1.1161695447409668E-2</v>
      </c>
      <c r="BG15" s="349">
        <f t="shared" si="3"/>
        <v>5.3610347985348181E-2</v>
      </c>
      <c r="BH15" s="349">
        <f t="shared" si="3"/>
        <v>0.31312747252747269</v>
      </c>
      <c r="BI15" s="349" t="str">
        <f t="shared" si="3"/>
        <v/>
      </c>
      <c r="BJ15" s="349">
        <f t="shared" si="4"/>
        <v>0.2294748762687695</v>
      </c>
      <c r="BK15" s="349">
        <f t="shared" si="5"/>
        <v>0.18601704418030957</v>
      </c>
      <c r="BL15" s="375" t="str">
        <f t="shared" si="6"/>
        <v/>
      </c>
      <c r="BM15" s="376" t="str">
        <f t="shared" si="7"/>
        <v/>
      </c>
      <c r="BN15" s="374">
        <v>63.4497</v>
      </c>
      <c r="BO15" s="334"/>
      <c r="BP15" s="94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</row>
    <row r="16" spans="1:79" s="89" customFormat="1" ht="11.25">
      <c r="A16" s="359" t="s">
        <v>215</v>
      </c>
      <c r="B16" s="365" t="s">
        <v>249</v>
      </c>
      <c r="C16" s="366"/>
      <c r="D16" s="367">
        <v>0.39652777777777781</v>
      </c>
      <c r="E16" s="368">
        <v>58.747320000000002</v>
      </c>
      <c r="F16" s="369"/>
      <c r="G16" s="369"/>
      <c r="H16" s="359"/>
      <c r="I16" s="365" t="s">
        <v>94</v>
      </c>
      <c r="J16" s="358">
        <f>IF(ISERROR(VLOOKUP(I16,Max_Load_France!$B$2:$C$102,2,FALSE)/1000),"",VLOOKUP(I16,Max_Load_France!$B$2:$C$102,2,FALSE)/1000)</f>
        <v>40</v>
      </c>
      <c r="K16" s="296"/>
      <c r="L16" s="386">
        <f t="shared" si="0"/>
        <v>0.36499999999999994</v>
      </c>
      <c r="M16" s="358">
        <f>IF(VLOOKUP($I16,Max_Load_France!$B$2:$M$102,3,FALSE)="","",VLOOKUP($I16,Max_Load_France!$B$2:$M$102,3,FALSE))</f>
        <v>0</v>
      </c>
      <c r="N16" s="358">
        <f>IF(VLOOKUP($I16,Max_Load_France!$B$2:$M$102,4,FALSE)="","",VLOOKUP($I16,Max_Load_France!$B$2:$M$102,4,FALSE))</f>
        <v>0</v>
      </c>
      <c r="O16" s="358">
        <f>IF(VLOOKUP($I16,Max_Load_France!$B$2:$M$102,5,FALSE)="","",VLOOKUP($I16,Max_Load_France!$B$2:$M$102,5,FALSE))</f>
        <v>1</v>
      </c>
      <c r="P16" s="358">
        <f>IF(VLOOKUP($I16,Max_Load_France!$B$2:$M$102,6,FALSE)="","",VLOOKUP($I16,Max_Load_France!$B$2:$M$102,6,FALSE))</f>
        <v>1</v>
      </c>
      <c r="Q16" s="358">
        <f>IF(VLOOKUP($I16,Max_Load_France!$B$2:$M$102,7,FALSE)="","",VLOOKUP($I16,Max_Load_France!$B$2:$M$102,7,FALSE))</f>
        <v>1</v>
      </c>
      <c r="R16" s="358" t="str">
        <f>IF(VLOOKUP($I16,Max_Load_France!$B$2:$M$102,8,FALSE)="","",VLOOKUP($I16,Max_Load_France!$B$2:$M$102,8,FALSE))</f>
        <v/>
      </c>
      <c r="S16" s="358" t="str">
        <f>IF(VLOOKUP($I16,Max_Load_France!$B$2:$M$102,9,FALSE)="","",VLOOKUP($I16,Max_Load_France!$B$2:$M$102,9,FALSE))</f>
        <v/>
      </c>
      <c r="T16" s="358" t="str">
        <f>IF(VLOOKUP($I16,Max_Load_France!$B$2:$M$102,10,FALSE)="","",VLOOKUP($I16,Max_Load_France!$B$2:$M$102,10,FALSE))</f>
        <v/>
      </c>
      <c r="U16" s="358" t="str">
        <f>IF(VLOOKUP($I16,Max_Load_France!$B$2:$M$102,11,FALSE)="","",VLOOKUP($I16,Max_Load_France!$B$2:$M$102,11,FALSE))</f>
        <v/>
      </c>
      <c r="V16" s="359">
        <v>5</v>
      </c>
      <c r="W16" s="383">
        <f t="shared" si="8"/>
        <v>14.599999999999998</v>
      </c>
      <c r="X16" s="308">
        <v>4.5999999999999996</v>
      </c>
      <c r="Y16" s="308">
        <v>3.8</v>
      </c>
      <c r="Z16" s="308">
        <v>2.1</v>
      </c>
      <c r="AA16" s="308">
        <v>2.1</v>
      </c>
      <c r="AB16" s="308">
        <v>2</v>
      </c>
      <c r="AC16" s="309"/>
      <c r="AD16" s="301"/>
      <c r="AE16" s="301"/>
      <c r="AF16" s="301"/>
      <c r="AG16" s="379">
        <f>IF(SUMIF(M16:R16,1,X16:AC16)&gt;0,SUMIF(M16:R16,1,X16:AC16),"")</f>
        <v>6.2</v>
      </c>
      <c r="AH16" s="379" t="str">
        <f t="shared" si="9"/>
        <v/>
      </c>
      <c r="AI16" s="379" t="str">
        <f t="shared" si="10"/>
        <v/>
      </c>
      <c r="AJ16" s="379" t="str">
        <f t="shared" si="11"/>
        <v/>
      </c>
      <c r="AK16" s="381">
        <f t="shared" si="1"/>
        <v>21.089578021978024</v>
      </c>
      <c r="AL16" s="354">
        <v>6.6026923076923074</v>
      </c>
      <c r="AM16" s="354">
        <v>6.438483516483517</v>
      </c>
      <c r="AN16" s="308">
        <v>3.6557582417582419</v>
      </c>
      <c r="AO16" s="308">
        <v>0.84152307692307704</v>
      </c>
      <c r="AP16" s="308">
        <v>3.5511208791208788</v>
      </c>
      <c r="AQ16" s="309"/>
      <c r="AR16" s="301"/>
      <c r="AS16" s="301"/>
      <c r="AT16" s="301"/>
      <c r="AU16" s="378">
        <f t="shared" si="12"/>
        <v>8.0484021978021971</v>
      </c>
      <c r="AV16" s="378" t="str">
        <f t="shared" si="13"/>
        <v/>
      </c>
      <c r="AW16" s="302" t="str">
        <f t="shared" si="14"/>
        <v/>
      </c>
      <c r="AX16" s="302" t="str">
        <f t="shared" si="15"/>
        <v/>
      </c>
      <c r="AY16" s="349">
        <f t="shared" si="2"/>
        <v>0.44449164534096075</v>
      </c>
      <c r="AZ16" s="349">
        <f t="shared" si="16"/>
        <v>0.43536789297658868</v>
      </c>
      <c r="BA16" s="349">
        <f t="shared" si="16"/>
        <v>0.69433776749566245</v>
      </c>
      <c r="BB16" s="349" t="str">
        <f t="shared" si="16"/>
        <v/>
      </c>
      <c r="BC16" s="349" t="str">
        <f t="shared" si="16"/>
        <v/>
      </c>
      <c r="BD16" s="349" t="str">
        <f t="shared" si="16"/>
        <v/>
      </c>
      <c r="BE16" s="349" t="str">
        <f t="shared" si="17"/>
        <v/>
      </c>
      <c r="BF16" s="349">
        <f t="shared" si="3"/>
        <v>0.74083725798011513</v>
      </c>
      <c r="BG16" s="349" t="str">
        <f t="shared" si="3"/>
        <v/>
      </c>
      <c r="BH16" s="349">
        <f t="shared" si="3"/>
        <v>0.77556043956043941</v>
      </c>
      <c r="BI16" s="349" t="str">
        <f t="shared" si="3"/>
        <v/>
      </c>
      <c r="BJ16" s="349">
        <f t="shared" si="4"/>
        <v>0.29812938674228984</v>
      </c>
      <c r="BK16" s="349" t="str">
        <f t="shared" si="5"/>
        <v/>
      </c>
      <c r="BL16" s="375" t="str">
        <f t="shared" si="6"/>
        <v/>
      </c>
      <c r="BM16" s="376" t="str">
        <f t="shared" si="7"/>
        <v/>
      </c>
      <c r="BN16" s="374">
        <v>11.212999999999999</v>
      </c>
      <c r="BO16" s="334"/>
      <c r="BP16" s="94"/>
      <c r="BQ16" s="76"/>
      <c r="BR16" s="76"/>
      <c r="BS16" s="76"/>
      <c r="BT16" s="70"/>
      <c r="BU16" s="76"/>
      <c r="BV16" s="76"/>
      <c r="BW16" s="76"/>
      <c r="BX16" s="76"/>
      <c r="BY16" s="76"/>
      <c r="BZ16" s="76"/>
      <c r="CA16" s="76"/>
    </row>
    <row r="17" spans="1:79" s="89" customFormat="1" ht="11.25">
      <c r="A17" s="359" t="s">
        <v>216</v>
      </c>
      <c r="B17" s="365" t="s">
        <v>251</v>
      </c>
      <c r="C17" s="366"/>
      <c r="D17" s="367">
        <v>0.39999999999999997</v>
      </c>
      <c r="E17" s="368">
        <v>61.18524</v>
      </c>
      <c r="F17" s="369"/>
      <c r="G17" s="369"/>
      <c r="H17" s="359"/>
      <c r="I17" s="365" t="s">
        <v>139</v>
      </c>
      <c r="J17" s="358">
        <f>IF(ISERROR(VLOOKUP(I17,Max_Load_France!$B$2:$C$102,2,FALSE)/1000),"",VLOOKUP(I17,Max_Load_France!$B$2:$C$102,2,FALSE)/1000)</f>
        <v>40</v>
      </c>
      <c r="K17" s="296"/>
      <c r="L17" s="386">
        <f t="shared" si="0"/>
        <v>1.0074999999999998</v>
      </c>
      <c r="M17" s="358">
        <f>IF(VLOOKUP($I17,Max_Load_France!$B$2:$M$102,3,FALSE)="","",VLOOKUP($I17,Max_Load_France!$B$2:$M$102,3,FALSE))</f>
        <v>0</v>
      </c>
      <c r="N17" s="358">
        <f>IF(VLOOKUP($I17,Max_Load_France!$B$2:$M$102,4,FALSE)="","",VLOOKUP($I17,Max_Load_France!$B$2:$M$102,4,FALSE))</f>
        <v>1</v>
      </c>
      <c r="O17" s="358">
        <f>IF(VLOOKUP($I17,Max_Load_France!$B$2:$M$102,5,FALSE)="","",VLOOKUP($I17,Max_Load_France!$B$2:$M$102,5,FALSE))</f>
        <v>1</v>
      </c>
      <c r="P17" s="358">
        <f>IF(VLOOKUP($I17,Max_Load_France!$B$2:$M$102,6,FALSE)="","",VLOOKUP($I17,Max_Load_France!$B$2:$M$102,6,FALSE))</f>
        <v>0</v>
      </c>
      <c r="Q17" s="358">
        <f>IF(VLOOKUP($I17,Max_Load_France!$B$2:$M$102,7,FALSE)="","",VLOOKUP($I17,Max_Load_France!$B$2:$M$102,7,FALSE))</f>
        <v>2</v>
      </c>
      <c r="R17" s="358">
        <f>IF(VLOOKUP($I17,Max_Load_France!$B$2:$M$102,8,FALSE)="","",VLOOKUP($I17,Max_Load_France!$B$2:$M$102,8,FALSE))</f>
        <v>2</v>
      </c>
      <c r="S17" s="358" t="str">
        <f>IF(VLOOKUP($I17,Max_Load_France!$B$2:$M$102,9,FALSE)="","",VLOOKUP($I17,Max_Load_France!$B$2:$M$102,9,FALSE))</f>
        <v/>
      </c>
      <c r="T17" s="358" t="str">
        <f>IF(VLOOKUP($I17,Max_Load_France!$B$2:$M$102,10,FALSE)="","",VLOOKUP($I17,Max_Load_France!$B$2:$M$102,10,FALSE))</f>
        <v/>
      </c>
      <c r="U17" s="358" t="str">
        <f>IF(VLOOKUP($I17,Max_Load_France!$B$2:$M$102,11,FALSE)="","",VLOOKUP($I17,Max_Load_France!$B$2:$M$102,11,FALSE))</f>
        <v/>
      </c>
      <c r="V17" s="359">
        <v>6</v>
      </c>
      <c r="W17" s="383">
        <f t="shared" si="8"/>
        <v>40.299999999999997</v>
      </c>
      <c r="X17" s="308">
        <v>7</v>
      </c>
      <c r="Y17" s="308">
        <v>12.6</v>
      </c>
      <c r="Z17" s="308">
        <v>7</v>
      </c>
      <c r="AA17" s="308">
        <v>6.9</v>
      </c>
      <c r="AB17" s="308">
        <v>3</v>
      </c>
      <c r="AC17" s="309">
        <v>3.8</v>
      </c>
      <c r="AD17" s="301"/>
      <c r="AE17" s="301"/>
      <c r="AF17" s="301"/>
      <c r="AG17" s="379">
        <f>IF(SUMIF(M17:R17,1,X17:AC17)&gt;0,SUMIF(M17:R17,1,X17:AC17),"")</f>
        <v>19.600000000000001</v>
      </c>
      <c r="AH17" s="379">
        <f t="shared" si="9"/>
        <v>6.8</v>
      </c>
      <c r="AI17" s="379" t="str">
        <f t="shared" si="10"/>
        <v/>
      </c>
      <c r="AJ17" s="379" t="str">
        <f t="shared" si="11"/>
        <v/>
      </c>
      <c r="AK17" s="381">
        <f t="shared" si="1"/>
        <v>36.632758241758246</v>
      </c>
      <c r="AL17" s="354">
        <v>5.2052747252747258</v>
      </c>
      <c r="AM17" s="354">
        <v>14.616153846153848</v>
      </c>
      <c r="AN17" s="308">
        <v>6.3322857142857147</v>
      </c>
      <c r="AO17" s="308">
        <v>6.3400549450549448</v>
      </c>
      <c r="AP17" s="308">
        <v>2.5294395604395605</v>
      </c>
      <c r="AQ17" s="309">
        <v>1.6095494505494508</v>
      </c>
      <c r="AR17" s="301"/>
      <c r="AS17" s="301"/>
      <c r="AT17" s="301"/>
      <c r="AU17" s="378">
        <f t="shared" si="12"/>
        <v>20.948439560439564</v>
      </c>
      <c r="AV17" s="378">
        <f t="shared" si="13"/>
        <v>4.1389890109890111</v>
      </c>
      <c r="AW17" s="302" t="str">
        <f t="shared" si="14"/>
        <v/>
      </c>
      <c r="AX17" s="302" t="str">
        <f t="shared" si="15"/>
        <v/>
      </c>
      <c r="AY17" s="349">
        <f t="shared" si="2"/>
        <v>-9.0998554795080677E-2</v>
      </c>
      <c r="AZ17" s="349">
        <f t="shared" si="16"/>
        <v>-0.25638932496075345</v>
      </c>
      <c r="BA17" s="349" t="str">
        <f t="shared" si="16"/>
        <v/>
      </c>
      <c r="BB17" s="349" t="str">
        <f t="shared" si="16"/>
        <v/>
      </c>
      <c r="BC17" s="349">
        <f t="shared" si="16"/>
        <v>-8.1151457238413841E-2</v>
      </c>
      <c r="BD17" s="349" t="str">
        <f t="shared" si="16"/>
        <v/>
      </c>
      <c r="BE17" s="349">
        <f t="shared" si="17"/>
        <v>0.16001221001221019</v>
      </c>
      <c r="BF17" s="349">
        <f t="shared" si="3"/>
        <v>-9.5387755102040755E-2</v>
      </c>
      <c r="BG17" s="349" t="str">
        <f t="shared" si="3"/>
        <v/>
      </c>
      <c r="BH17" s="349">
        <f t="shared" si="3"/>
        <v>-0.15685347985347983</v>
      </c>
      <c r="BI17" s="349">
        <f t="shared" si="3"/>
        <v>-0.57643435511856567</v>
      </c>
      <c r="BJ17" s="349">
        <f t="shared" si="4"/>
        <v>6.8797936757120523E-2</v>
      </c>
      <c r="BK17" s="349">
        <f t="shared" si="5"/>
        <v>-0.39132514544279245</v>
      </c>
      <c r="BL17" s="375" t="str">
        <f t="shared" si="6"/>
        <v/>
      </c>
      <c r="BM17" s="376" t="str">
        <f t="shared" si="7"/>
        <v/>
      </c>
      <c r="BN17" s="374">
        <v>80.444400000000002</v>
      </c>
      <c r="BO17" s="334"/>
      <c r="BP17" s="94"/>
      <c r="BQ17" s="76"/>
      <c r="BR17" s="76"/>
      <c r="BS17" s="76"/>
      <c r="BT17" s="70"/>
      <c r="BU17" s="76"/>
      <c r="BV17" s="76"/>
      <c r="BW17" s="76"/>
      <c r="BX17" s="76"/>
      <c r="BY17" s="76"/>
      <c r="BZ17" s="76"/>
      <c r="CA17" s="76"/>
    </row>
    <row r="18" spans="1:79" s="89" customFormat="1" ht="11.25">
      <c r="A18" s="359" t="s">
        <v>217</v>
      </c>
      <c r="B18" s="365" t="s">
        <v>252</v>
      </c>
      <c r="C18" s="366"/>
      <c r="D18" s="367">
        <v>0.40416666666666662</v>
      </c>
      <c r="E18" s="368">
        <v>71.9298</v>
      </c>
      <c r="F18" s="369"/>
      <c r="G18" s="369"/>
      <c r="H18" s="359"/>
      <c r="I18" s="365" t="s">
        <v>130</v>
      </c>
      <c r="J18" s="358">
        <f>IF(ISERROR(VLOOKUP(I18,Max_Load_France!$B$2:$C$102,2,FALSE)/1000),"",VLOOKUP(I18,Max_Load_France!$B$2:$C$102,2,FALSE)/1000)</f>
        <v>40</v>
      </c>
      <c r="K18" s="296"/>
      <c r="L18" s="386">
        <f t="shared" si="0"/>
        <v>0.52500000000000002</v>
      </c>
      <c r="M18" s="358">
        <f>IF(VLOOKUP($I18,Max_Load_France!$B$2:$M$102,3,FALSE)="","",VLOOKUP($I18,Max_Load_France!$B$2:$M$102,3,FALSE))</f>
        <v>0</v>
      </c>
      <c r="N18" s="358">
        <f>IF(VLOOKUP($I18,Max_Load_France!$B$2:$M$102,4,FALSE)="","",VLOOKUP($I18,Max_Load_France!$B$2:$M$102,4,FALSE))</f>
        <v>1</v>
      </c>
      <c r="O18" s="358">
        <f>IF(VLOOKUP($I18,Max_Load_France!$B$2:$M$102,5,FALSE)="","",VLOOKUP($I18,Max_Load_France!$B$2:$M$102,5,FALSE))</f>
        <v>1</v>
      </c>
      <c r="P18" s="358">
        <f>IF(VLOOKUP($I18,Max_Load_France!$B$2:$M$102,6,FALSE)="","",VLOOKUP($I18,Max_Load_France!$B$2:$M$102,6,FALSE))</f>
        <v>2</v>
      </c>
      <c r="Q18" s="358">
        <f>IF(VLOOKUP($I18,Max_Load_France!$B$2:$M$102,7,FALSE)="","",VLOOKUP($I18,Max_Load_France!$B$2:$M$102,7,FALSE))</f>
        <v>2</v>
      </c>
      <c r="R18" s="358" t="str">
        <f>IF(VLOOKUP($I18,Max_Load_France!$B$2:$M$102,8,FALSE)="","",VLOOKUP($I18,Max_Load_France!$B$2:$M$102,8,FALSE))</f>
        <v/>
      </c>
      <c r="S18" s="358" t="str">
        <f>IF(VLOOKUP($I18,Max_Load_France!$B$2:$M$102,9,FALSE)="","",VLOOKUP($I18,Max_Load_France!$B$2:$M$102,9,FALSE))</f>
        <v/>
      </c>
      <c r="T18" s="358" t="str">
        <f>IF(VLOOKUP($I18,Max_Load_France!$B$2:$M$102,10,FALSE)="","",VLOOKUP($I18,Max_Load_France!$B$2:$M$102,10,FALSE))</f>
        <v/>
      </c>
      <c r="U18" s="358" t="str">
        <f>IF(VLOOKUP($I18,Max_Load_France!$B$2:$M$102,11,FALSE)="","",VLOOKUP($I18,Max_Load_France!$B$2:$M$102,11,FALSE))</f>
        <v/>
      </c>
      <c r="V18" s="359">
        <v>5</v>
      </c>
      <c r="W18" s="383">
        <f t="shared" si="8"/>
        <v>21</v>
      </c>
      <c r="X18" s="308">
        <v>5.0999999999999996</v>
      </c>
      <c r="Y18" s="308">
        <v>5.9</v>
      </c>
      <c r="Z18" s="308">
        <v>5.7</v>
      </c>
      <c r="AA18" s="308">
        <v>2.2000000000000002</v>
      </c>
      <c r="AB18" s="308">
        <v>2.1</v>
      </c>
      <c r="AC18" s="309"/>
      <c r="AD18" s="301"/>
      <c r="AE18" s="301"/>
      <c r="AF18" s="301"/>
      <c r="AG18" s="379">
        <f t="shared" ref="AG18:AG46" si="18">IF(SUMIF(M18:R18,1,X18:AC18)&gt;0,SUMIF(M18:R18,1,X18:AC18),"")</f>
        <v>11.600000000000001</v>
      </c>
      <c r="AH18" s="379">
        <f t="shared" si="9"/>
        <v>4.3000000000000007</v>
      </c>
      <c r="AI18" s="379" t="str">
        <f t="shared" si="10"/>
        <v/>
      </c>
      <c r="AJ18" s="379" t="str">
        <f t="shared" si="11"/>
        <v/>
      </c>
      <c r="AK18" s="381">
        <f t="shared" si="1"/>
        <v>29.031714285714287</v>
      </c>
      <c r="AL18" s="354">
        <v>6.2680769230769231</v>
      </c>
      <c r="AM18" s="354">
        <v>8.8675164835164839</v>
      </c>
      <c r="AN18" s="308">
        <v>8.3269780219780216</v>
      </c>
      <c r="AO18" s="308">
        <v>3.232824175824176</v>
      </c>
      <c r="AP18" s="308">
        <v>2.3363186813186814</v>
      </c>
      <c r="AQ18" s="309"/>
      <c r="AR18" s="301"/>
      <c r="AS18" s="301"/>
      <c r="AT18" s="301"/>
      <c r="AU18" s="378">
        <f t="shared" si="12"/>
        <v>17.194494505494504</v>
      </c>
      <c r="AV18" s="378">
        <f t="shared" si="13"/>
        <v>5.5691428571428574</v>
      </c>
      <c r="AW18" s="302" t="str">
        <f t="shared" si="14"/>
        <v/>
      </c>
      <c r="AX18" s="302" t="str">
        <f t="shared" si="15"/>
        <v/>
      </c>
      <c r="AY18" s="349">
        <f t="shared" si="2"/>
        <v>0.38246258503401365</v>
      </c>
      <c r="AZ18" s="349">
        <f t="shared" si="16"/>
        <v>0.22903469079939678</v>
      </c>
      <c r="BA18" s="349" t="str">
        <f t="shared" si="16"/>
        <v/>
      </c>
      <c r="BB18" s="349" t="str">
        <f t="shared" si="16"/>
        <v/>
      </c>
      <c r="BC18" s="349" t="str">
        <f t="shared" si="16"/>
        <v/>
      </c>
      <c r="BD18" s="349" t="str">
        <f t="shared" si="16"/>
        <v/>
      </c>
      <c r="BE18" s="349">
        <f t="shared" si="17"/>
        <v>0.50296889551126833</v>
      </c>
      <c r="BF18" s="349">
        <f t="shared" si="3"/>
        <v>0.46087333718912654</v>
      </c>
      <c r="BG18" s="349">
        <f t="shared" si="3"/>
        <v>0.46946553446553446</v>
      </c>
      <c r="BH18" s="349">
        <f t="shared" si="3"/>
        <v>0.11253270538984822</v>
      </c>
      <c r="BI18" s="349" t="str">
        <f t="shared" si="3"/>
        <v/>
      </c>
      <c r="BJ18" s="349">
        <f t="shared" si="4"/>
        <v>0.48228400909435359</v>
      </c>
      <c r="BK18" s="349">
        <f t="shared" si="5"/>
        <v>0.29514950166112941</v>
      </c>
      <c r="BL18" s="375" t="str">
        <f t="shared" si="6"/>
        <v/>
      </c>
      <c r="BM18" s="376" t="str">
        <f t="shared" si="7"/>
        <v/>
      </c>
      <c r="BN18" s="374">
        <v>49.796599999999998</v>
      </c>
      <c r="BO18" s="334"/>
      <c r="BP18" s="94"/>
      <c r="BQ18" s="76"/>
      <c r="BR18" s="76"/>
      <c r="BS18" s="76"/>
      <c r="BT18" s="76"/>
      <c r="BU18" s="76"/>
      <c r="BV18" s="76"/>
      <c r="BW18" s="76"/>
      <c r="BX18" s="76"/>
      <c r="BY18" s="76"/>
      <c r="BZ18" s="76"/>
      <c r="CA18" s="76"/>
    </row>
    <row r="19" spans="1:79" s="89" customFormat="1" ht="11.25">
      <c r="A19" s="359" t="s">
        <v>218</v>
      </c>
      <c r="B19" s="365" t="s">
        <v>253</v>
      </c>
      <c r="C19" s="366"/>
      <c r="D19" s="367">
        <v>0.41736111111111113</v>
      </c>
      <c r="E19" s="368">
        <v>64.111320000000006</v>
      </c>
      <c r="F19" s="369"/>
      <c r="G19" s="369"/>
      <c r="H19" s="359"/>
      <c r="I19" s="365" t="s">
        <v>94</v>
      </c>
      <c r="J19" s="358">
        <f>IF(ISERROR(VLOOKUP(I19,Max_Load_France!$B$2:$C$102,2,FALSE)/1000),"",VLOOKUP(I19,Max_Load_France!$B$2:$C$102,2,FALSE)/1000)</f>
        <v>40</v>
      </c>
      <c r="K19" s="296"/>
      <c r="L19" s="386">
        <f t="shared" si="0"/>
        <v>1.0299999999999998</v>
      </c>
      <c r="M19" s="358">
        <f>IF(VLOOKUP($I19,Max_Load_France!$B$2:$M$102,3,FALSE)="","",VLOOKUP($I19,Max_Load_France!$B$2:$M$102,3,FALSE))</f>
        <v>0</v>
      </c>
      <c r="N19" s="358">
        <f>IF(VLOOKUP($I19,Max_Load_France!$B$2:$M$102,4,FALSE)="","",VLOOKUP($I19,Max_Load_France!$B$2:$M$102,4,FALSE))</f>
        <v>0</v>
      </c>
      <c r="O19" s="358">
        <f>IF(VLOOKUP($I19,Max_Load_France!$B$2:$M$102,5,FALSE)="","",VLOOKUP($I19,Max_Load_France!$B$2:$M$102,5,FALSE))</f>
        <v>1</v>
      </c>
      <c r="P19" s="358">
        <f>IF(VLOOKUP($I19,Max_Load_France!$B$2:$M$102,6,FALSE)="","",VLOOKUP($I19,Max_Load_France!$B$2:$M$102,6,FALSE))</f>
        <v>1</v>
      </c>
      <c r="Q19" s="358">
        <f>IF(VLOOKUP($I19,Max_Load_France!$B$2:$M$102,7,FALSE)="","",VLOOKUP($I19,Max_Load_France!$B$2:$M$102,7,FALSE))</f>
        <v>1</v>
      </c>
      <c r="R19" s="358" t="str">
        <f>IF(VLOOKUP($I19,Max_Load_France!$B$2:$M$102,8,FALSE)="","",VLOOKUP($I19,Max_Load_France!$B$2:$M$102,8,FALSE))</f>
        <v/>
      </c>
      <c r="S19" s="358" t="str">
        <f>IF(VLOOKUP($I19,Max_Load_France!$B$2:$M$102,9,FALSE)="","",VLOOKUP($I19,Max_Load_France!$B$2:$M$102,9,FALSE))</f>
        <v/>
      </c>
      <c r="T19" s="358" t="str">
        <f>IF(VLOOKUP($I19,Max_Load_France!$B$2:$M$102,10,FALSE)="","",VLOOKUP($I19,Max_Load_France!$B$2:$M$102,10,FALSE))</f>
        <v/>
      </c>
      <c r="U19" s="358" t="str">
        <f>IF(VLOOKUP($I19,Max_Load_France!$B$2:$M$102,11,FALSE)="","",VLOOKUP($I19,Max_Load_France!$B$2:$M$102,11,FALSE))</f>
        <v/>
      </c>
      <c r="V19" s="359">
        <v>5</v>
      </c>
      <c r="W19" s="383">
        <f t="shared" si="8"/>
        <v>41.199999999999996</v>
      </c>
      <c r="X19" s="308">
        <v>7.1</v>
      </c>
      <c r="Y19" s="308">
        <v>15</v>
      </c>
      <c r="Z19" s="308">
        <v>6.4</v>
      </c>
      <c r="AA19" s="308">
        <v>6.3</v>
      </c>
      <c r="AB19" s="308">
        <v>6.4</v>
      </c>
      <c r="AC19" s="309"/>
      <c r="AD19" s="301"/>
      <c r="AE19" s="301"/>
      <c r="AF19" s="301"/>
      <c r="AG19" s="379">
        <f t="shared" si="18"/>
        <v>19.100000000000001</v>
      </c>
      <c r="AH19" s="379" t="str">
        <f t="shared" si="9"/>
        <v/>
      </c>
      <c r="AI19" s="379" t="str">
        <f t="shared" si="10"/>
        <v/>
      </c>
      <c r="AJ19" s="379" t="str">
        <f t="shared" si="11"/>
        <v/>
      </c>
      <c r="AK19" s="381">
        <f t="shared" si="1"/>
        <v>45.066824175824181</v>
      </c>
      <c r="AL19" s="354">
        <v>6.3024615384615394</v>
      </c>
      <c r="AM19" s="354">
        <v>18.337912087912088</v>
      </c>
      <c r="AN19" s="308">
        <v>7.0084725274725272</v>
      </c>
      <c r="AO19" s="308">
        <v>5.2844615384615388</v>
      </c>
      <c r="AP19" s="308">
        <v>8.1335164835164839</v>
      </c>
      <c r="AQ19" s="309"/>
      <c r="AR19" s="301"/>
      <c r="AS19" s="301"/>
      <c r="AT19" s="301"/>
      <c r="AU19" s="378">
        <f t="shared" si="12"/>
        <v>20.42645054945055</v>
      </c>
      <c r="AV19" s="378" t="str">
        <f t="shared" si="13"/>
        <v/>
      </c>
      <c r="AW19" s="302" t="str">
        <f t="shared" si="14"/>
        <v/>
      </c>
      <c r="AX19" s="302" t="str">
        <f t="shared" si="15"/>
        <v/>
      </c>
      <c r="AY19" s="349">
        <f t="shared" si="2"/>
        <v>9.3854955723887995E-2</v>
      </c>
      <c r="AZ19" s="349">
        <f t="shared" si="16"/>
        <v>-0.11232936078006482</v>
      </c>
      <c r="BA19" s="349">
        <f t="shared" si="16"/>
        <v>0.22252747252747251</v>
      </c>
      <c r="BB19" s="349" t="str">
        <f t="shared" si="16"/>
        <v/>
      </c>
      <c r="BC19" s="349" t="str">
        <f t="shared" si="16"/>
        <v/>
      </c>
      <c r="BD19" s="349" t="str">
        <f t="shared" si="16"/>
        <v/>
      </c>
      <c r="BE19" s="349" t="str">
        <f t="shared" si="17"/>
        <v/>
      </c>
      <c r="BF19" s="349">
        <f t="shared" si="3"/>
        <v>9.5073832417582327E-2</v>
      </c>
      <c r="BG19" s="349">
        <f t="shared" si="3"/>
        <v>-0.16119658119658112</v>
      </c>
      <c r="BH19" s="349">
        <f t="shared" si="3"/>
        <v>0.27086195054945056</v>
      </c>
      <c r="BI19" s="349" t="str">
        <f t="shared" si="3"/>
        <v/>
      </c>
      <c r="BJ19" s="349">
        <f t="shared" si="4"/>
        <v>6.9447672746102015E-2</v>
      </c>
      <c r="BK19" s="349" t="str">
        <f t="shared" si="5"/>
        <v/>
      </c>
      <c r="BL19" s="375" t="str">
        <f t="shared" si="6"/>
        <v/>
      </c>
      <c r="BM19" s="376" t="str">
        <f t="shared" si="7"/>
        <v/>
      </c>
      <c r="BN19" s="374">
        <v>68.449799999999996</v>
      </c>
      <c r="BO19" s="334"/>
      <c r="BP19" s="94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</row>
    <row r="20" spans="1:79" s="89" customFormat="1" ht="11.25">
      <c r="A20" s="359" t="s">
        <v>219</v>
      </c>
      <c r="B20" s="365" t="s">
        <v>254</v>
      </c>
      <c r="C20" s="366"/>
      <c r="D20" s="367">
        <v>0.4284722222222222</v>
      </c>
      <c r="E20" s="368">
        <v>57.825719999999997</v>
      </c>
      <c r="F20" s="369"/>
      <c r="G20" s="369"/>
      <c r="H20" s="359"/>
      <c r="I20" s="365" t="s">
        <v>94</v>
      </c>
      <c r="J20" s="358">
        <f>IF(ISERROR(VLOOKUP(I20,Max_Load_France!$B$2:$C$102,2,FALSE)/1000),"",VLOOKUP(I20,Max_Load_France!$B$2:$C$102,2,FALSE)/1000)</f>
        <v>40</v>
      </c>
      <c r="K20" s="296"/>
      <c r="L20" s="386">
        <f t="shared" si="0"/>
        <v>0.99250000000000005</v>
      </c>
      <c r="M20" s="358">
        <f>IF(VLOOKUP($I20,Max_Load_France!$B$2:$M$102,3,FALSE)="","",VLOOKUP($I20,Max_Load_France!$B$2:$M$102,3,FALSE))</f>
        <v>0</v>
      </c>
      <c r="N20" s="358">
        <f>IF(VLOOKUP($I20,Max_Load_France!$B$2:$M$102,4,FALSE)="","",VLOOKUP($I20,Max_Load_France!$B$2:$M$102,4,FALSE))</f>
        <v>0</v>
      </c>
      <c r="O20" s="358">
        <f>IF(VLOOKUP($I20,Max_Load_France!$B$2:$M$102,5,FALSE)="","",VLOOKUP($I20,Max_Load_France!$B$2:$M$102,5,FALSE))</f>
        <v>1</v>
      </c>
      <c r="P20" s="358">
        <f>IF(VLOOKUP($I20,Max_Load_France!$B$2:$M$102,6,FALSE)="","",VLOOKUP($I20,Max_Load_France!$B$2:$M$102,6,FALSE))</f>
        <v>1</v>
      </c>
      <c r="Q20" s="358">
        <f>IF(VLOOKUP($I20,Max_Load_France!$B$2:$M$102,7,FALSE)="","",VLOOKUP($I20,Max_Load_France!$B$2:$M$102,7,FALSE))</f>
        <v>1</v>
      </c>
      <c r="R20" s="358" t="str">
        <f>IF(VLOOKUP($I20,Max_Load_France!$B$2:$M$102,8,FALSE)="","",VLOOKUP($I20,Max_Load_France!$B$2:$M$102,8,FALSE))</f>
        <v/>
      </c>
      <c r="S20" s="358" t="str">
        <f>IF(VLOOKUP($I20,Max_Load_France!$B$2:$M$102,9,FALSE)="","",VLOOKUP($I20,Max_Load_France!$B$2:$M$102,9,FALSE))</f>
        <v/>
      </c>
      <c r="T20" s="358" t="str">
        <f>IF(VLOOKUP($I20,Max_Load_France!$B$2:$M$102,10,FALSE)="","",VLOOKUP($I20,Max_Load_France!$B$2:$M$102,10,FALSE))</f>
        <v/>
      </c>
      <c r="U20" s="358" t="str">
        <f>IF(VLOOKUP($I20,Max_Load_France!$B$2:$M$102,11,FALSE)="","",VLOOKUP($I20,Max_Load_France!$B$2:$M$102,11,FALSE))</f>
        <v/>
      </c>
      <c r="V20" s="359">
        <v>5</v>
      </c>
      <c r="W20" s="383">
        <f t="shared" si="8"/>
        <v>39.700000000000003</v>
      </c>
      <c r="X20" s="308">
        <v>7.4</v>
      </c>
      <c r="Y20" s="308">
        <v>14.8</v>
      </c>
      <c r="Z20" s="308">
        <v>5.0999999999999996</v>
      </c>
      <c r="AA20" s="308">
        <v>6</v>
      </c>
      <c r="AB20" s="308">
        <v>6.4</v>
      </c>
      <c r="AC20" s="309"/>
      <c r="AD20" s="301"/>
      <c r="AE20" s="301"/>
      <c r="AF20" s="301"/>
      <c r="AG20" s="379">
        <f t="shared" si="18"/>
        <v>17.5</v>
      </c>
      <c r="AH20" s="379" t="str">
        <f t="shared" si="9"/>
        <v/>
      </c>
      <c r="AI20" s="379" t="str">
        <f t="shared" si="10"/>
        <v/>
      </c>
      <c r="AJ20" s="379" t="str">
        <f t="shared" si="11"/>
        <v/>
      </c>
      <c r="AK20" s="381">
        <f t="shared" si="1"/>
        <v>36.631571428571434</v>
      </c>
      <c r="AL20" s="354">
        <v>5.4055384615384616</v>
      </c>
      <c r="AM20" s="354">
        <v>15.482747252747254</v>
      </c>
      <c r="AN20" s="308">
        <v>2.9157692307692309</v>
      </c>
      <c r="AO20" s="308">
        <v>7.8614175824175829</v>
      </c>
      <c r="AP20" s="308">
        <v>4.966098901098901</v>
      </c>
      <c r="AQ20" s="309"/>
      <c r="AR20" s="301"/>
      <c r="AS20" s="301"/>
      <c r="AT20" s="301"/>
      <c r="AU20" s="378">
        <f t="shared" si="12"/>
        <v>15.743285714285715</v>
      </c>
      <c r="AV20" s="378" t="str">
        <f t="shared" si="13"/>
        <v/>
      </c>
      <c r="AW20" s="302" t="str">
        <f t="shared" si="14"/>
        <v/>
      </c>
      <c r="AX20" s="302" t="str">
        <f t="shared" si="15"/>
        <v/>
      </c>
      <c r="AY20" s="349" t="str">
        <f t="shared" si="2"/>
        <v/>
      </c>
      <c r="AZ20" s="349" t="str">
        <f t="shared" si="16"/>
        <v/>
      </c>
      <c r="BA20" s="349" t="str">
        <f t="shared" si="16"/>
        <v/>
      </c>
      <c r="BB20" s="349" t="str">
        <f t="shared" si="16"/>
        <v/>
      </c>
      <c r="BC20" s="349" t="str">
        <f t="shared" si="16"/>
        <v/>
      </c>
      <c r="BD20" s="349" t="str">
        <f t="shared" si="16"/>
        <v/>
      </c>
      <c r="BE20" s="349" t="str">
        <f t="shared" si="17"/>
        <v/>
      </c>
      <c r="BF20" s="349" t="str">
        <f t="shared" si="3"/>
        <v/>
      </c>
      <c r="BG20" s="349" t="str">
        <f t="shared" si="3"/>
        <v/>
      </c>
      <c r="BH20" s="349" t="str">
        <f t="shared" si="3"/>
        <v/>
      </c>
      <c r="BI20" s="349" t="str">
        <f t="shared" si="3"/>
        <v/>
      </c>
      <c r="BJ20" s="349" t="b">
        <f t="shared" si="4"/>
        <v>0</v>
      </c>
      <c r="BK20" s="349" t="str">
        <f t="shared" si="5"/>
        <v/>
      </c>
      <c r="BL20" s="375" t="str">
        <f t="shared" si="6"/>
        <v/>
      </c>
      <c r="BM20" s="376" t="str">
        <f t="shared" si="7"/>
        <v/>
      </c>
      <c r="BN20" s="374">
        <v>182.994</v>
      </c>
      <c r="BO20" s="334"/>
      <c r="BP20" s="94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</row>
    <row r="21" spans="1:79" s="89" customFormat="1" ht="11.25">
      <c r="A21" s="359" t="s">
        <v>220</v>
      </c>
      <c r="B21" s="365" t="s">
        <v>255</v>
      </c>
      <c r="C21" s="366"/>
      <c r="D21" s="367">
        <v>0.44027777777777777</v>
      </c>
      <c r="E21" s="368">
        <v>54.411839999999998</v>
      </c>
      <c r="F21" s="369"/>
      <c r="G21" s="369"/>
      <c r="H21" s="359"/>
      <c r="I21" s="365" t="s">
        <v>94</v>
      </c>
      <c r="J21" s="358">
        <f>IF(ISERROR(VLOOKUP(I21,Max_Load_France!$B$2:$C$102,2,FALSE)/1000),"",VLOOKUP(I21,Max_Load_France!$B$2:$C$102,2,FALSE)/1000)</f>
        <v>40</v>
      </c>
      <c r="K21" s="296"/>
      <c r="L21" s="386">
        <f t="shared" si="0"/>
        <v>0.89499999999999991</v>
      </c>
      <c r="M21" s="358">
        <f>IF(VLOOKUP($I21,Max_Load_France!$B$2:$M$102,3,FALSE)="","",VLOOKUP($I21,Max_Load_France!$B$2:$M$102,3,FALSE))</f>
        <v>0</v>
      </c>
      <c r="N21" s="358">
        <f>IF(VLOOKUP($I21,Max_Load_France!$B$2:$M$102,4,FALSE)="","",VLOOKUP($I21,Max_Load_France!$B$2:$M$102,4,FALSE))</f>
        <v>0</v>
      </c>
      <c r="O21" s="358">
        <f>IF(VLOOKUP($I21,Max_Load_France!$B$2:$M$102,5,FALSE)="","",VLOOKUP($I21,Max_Load_France!$B$2:$M$102,5,FALSE))</f>
        <v>1</v>
      </c>
      <c r="P21" s="358">
        <f>IF(VLOOKUP($I21,Max_Load_France!$B$2:$M$102,6,FALSE)="","",VLOOKUP($I21,Max_Load_France!$B$2:$M$102,6,FALSE))</f>
        <v>1</v>
      </c>
      <c r="Q21" s="358">
        <f>IF(VLOOKUP($I21,Max_Load_France!$B$2:$M$102,7,FALSE)="","",VLOOKUP($I21,Max_Load_France!$B$2:$M$102,7,FALSE))</f>
        <v>1</v>
      </c>
      <c r="R21" s="358" t="str">
        <f>IF(VLOOKUP($I21,Max_Load_France!$B$2:$M$102,8,FALSE)="","",VLOOKUP($I21,Max_Load_France!$B$2:$M$102,8,FALSE))</f>
        <v/>
      </c>
      <c r="S21" s="358" t="str">
        <f>IF(VLOOKUP($I21,Max_Load_France!$B$2:$M$102,9,FALSE)="","",VLOOKUP($I21,Max_Load_France!$B$2:$M$102,9,FALSE))</f>
        <v/>
      </c>
      <c r="T21" s="358" t="str">
        <f>IF(VLOOKUP($I21,Max_Load_France!$B$2:$M$102,10,FALSE)="","",VLOOKUP($I21,Max_Load_France!$B$2:$M$102,10,FALSE))</f>
        <v/>
      </c>
      <c r="U21" s="358" t="str">
        <f>IF(VLOOKUP($I21,Max_Load_France!$B$2:$M$102,11,FALSE)="","",VLOOKUP($I21,Max_Load_France!$B$2:$M$102,11,FALSE))</f>
        <v/>
      </c>
      <c r="V21" s="359">
        <v>5</v>
      </c>
      <c r="W21" s="383">
        <f t="shared" si="8"/>
        <v>35.799999999999997</v>
      </c>
      <c r="X21" s="308">
        <v>7.1</v>
      </c>
      <c r="Y21" s="308">
        <v>9.5</v>
      </c>
      <c r="Z21" s="308">
        <v>6.7</v>
      </c>
      <c r="AA21" s="308">
        <v>6.2</v>
      </c>
      <c r="AB21" s="308">
        <v>6.3</v>
      </c>
      <c r="AC21" s="309"/>
      <c r="AD21" s="301"/>
      <c r="AE21" s="301"/>
      <c r="AF21" s="301"/>
      <c r="AG21" s="379">
        <f t="shared" si="18"/>
        <v>19.2</v>
      </c>
      <c r="AH21" s="379" t="str">
        <f t="shared" si="9"/>
        <v/>
      </c>
      <c r="AI21" s="379" t="str">
        <f t="shared" si="10"/>
        <v/>
      </c>
      <c r="AJ21" s="379" t="str">
        <f t="shared" si="11"/>
        <v/>
      </c>
      <c r="AK21" s="381">
        <f t="shared" si="1"/>
        <v>37.071318681318679</v>
      </c>
      <c r="AL21" s="354">
        <v>5.3780879120879126</v>
      </c>
      <c r="AM21" s="354">
        <v>11.694175824175824</v>
      </c>
      <c r="AN21" s="308">
        <v>5.3185604395604393</v>
      </c>
      <c r="AO21" s="308">
        <v>7.4774175824175826</v>
      </c>
      <c r="AP21" s="308">
        <v>7.2030769230769236</v>
      </c>
      <c r="AQ21" s="309"/>
      <c r="AR21" s="301"/>
      <c r="AS21" s="301"/>
      <c r="AT21" s="301"/>
      <c r="AU21" s="378">
        <f t="shared" si="12"/>
        <v>19.999054945054947</v>
      </c>
      <c r="AV21" s="378" t="str">
        <f t="shared" si="13"/>
        <v/>
      </c>
      <c r="AW21" s="302" t="str">
        <f t="shared" si="14"/>
        <v/>
      </c>
      <c r="AX21" s="302" t="str">
        <f t="shared" si="15"/>
        <v/>
      </c>
      <c r="AY21" s="349">
        <f t="shared" si="2"/>
        <v>3.5511695008901743E-2</v>
      </c>
      <c r="AZ21" s="349">
        <f t="shared" si="16"/>
        <v>-0.24252282928339255</v>
      </c>
      <c r="BA21" s="349">
        <f t="shared" si="16"/>
        <v>0.23096587622903411</v>
      </c>
      <c r="BB21" s="349" t="str">
        <f t="shared" si="16"/>
        <v/>
      </c>
      <c r="BC21" s="349" t="str">
        <f t="shared" si="16"/>
        <v/>
      </c>
      <c r="BD21" s="349" t="str">
        <f t="shared" si="16"/>
        <v/>
      </c>
      <c r="BE21" s="349" t="str">
        <f t="shared" si="17"/>
        <v/>
      </c>
      <c r="BF21" s="349">
        <f t="shared" si="3"/>
        <v>-0.20618500902082998</v>
      </c>
      <c r="BG21" s="349">
        <f t="shared" si="3"/>
        <v>0.20603509393831973</v>
      </c>
      <c r="BH21" s="349">
        <f t="shared" si="3"/>
        <v>0.14334554334554345</v>
      </c>
      <c r="BI21" s="349" t="str">
        <f t="shared" si="3"/>
        <v/>
      </c>
      <c r="BJ21" s="349">
        <f t="shared" si="4"/>
        <v>4.1617445054945211E-2</v>
      </c>
      <c r="BK21" s="349" t="str">
        <f t="shared" si="5"/>
        <v/>
      </c>
      <c r="BL21" s="375" t="str">
        <f t="shared" si="6"/>
        <v/>
      </c>
      <c r="BM21" s="376" t="str">
        <f t="shared" si="7"/>
        <v/>
      </c>
      <c r="BN21" s="374">
        <v>53.984299999999998</v>
      </c>
      <c r="BO21" s="334"/>
      <c r="BP21" s="94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</row>
    <row r="22" spans="1:79" s="89" customFormat="1" ht="11.25">
      <c r="A22" s="359" t="s">
        <v>221</v>
      </c>
      <c r="B22" s="365" t="s">
        <v>256</v>
      </c>
      <c r="C22" s="366"/>
      <c r="D22" s="367">
        <v>0.44722222222222219</v>
      </c>
      <c r="E22" s="368">
        <v>55.434600000000003</v>
      </c>
      <c r="F22" s="369"/>
      <c r="G22" s="369"/>
      <c r="H22" s="359"/>
      <c r="I22" s="365" t="s">
        <v>94</v>
      </c>
      <c r="J22" s="358">
        <f>IF(ISERROR(VLOOKUP(I22,Max_Load_France!$B$2:$C$102,2,FALSE)/1000),"",VLOOKUP(I22,Max_Load_France!$B$2:$C$102,2,FALSE)/1000)</f>
        <v>40</v>
      </c>
      <c r="K22" s="296"/>
      <c r="L22" s="386">
        <f t="shared" si="0"/>
        <v>1.0325</v>
      </c>
      <c r="M22" s="358">
        <f>IF(VLOOKUP($I22,Max_Load_France!$B$2:$M$102,3,FALSE)="","",VLOOKUP($I22,Max_Load_France!$B$2:$M$102,3,FALSE))</f>
        <v>0</v>
      </c>
      <c r="N22" s="358">
        <f>IF(VLOOKUP($I22,Max_Load_France!$B$2:$M$102,4,FALSE)="","",VLOOKUP($I22,Max_Load_France!$B$2:$M$102,4,FALSE))</f>
        <v>0</v>
      </c>
      <c r="O22" s="358">
        <f>IF(VLOOKUP($I22,Max_Load_France!$B$2:$M$102,5,FALSE)="","",VLOOKUP($I22,Max_Load_France!$B$2:$M$102,5,FALSE))</f>
        <v>1</v>
      </c>
      <c r="P22" s="358">
        <f>IF(VLOOKUP($I22,Max_Load_France!$B$2:$M$102,6,FALSE)="","",VLOOKUP($I22,Max_Load_France!$B$2:$M$102,6,FALSE))</f>
        <v>1</v>
      </c>
      <c r="Q22" s="358">
        <f>IF(VLOOKUP($I22,Max_Load_France!$B$2:$M$102,7,FALSE)="","",VLOOKUP($I22,Max_Load_France!$B$2:$M$102,7,FALSE))</f>
        <v>1</v>
      </c>
      <c r="R22" s="358" t="str">
        <f>IF(VLOOKUP($I22,Max_Load_France!$B$2:$M$102,8,FALSE)="","",VLOOKUP($I22,Max_Load_France!$B$2:$M$102,8,FALSE))</f>
        <v/>
      </c>
      <c r="S22" s="358" t="str">
        <f>IF(VLOOKUP($I22,Max_Load_France!$B$2:$M$102,9,FALSE)="","",VLOOKUP($I22,Max_Load_France!$B$2:$M$102,9,FALSE))</f>
        <v/>
      </c>
      <c r="T22" s="358" t="str">
        <f>IF(VLOOKUP($I22,Max_Load_France!$B$2:$M$102,10,FALSE)="","",VLOOKUP($I22,Max_Load_France!$B$2:$M$102,10,FALSE))</f>
        <v/>
      </c>
      <c r="U22" s="358" t="str">
        <f>IF(VLOOKUP($I22,Max_Load_France!$B$2:$M$102,11,FALSE)="","",VLOOKUP($I22,Max_Load_France!$B$2:$M$102,11,FALSE))</f>
        <v/>
      </c>
      <c r="V22" s="359">
        <v>5</v>
      </c>
      <c r="W22" s="383">
        <f t="shared" si="8"/>
        <v>41.3</v>
      </c>
      <c r="X22" s="308">
        <v>8.3000000000000007</v>
      </c>
      <c r="Y22" s="308">
        <v>11.4</v>
      </c>
      <c r="Z22" s="308">
        <v>7.2</v>
      </c>
      <c r="AA22" s="308">
        <v>7.1</v>
      </c>
      <c r="AB22" s="308">
        <v>7.3</v>
      </c>
      <c r="AC22" s="309"/>
      <c r="AD22" s="301"/>
      <c r="AE22" s="301"/>
      <c r="AF22" s="301"/>
      <c r="AG22" s="379">
        <f t="shared" si="18"/>
        <v>21.6</v>
      </c>
      <c r="AH22" s="379" t="str">
        <f t="shared" si="9"/>
        <v/>
      </c>
      <c r="AI22" s="379" t="str">
        <f t="shared" si="10"/>
        <v/>
      </c>
      <c r="AJ22" s="379" t="str">
        <f t="shared" si="11"/>
        <v/>
      </c>
      <c r="AK22" s="381">
        <f t="shared" si="1"/>
        <v>42.069824175824174</v>
      </c>
      <c r="AL22" s="354">
        <v>7.161142857142857</v>
      </c>
      <c r="AM22" s="354">
        <v>13.593516483516483</v>
      </c>
      <c r="AN22" s="308">
        <v>6.4238351648351646</v>
      </c>
      <c r="AO22" s="308">
        <v>7.0073186813186812</v>
      </c>
      <c r="AP22" s="308">
        <v>7.8840109890109895</v>
      </c>
      <c r="AQ22" s="309"/>
      <c r="AR22" s="301"/>
      <c r="AS22" s="301"/>
      <c r="AT22" s="301"/>
      <c r="AU22" s="378">
        <f t="shared" si="12"/>
        <v>21.315164835164836</v>
      </c>
      <c r="AV22" s="378" t="str">
        <f t="shared" si="13"/>
        <v/>
      </c>
      <c r="AW22" s="302" t="str">
        <f t="shared" si="14"/>
        <v/>
      </c>
      <c r="AX22" s="302" t="str">
        <f t="shared" si="15"/>
        <v/>
      </c>
      <c r="AY22" s="349">
        <f t="shared" si="2"/>
        <v>1.8639810552643497E-2</v>
      </c>
      <c r="AZ22" s="349">
        <f t="shared" si="16"/>
        <v>-0.13721170395869201</v>
      </c>
      <c r="BA22" s="349">
        <f t="shared" si="16"/>
        <v>0.19241372662425285</v>
      </c>
      <c r="BB22" s="349" t="str">
        <f t="shared" si="16"/>
        <v/>
      </c>
      <c r="BC22" s="349" t="str">
        <f t="shared" si="16"/>
        <v/>
      </c>
      <c r="BD22" s="349" t="str">
        <f t="shared" si="16"/>
        <v/>
      </c>
      <c r="BE22" s="349" t="str">
        <f t="shared" si="17"/>
        <v/>
      </c>
      <c r="BF22" s="349">
        <f t="shared" si="3"/>
        <v>-0.10780067155067161</v>
      </c>
      <c r="BG22" s="349">
        <f t="shared" si="3"/>
        <v>-1.3053706856523727E-2</v>
      </c>
      <c r="BH22" s="349">
        <f t="shared" si="3"/>
        <v>8.0001505343971185E-2</v>
      </c>
      <c r="BI22" s="349" t="str">
        <f t="shared" si="3"/>
        <v/>
      </c>
      <c r="BJ22" s="349">
        <f t="shared" si="4"/>
        <v>-1.3186813186813204E-2</v>
      </c>
      <c r="BK22" s="349" t="str">
        <f t="shared" si="5"/>
        <v/>
      </c>
      <c r="BL22" s="375" t="str">
        <f t="shared" si="6"/>
        <v/>
      </c>
      <c r="BM22" s="376" t="str">
        <f t="shared" si="7"/>
        <v/>
      </c>
      <c r="BN22" s="374">
        <v>68.422300000000007</v>
      </c>
      <c r="BO22" s="334"/>
      <c r="BP22" s="94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</row>
    <row r="23" spans="1:79" s="89" customFormat="1" ht="11.25">
      <c r="A23" s="359" t="s">
        <v>222</v>
      </c>
      <c r="B23" s="365" t="s">
        <v>257</v>
      </c>
      <c r="C23" s="366"/>
      <c r="D23" s="367">
        <v>0.45347222222222222</v>
      </c>
      <c r="E23" s="368">
        <v>67.331519999999998</v>
      </c>
      <c r="F23" s="369"/>
      <c r="G23" s="369"/>
      <c r="H23" s="359"/>
      <c r="I23" s="365" t="s">
        <v>94</v>
      </c>
      <c r="J23" s="358">
        <f>IF(ISERROR(VLOOKUP(I23,Max_Load_France!$B$2:$C$102,2,FALSE)/1000),"",VLOOKUP(I23,Max_Load_France!$B$2:$C$102,2,FALSE)/1000)</f>
        <v>40</v>
      </c>
      <c r="K23" s="296"/>
      <c r="L23" s="386">
        <f t="shared" si="0"/>
        <v>0.93</v>
      </c>
      <c r="M23" s="358">
        <f>IF(VLOOKUP($I23,Max_Load_France!$B$2:$M$102,3,FALSE)="","",VLOOKUP($I23,Max_Load_France!$B$2:$M$102,3,FALSE))</f>
        <v>0</v>
      </c>
      <c r="N23" s="358">
        <f>IF(VLOOKUP($I23,Max_Load_France!$B$2:$M$102,4,FALSE)="","",VLOOKUP($I23,Max_Load_France!$B$2:$M$102,4,FALSE))</f>
        <v>0</v>
      </c>
      <c r="O23" s="358">
        <f>IF(VLOOKUP($I23,Max_Load_France!$B$2:$M$102,5,FALSE)="","",VLOOKUP($I23,Max_Load_France!$B$2:$M$102,5,FALSE))</f>
        <v>1</v>
      </c>
      <c r="P23" s="358">
        <f>IF(VLOOKUP($I23,Max_Load_France!$B$2:$M$102,6,FALSE)="","",VLOOKUP($I23,Max_Load_France!$B$2:$M$102,6,FALSE))</f>
        <v>1</v>
      </c>
      <c r="Q23" s="358">
        <f>IF(VLOOKUP($I23,Max_Load_France!$B$2:$M$102,7,FALSE)="","",VLOOKUP($I23,Max_Load_France!$B$2:$M$102,7,FALSE))</f>
        <v>1</v>
      </c>
      <c r="R23" s="358" t="str">
        <f>IF(VLOOKUP($I23,Max_Load_France!$B$2:$M$102,8,FALSE)="","",VLOOKUP($I23,Max_Load_France!$B$2:$M$102,8,FALSE))</f>
        <v/>
      </c>
      <c r="S23" s="358" t="str">
        <f>IF(VLOOKUP($I23,Max_Load_France!$B$2:$M$102,9,FALSE)="","",VLOOKUP($I23,Max_Load_France!$B$2:$M$102,9,FALSE))</f>
        <v/>
      </c>
      <c r="T23" s="358" t="str">
        <f>IF(VLOOKUP($I23,Max_Load_France!$B$2:$M$102,10,FALSE)="","",VLOOKUP($I23,Max_Load_France!$B$2:$M$102,10,FALSE))</f>
        <v/>
      </c>
      <c r="U23" s="358" t="str">
        <f>IF(VLOOKUP($I23,Max_Load_France!$B$2:$M$102,11,FALSE)="","",VLOOKUP($I23,Max_Load_France!$B$2:$M$102,11,FALSE))</f>
        <v/>
      </c>
      <c r="V23" s="359">
        <v>5</v>
      </c>
      <c r="W23" s="383">
        <f t="shared" si="8"/>
        <v>37.200000000000003</v>
      </c>
      <c r="X23" s="308">
        <v>8.1999999999999993</v>
      </c>
      <c r="Y23" s="308">
        <v>13.2</v>
      </c>
      <c r="Z23" s="308">
        <v>5.0999999999999996</v>
      </c>
      <c r="AA23" s="308">
        <v>5.3</v>
      </c>
      <c r="AB23" s="308">
        <v>5.4</v>
      </c>
      <c r="AC23" s="309"/>
      <c r="AD23" s="301"/>
      <c r="AE23" s="301"/>
      <c r="AF23" s="301"/>
      <c r="AG23" s="379">
        <f t="shared" si="18"/>
        <v>15.799999999999999</v>
      </c>
      <c r="AH23" s="379" t="str">
        <f t="shared" si="9"/>
        <v/>
      </c>
      <c r="AI23" s="379" t="str">
        <f t="shared" si="10"/>
        <v/>
      </c>
      <c r="AJ23" s="379" t="str">
        <f t="shared" si="11"/>
        <v/>
      </c>
      <c r="AK23" s="381">
        <f t="shared" si="1"/>
        <v>44.253736263736265</v>
      </c>
      <c r="AL23" s="354">
        <v>8.1080109890109888</v>
      </c>
      <c r="AM23" s="354">
        <v>17.810329670329672</v>
      </c>
      <c r="AN23" s="308">
        <v>7.4536483516483516</v>
      </c>
      <c r="AO23" s="308">
        <v>3.6302967032967031</v>
      </c>
      <c r="AP23" s="308">
        <v>7.2514505494505501</v>
      </c>
      <c r="AQ23" s="309"/>
      <c r="AR23" s="301"/>
      <c r="AS23" s="301"/>
      <c r="AT23" s="301"/>
      <c r="AU23" s="378">
        <f t="shared" si="12"/>
        <v>18.335395604395604</v>
      </c>
      <c r="AV23" s="378" t="str">
        <f t="shared" si="13"/>
        <v/>
      </c>
      <c r="AW23" s="302" t="str">
        <f t="shared" si="14"/>
        <v/>
      </c>
      <c r="AX23" s="302" t="str">
        <f t="shared" si="15"/>
        <v/>
      </c>
      <c r="AY23" s="349">
        <f t="shared" si="2"/>
        <v>0.1896165662294694</v>
      </c>
      <c r="AZ23" s="349">
        <f t="shared" si="16"/>
        <v>-1.1218172071830545E-2</v>
      </c>
      <c r="BA23" s="349">
        <f t="shared" si="16"/>
        <v>0.34926739926739947</v>
      </c>
      <c r="BB23" s="349" t="str">
        <f t="shared" si="16"/>
        <v/>
      </c>
      <c r="BC23" s="349" t="str">
        <f t="shared" si="16"/>
        <v/>
      </c>
      <c r="BD23" s="349" t="str">
        <f t="shared" si="16"/>
        <v/>
      </c>
      <c r="BE23" s="349" t="str">
        <f t="shared" si="17"/>
        <v/>
      </c>
      <c r="BF23" s="349">
        <f t="shared" si="3"/>
        <v>0.46149967679379456</v>
      </c>
      <c r="BG23" s="349">
        <f t="shared" si="3"/>
        <v>-0.31503835786854656</v>
      </c>
      <c r="BH23" s="349">
        <f t="shared" si="3"/>
        <v>0.34286121286121291</v>
      </c>
      <c r="BI23" s="349" t="str">
        <f t="shared" si="3"/>
        <v/>
      </c>
      <c r="BJ23" s="349">
        <f t="shared" si="4"/>
        <v>0.16046807622756995</v>
      </c>
      <c r="BK23" s="349" t="str">
        <f t="shared" si="5"/>
        <v/>
      </c>
      <c r="BL23" s="375" t="str">
        <f t="shared" si="6"/>
        <v/>
      </c>
      <c r="BM23" s="376" t="str">
        <f t="shared" si="7"/>
        <v/>
      </c>
      <c r="BN23" s="374">
        <v>66.808499999999995</v>
      </c>
      <c r="BO23" s="334"/>
      <c r="BP23" s="94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</row>
    <row r="24" spans="1:79" s="89" customFormat="1" ht="11.25">
      <c r="A24" s="359" t="s">
        <v>282</v>
      </c>
      <c r="B24" s="365" t="s">
        <v>258</v>
      </c>
      <c r="C24" s="366"/>
      <c r="D24" s="367">
        <v>0.47638888888888892</v>
      </c>
      <c r="E24" s="368">
        <v>40</v>
      </c>
      <c r="F24" s="369"/>
      <c r="G24" s="369"/>
      <c r="H24" s="359"/>
      <c r="I24" s="365" t="s">
        <v>94</v>
      </c>
      <c r="J24" s="358">
        <f>IF(ISERROR(VLOOKUP(I24,Max_Load_France!$B$2:$C$102,2,FALSE)/1000),"",VLOOKUP(I24,Max_Load_France!$B$2:$C$102,2,FALSE)/1000)</f>
        <v>40</v>
      </c>
      <c r="K24" s="296"/>
      <c r="L24" s="386">
        <f t="shared" si="0"/>
        <v>1.115</v>
      </c>
      <c r="M24" s="358">
        <f>IF(VLOOKUP($I24,Max_Load_France!$B$2:$M$102,3,FALSE)="","",VLOOKUP($I24,Max_Load_France!$B$2:$M$102,3,FALSE))</f>
        <v>0</v>
      </c>
      <c r="N24" s="358">
        <f>IF(VLOOKUP($I24,Max_Load_France!$B$2:$M$102,4,FALSE)="","",VLOOKUP($I24,Max_Load_France!$B$2:$M$102,4,FALSE))</f>
        <v>0</v>
      </c>
      <c r="O24" s="358">
        <f>IF(VLOOKUP($I24,Max_Load_France!$B$2:$M$102,5,FALSE)="","",VLOOKUP($I24,Max_Load_France!$B$2:$M$102,5,FALSE))</f>
        <v>1</v>
      </c>
      <c r="P24" s="358">
        <f>IF(VLOOKUP($I24,Max_Load_France!$B$2:$M$102,6,FALSE)="","",VLOOKUP($I24,Max_Load_France!$B$2:$M$102,6,FALSE))</f>
        <v>1</v>
      </c>
      <c r="Q24" s="358">
        <f>IF(VLOOKUP($I24,Max_Load_France!$B$2:$M$102,7,FALSE)="","",VLOOKUP($I24,Max_Load_France!$B$2:$M$102,7,FALSE))</f>
        <v>1</v>
      </c>
      <c r="R24" s="358" t="str">
        <f>IF(VLOOKUP($I24,Max_Load_France!$B$2:$M$102,8,FALSE)="","",VLOOKUP($I24,Max_Load_France!$B$2:$M$102,8,FALSE))</f>
        <v/>
      </c>
      <c r="S24" s="358" t="str">
        <f>IF(VLOOKUP($I24,Max_Load_France!$B$2:$M$102,9,FALSE)="","",VLOOKUP($I24,Max_Load_France!$B$2:$M$102,9,FALSE))</f>
        <v/>
      </c>
      <c r="T24" s="358" t="str">
        <f>IF(VLOOKUP($I24,Max_Load_France!$B$2:$M$102,10,FALSE)="","",VLOOKUP($I24,Max_Load_France!$B$2:$M$102,10,FALSE))</f>
        <v/>
      </c>
      <c r="U24" s="358" t="str">
        <f>IF(VLOOKUP($I24,Max_Load_France!$B$2:$M$102,11,FALSE)="","",VLOOKUP($I24,Max_Load_France!$B$2:$M$102,11,FALSE))</f>
        <v/>
      </c>
      <c r="V24" s="359">
        <v>5</v>
      </c>
      <c r="W24" s="383">
        <f t="shared" si="8"/>
        <v>44.6</v>
      </c>
      <c r="X24" s="308">
        <v>6.3</v>
      </c>
      <c r="Y24" s="308">
        <v>12</v>
      </c>
      <c r="Z24" s="308">
        <v>8.9</v>
      </c>
      <c r="AA24" s="308">
        <v>8.5</v>
      </c>
      <c r="AB24" s="308">
        <v>8.9</v>
      </c>
      <c r="AC24" s="309"/>
      <c r="AD24" s="301"/>
      <c r="AE24" s="301"/>
      <c r="AF24" s="301"/>
      <c r="AG24" s="379">
        <f t="shared" si="18"/>
        <v>26.299999999999997</v>
      </c>
      <c r="AH24" s="379" t="str">
        <f t="shared" si="9"/>
        <v/>
      </c>
      <c r="AI24" s="379" t="str">
        <f t="shared" si="10"/>
        <v/>
      </c>
      <c r="AJ24" s="379" t="str">
        <f t="shared" si="11"/>
        <v/>
      </c>
      <c r="AK24" s="381">
        <f t="shared" si="1"/>
        <v>41.39</v>
      </c>
      <c r="AL24" s="354">
        <v>4.47</v>
      </c>
      <c r="AM24" s="354">
        <v>13.33</v>
      </c>
      <c r="AN24" s="308">
        <v>7.15</v>
      </c>
      <c r="AO24" s="308">
        <v>8.2100000000000009</v>
      </c>
      <c r="AP24" s="308">
        <v>8.23</v>
      </c>
      <c r="AQ24" s="309"/>
      <c r="AR24" s="301"/>
      <c r="AS24" s="301"/>
      <c r="AT24" s="301"/>
      <c r="AU24" s="378">
        <f t="shared" si="12"/>
        <v>23.590000000000003</v>
      </c>
      <c r="AV24" s="378" t="str">
        <f t="shared" si="13"/>
        <v/>
      </c>
      <c r="AW24" s="302" t="str">
        <f t="shared" si="14"/>
        <v/>
      </c>
      <c r="AX24" s="302" t="str">
        <f t="shared" si="15"/>
        <v/>
      </c>
      <c r="AY24" s="349" t="str">
        <f t="shared" si="2"/>
        <v/>
      </c>
      <c r="AZ24" s="349" t="str">
        <f t="shared" si="16"/>
        <v/>
      </c>
      <c r="BA24" s="349" t="str">
        <f t="shared" si="16"/>
        <v/>
      </c>
      <c r="BB24" s="349" t="str">
        <f t="shared" si="16"/>
        <v/>
      </c>
      <c r="BC24" s="349" t="str">
        <f t="shared" si="16"/>
        <v/>
      </c>
      <c r="BD24" s="349" t="str">
        <f t="shared" si="16"/>
        <v/>
      </c>
      <c r="BE24" s="349" t="str">
        <f t="shared" si="17"/>
        <v/>
      </c>
      <c r="BF24" s="349" t="str">
        <f t="shared" si="3"/>
        <v/>
      </c>
      <c r="BG24" s="349" t="str">
        <f t="shared" si="3"/>
        <v/>
      </c>
      <c r="BH24" s="349" t="str">
        <f t="shared" si="3"/>
        <v/>
      </c>
      <c r="BI24" s="349" t="str">
        <f t="shared" si="3"/>
        <v/>
      </c>
      <c r="BJ24" s="349" t="b">
        <f t="shared" si="4"/>
        <v>0</v>
      </c>
      <c r="BK24" s="349" t="str">
        <f t="shared" si="5"/>
        <v/>
      </c>
      <c r="BL24" s="375" t="str">
        <f t="shared" si="6"/>
        <v/>
      </c>
      <c r="BM24" s="376" t="str">
        <f t="shared" si="7"/>
        <v/>
      </c>
      <c r="BN24" s="374">
        <v>374.77600000000001</v>
      </c>
      <c r="BO24" s="334"/>
      <c r="BP24" s="94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</row>
    <row r="25" spans="1:79" s="89" customFormat="1" ht="11.25">
      <c r="A25" s="359" t="s">
        <v>223</v>
      </c>
      <c r="B25" s="358" t="s">
        <v>259</v>
      </c>
      <c r="C25" s="370"/>
      <c r="D25" s="367">
        <v>0.60347222222222219</v>
      </c>
      <c r="E25" s="368">
        <v>56.713680000000004</v>
      </c>
      <c r="F25" s="358"/>
      <c r="G25" s="358"/>
      <c r="H25" s="358"/>
      <c r="I25" s="365" t="s">
        <v>94</v>
      </c>
      <c r="J25" s="358">
        <f>IF(ISERROR(VLOOKUP(I25,Max_Load_France!$B$2:$C$102,2,FALSE)/1000),"",VLOOKUP(I25,Max_Load_France!$B$2:$C$102,2,FALSE)/1000)</f>
        <v>40</v>
      </c>
      <c r="K25" s="296"/>
      <c r="L25" s="386">
        <f t="shared" si="0"/>
        <v>1.0349999999999999</v>
      </c>
      <c r="M25" s="358">
        <f>IF(VLOOKUP($I25,Max_Load_France!$B$2:$M$102,3,FALSE)="","",VLOOKUP($I25,Max_Load_France!$B$2:$M$102,3,FALSE))</f>
        <v>0</v>
      </c>
      <c r="N25" s="358">
        <f>IF(VLOOKUP($I25,Max_Load_France!$B$2:$M$102,4,FALSE)="","",VLOOKUP($I25,Max_Load_France!$B$2:$M$102,4,FALSE))</f>
        <v>0</v>
      </c>
      <c r="O25" s="358">
        <f>IF(VLOOKUP($I25,Max_Load_France!$B$2:$M$102,5,FALSE)="","",VLOOKUP($I25,Max_Load_France!$B$2:$M$102,5,FALSE))</f>
        <v>1</v>
      </c>
      <c r="P25" s="358">
        <f>IF(VLOOKUP($I25,Max_Load_France!$B$2:$M$102,6,FALSE)="","",VLOOKUP($I25,Max_Load_France!$B$2:$M$102,6,FALSE))</f>
        <v>1</v>
      </c>
      <c r="Q25" s="358">
        <f>IF(VLOOKUP($I25,Max_Load_France!$B$2:$M$102,7,FALSE)="","",VLOOKUP($I25,Max_Load_France!$B$2:$M$102,7,FALSE))</f>
        <v>1</v>
      </c>
      <c r="R25" s="358" t="str">
        <f>IF(VLOOKUP($I25,Max_Load_France!$B$2:$M$102,8,FALSE)="","",VLOOKUP($I25,Max_Load_France!$B$2:$M$102,8,FALSE))</f>
        <v/>
      </c>
      <c r="S25" s="358" t="str">
        <f>IF(VLOOKUP($I25,Max_Load_France!$B$2:$M$102,9,FALSE)="","",VLOOKUP($I25,Max_Load_France!$B$2:$M$102,9,FALSE))</f>
        <v/>
      </c>
      <c r="T25" s="358" t="str">
        <f>IF(VLOOKUP($I25,Max_Load_France!$B$2:$M$102,10,FALSE)="","",VLOOKUP($I25,Max_Load_France!$B$2:$M$102,10,FALSE))</f>
        <v/>
      </c>
      <c r="U25" s="358" t="str">
        <f>IF(VLOOKUP($I25,Max_Load_France!$B$2:$M$102,11,FALSE)="","",VLOOKUP($I25,Max_Load_France!$B$2:$M$102,11,FALSE))</f>
        <v/>
      </c>
      <c r="V25" s="359">
        <v>5</v>
      </c>
      <c r="W25" s="383">
        <f t="shared" si="8"/>
        <v>41.4</v>
      </c>
      <c r="X25" s="308">
        <v>6.5</v>
      </c>
      <c r="Y25" s="308">
        <v>9.3000000000000007</v>
      </c>
      <c r="Z25" s="308">
        <v>8.5</v>
      </c>
      <c r="AA25" s="308">
        <v>8.6</v>
      </c>
      <c r="AB25" s="308">
        <v>8.5</v>
      </c>
      <c r="AC25" s="309"/>
      <c r="AD25" s="301"/>
      <c r="AE25" s="301"/>
      <c r="AF25" s="301"/>
      <c r="AG25" s="379">
        <f t="shared" si="18"/>
        <v>25.6</v>
      </c>
      <c r="AH25" s="379" t="str">
        <f t="shared" si="9"/>
        <v/>
      </c>
      <c r="AI25" s="379" t="str">
        <f t="shared" si="10"/>
        <v/>
      </c>
      <c r="AJ25" s="379" t="str">
        <f t="shared" si="11"/>
        <v/>
      </c>
      <c r="AK25" s="381">
        <f t="shared" si="1"/>
        <v>50.693131868131871</v>
      </c>
      <c r="AL25" s="354">
        <v>7.486648351648352</v>
      </c>
      <c r="AM25" s="354">
        <v>12.363846153846154</v>
      </c>
      <c r="AN25" s="308">
        <v>10.668516483516484</v>
      </c>
      <c r="AO25" s="308">
        <v>8.1621428571428574</v>
      </c>
      <c r="AP25" s="308">
        <v>12.011978021978022</v>
      </c>
      <c r="AQ25" s="309"/>
      <c r="AR25" s="301"/>
      <c r="AS25" s="301"/>
      <c r="AT25" s="301"/>
      <c r="AU25" s="378">
        <f t="shared" si="12"/>
        <v>30.842637362637362</v>
      </c>
      <c r="AV25" s="378" t="str">
        <f t="shared" si="13"/>
        <v/>
      </c>
      <c r="AW25" s="302"/>
      <c r="AX25" s="302"/>
      <c r="AY25" s="349">
        <f t="shared" si="2"/>
        <v>0.22447178425439307</v>
      </c>
      <c r="AZ25" s="349">
        <f t="shared" si="16"/>
        <v>0.15179205409974644</v>
      </c>
      <c r="BA25" s="349">
        <f t="shared" si="16"/>
        <v>0.32944582299421005</v>
      </c>
      <c r="BB25" s="349" t="str">
        <f t="shared" si="16"/>
        <v/>
      </c>
      <c r="BC25" s="349" t="str">
        <f t="shared" si="16"/>
        <v/>
      </c>
      <c r="BD25" s="349" t="str">
        <f t="shared" si="16"/>
        <v/>
      </c>
      <c r="BE25" s="349" t="str">
        <f t="shared" si="17"/>
        <v/>
      </c>
      <c r="BF25" s="349">
        <f t="shared" si="3"/>
        <v>0.25511958629605697</v>
      </c>
      <c r="BG25" s="349">
        <f t="shared" si="3"/>
        <v>-5.0913621262458408E-2</v>
      </c>
      <c r="BH25" s="349">
        <f t="shared" si="3"/>
        <v>0.41317388493859086</v>
      </c>
      <c r="BI25" s="349" t="str">
        <f t="shared" si="3"/>
        <v/>
      </c>
      <c r="BJ25" s="349">
        <f t="shared" si="4"/>
        <v>0.20479052197802189</v>
      </c>
      <c r="BK25" s="349" t="str">
        <f t="shared" si="5"/>
        <v/>
      </c>
      <c r="BL25" s="375" t="str">
        <f t="shared" si="6"/>
        <v/>
      </c>
      <c r="BM25" s="376" t="str">
        <f t="shared" si="7"/>
        <v/>
      </c>
      <c r="BN25" s="374">
        <v>86.717600000000004</v>
      </c>
      <c r="BO25" s="334"/>
      <c r="BP25" s="94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</row>
    <row r="26" spans="1:79" s="89" customFormat="1" ht="11.25">
      <c r="A26" s="359" t="s">
        <v>224</v>
      </c>
      <c r="B26" s="358" t="s">
        <v>260</v>
      </c>
      <c r="C26" s="370"/>
      <c r="D26" s="367">
        <v>0.61249999999999993</v>
      </c>
      <c r="E26" s="371">
        <v>41.420159999999996</v>
      </c>
      <c r="F26" s="358"/>
      <c r="G26" s="358"/>
      <c r="H26" s="358"/>
      <c r="I26" s="365" t="s">
        <v>129</v>
      </c>
      <c r="J26" s="358">
        <f>IF(ISERROR(VLOOKUP(I26,Max_Load_France!$B$2:$C$102,2,FALSE)/1000),"",VLOOKUP(I26,Max_Load_France!$B$2:$C$102,2,FALSE)/1000)</f>
        <v>40</v>
      </c>
      <c r="K26" s="296"/>
      <c r="L26" s="386">
        <f t="shared" si="0"/>
        <v>1.0574999999999999</v>
      </c>
      <c r="M26" s="358">
        <f>IF(VLOOKUP($I26,Max_Load_France!$B$2:$M$102,3,FALSE)="","",VLOOKUP($I26,Max_Load_France!$B$2:$M$102,3,FALSE))</f>
        <v>0</v>
      </c>
      <c r="N26" s="358">
        <f>IF(VLOOKUP($I26,Max_Load_France!$B$2:$M$102,4,FALSE)="","",VLOOKUP($I26,Max_Load_France!$B$2:$M$102,4,FALSE))</f>
        <v>1</v>
      </c>
      <c r="O26" s="358">
        <f>IF(VLOOKUP($I26,Max_Load_France!$B$2:$M$102,5,FALSE)="","",VLOOKUP($I26,Max_Load_France!$B$2:$M$102,5,FALSE))</f>
        <v>1</v>
      </c>
      <c r="P26" s="358">
        <f>IF(VLOOKUP($I26,Max_Load_France!$B$2:$M$102,6,FALSE)="","",VLOOKUP($I26,Max_Load_France!$B$2:$M$102,6,FALSE))</f>
        <v>2</v>
      </c>
      <c r="Q26" s="358">
        <f>IF(VLOOKUP($I26,Max_Load_France!$B$2:$M$102,7,FALSE)="","",VLOOKUP($I26,Max_Load_France!$B$2:$M$102,7,FALSE))</f>
        <v>2</v>
      </c>
      <c r="R26" s="358" t="str">
        <f>IF(VLOOKUP($I26,Max_Load_France!$B$2:$M$102,8,FALSE)="","",VLOOKUP($I26,Max_Load_France!$B$2:$M$102,8,FALSE))</f>
        <v/>
      </c>
      <c r="S26" s="358" t="str">
        <f>IF(VLOOKUP($I26,Max_Load_France!$B$2:$M$102,9,FALSE)="","",VLOOKUP($I26,Max_Load_France!$B$2:$M$102,9,FALSE))</f>
        <v/>
      </c>
      <c r="T26" s="358" t="str">
        <f>IF(VLOOKUP($I26,Max_Load_France!$B$2:$M$102,10,FALSE)="","",VLOOKUP($I26,Max_Load_France!$B$2:$M$102,10,FALSE))</f>
        <v/>
      </c>
      <c r="U26" s="358" t="str">
        <f>IF(VLOOKUP($I26,Max_Load_France!$B$2:$M$102,11,FALSE)="","",VLOOKUP($I26,Max_Load_France!$B$2:$M$102,11,FALSE))</f>
        <v/>
      </c>
      <c r="V26" s="359">
        <v>5</v>
      </c>
      <c r="W26" s="383">
        <f t="shared" si="8"/>
        <v>42.3</v>
      </c>
      <c r="X26" s="308">
        <v>5.9</v>
      </c>
      <c r="Y26" s="308">
        <v>7.5</v>
      </c>
      <c r="Z26" s="308">
        <v>7.3</v>
      </c>
      <c r="AA26" s="308">
        <v>10.8</v>
      </c>
      <c r="AB26" s="308">
        <v>10.8</v>
      </c>
      <c r="AC26" s="309"/>
      <c r="AD26" s="301"/>
      <c r="AE26" s="301"/>
      <c r="AF26" s="301"/>
      <c r="AG26" s="379">
        <f t="shared" si="18"/>
        <v>14.8</v>
      </c>
      <c r="AH26" s="379">
        <f t="shared" si="9"/>
        <v>21.6</v>
      </c>
      <c r="AI26" s="379" t="str">
        <f t="shared" si="10"/>
        <v/>
      </c>
      <c r="AJ26" s="379" t="str">
        <f t="shared" si="11"/>
        <v/>
      </c>
      <c r="AK26" s="381">
        <f t="shared" si="1"/>
        <v>52.131208791208792</v>
      </c>
      <c r="AL26" s="354">
        <v>7.3534395604395613</v>
      </c>
      <c r="AM26" s="354">
        <v>10.563483516483517</v>
      </c>
      <c r="AN26" s="308">
        <v>8.2059340659340663</v>
      </c>
      <c r="AO26" s="308">
        <v>12.487142857142857</v>
      </c>
      <c r="AP26" s="308">
        <v>13.521208791208792</v>
      </c>
      <c r="AQ26" s="309"/>
      <c r="AR26" s="301"/>
      <c r="AS26" s="301"/>
      <c r="AT26" s="301"/>
      <c r="AU26" s="378">
        <f t="shared" si="12"/>
        <v>18.769417582417582</v>
      </c>
      <c r="AV26" s="378">
        <f t="shared" si="13"/>
        <v>26.008351648351649</v>
      </c>
      <c r="AW26" s="302"/>
      <c r="AX26" s="302"/>
      <c r="AY26" s="349">
        <f t="shared" si="2"/>
        <v>0.23241628348011337</v>
      </c>
      <c r="AZ26" s="349">
        <f t="shared" si="16"/>
        <v>0.24634568821009506</v>
      </c>
      <c r="BA26" s="349" t="str">
        <f t="shared" si="16"/>
        <v/>
      </c>
      <c r="BB26" s="349" t="str">
        <f t="shared" si="16"/>
        <v/>
      </c>
      <c r="BC26" s="349" t="str">
        <f t="shared" si="16"/>
        <v/>
      </c>
      <c r="BD26" s="349" t="str">
        <f t="shared" si="16"/>
        <v/>
      </c>
      <c r="BE26" s="349">
        <f t="shared" si="17"/>
        <v>0.40846446886446891</v>
      </c>
      <c r="BF26" s="349">
        <f t="shared" si="3"/>
        <v>0.12410055697726938</v>
      </c>
      <c r="BG26" s="349">
        <f t="shared" si="3"/>
        <v>0.15621693121693109</v>
      </c>
      <c r="BH26" s="349">
        <f t="shared" si="3"/>
        <v>0.25196377696377698</v>
      </c>
      <c r="BI26" s="349" t="str">
        <f t="shared" si="3"/>
        <v/>
      </c>
      <c r="BJ26" s="349">
        <f t="shared" si="4"/>
        <v>0.26820389070389056</v>
      </c>
      <c r="BK26" s="349">
        <f t="shared" si="5"/>
        <v>0.20409035409035403</v>
      </c>
      <c r="BL26" s="375" t="str">
        <f t="shared" si="6"/>
        <v/>
      </c>
      <c r="BM26" s="376" t="str">
        <f t="shared" si="7"/>
        <v/>
      </c>
      <c r="BN26" s="374">
        <v>130.86699999999999</v>
      </c>
      <c r="BO26" s="334"/>
      <c r="BP26" s="94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</row>
    <row r="27" spans="1:79" s="89" customFormat="1" ht="11.25">
      <c r="A27" s="359" t="s">
        <v>225</v>
      </c>
      <c r="B27" s="358" t="s">
        <v>261</v>
      </c>
      <c r="C27" s="370"/>
      <c r="D27" s="367">
        <v>0.61736111111111114</v>
      </c>
      <c r="E27" s="371">
        <v>67.025520000000014</v>
      </c>
      <c r="F27" s="358"/>
      <c r="G27" s="358"/>
      <c r="H27" s="358"/>
      <c r="I27" s="365" t="s">
        <v>94</v>
      </c>
      <c r="J27" s="358">
        <f>IF(ISERROR(VLOOKUP(I27,Max_Load_France!$B$2:$C$102,2,FALSE)/1000),"",VLOOKUP(I27,Max_Load_France!$B$2:$C$102,2,FALSE)/1000)</f>
        <v>40</v>
      </c>
      <c r="K27" s="296"/>
      <c r="L27" s="386">
        <f t="shared" si="0"/>
        <v>0.86999999999999988</v>
      </c>
      <c r="M27" s="358">
        <f>IF(VLOOKUP($I27,Max_Load_France!$B$2:$M$102,3,FALSE)="","",VLOOKUP($I27,Max_Load_France!$B$2:$M$102,3,FALSE))</f>
        <v>0</v>
      </c>
      <c r="N27" s="358">
        <f>IF(VLOOKUP($I27,Max_Load_France!$B$2:$M$102,4,FALSE)="","",VLOOKUP($I27,Max_Load_France!$B$2:$M$102,4,FALSE))</f>
        <v>0</v>
      </c>
      <c r="O27" s="358">
        <f>IF(VLOOKUP($I27,Max_Load_France!$B$2:$M$102,5,FALSE)="","",VLOOKUP($I27,Max_Load_France!$B$2:$M$102,5,FALSE))</f>
        <v>1</v>
      </c>
      <c r="P27" s="358">
        <f>IF(VLOOKUP($I27,Max_Load_France!$B$2:$M$102,6,FALSE)="","",VLOOKUP($I27,Max_Load_France!$B$2:$M$102,6,FALSE))</f>
        <v>1</v>
      </c>
      <c r="Q27" s="358">
        <f>IF(VLOOKUP($I27,Max_Load_France!$B$2:$M$102,7,FALSE)="","",VLOOKUP($I27,Max_Load_France!$B$2:$M$102,7,FALSE))</f>
        <v>1</v>
      </c>
      <c r="R27" s="358" t="str">
        <f>IF(VLOOKUP($I27,Max_Load_France!$B$2:$M$102,8,FALSE)="","",VLOOKUP($I27,Max_Load_France!$B$2:$M$102,8,FALSE))</f>
        <v/>
      </c>
      <c r="S27" s="358" t="str">
        <f>IF(VLOOKUP($I27,Max_Load_France!$B$2:$M$102,9,FALSE)="","",VLOOKUP($I27,Max_Load_France!$B$2:$M$102,9,FALSE))</f>
        <v/>
      </c>
      <c r="T27" s="358" t="str">
        <f>IF(VLOOKUP($I27,Max_Load_France!$B$2:$M$102,10,FALSE)="","",VLOOKUP($I27,Max_Load_France!$B$2:$M$102,10,FALSE))</f>
        <v/>
      </c>
      <c r="U27" s="358" t="str">
        <f>IF(VLOOKUP($I27,Max_Load_France!$B$2:$M$102,11,FALSE)="","",VLOOKUP($I27,Max_Load_France!$B$2:$M$102,11,FALSE))</f>
        <v/>
      </c>
      <c r="V27" s="359">
        <v>5</v>
      </c>
      <c r="W27" s="383">
        <f t="shared" si="8"/>
        <v>34.799999999999997</v>
      </c>
      <c r="X27" s="308">
        <v>7.1</v>
      </c>
      <c r="Y27" s="308">
        <v>10</v>
      </c>
      <c r="Z27" s="308">
        <v>5.9</v>
      </c>
      <c r="AA27" s="308">
        <v>6</v>
      </c>
      <c r="AB27" s="308">
        <v>5.8</v>
      </c>
      <c r="AC27" s="309"/>
      <c r="AD27" s="301"/>
      <c r="AE27" s="301"/>
      <c r="AF27" s="301"/>
      <c r="AG27" s="379">
        <f t="shared" si="18"/>
        <v>17.7</v>
      </c>
      <c r="AH27" s="379" t="str">
        <f t="shared" si="9"/>
        <v/>
      </c>
      <c r="AI27" s="379" t="str">
        <f t="shared" si="10"/>
        <v/>
      </c>
      <c r="AJ27" s="379" t="str">
        <f t="shared" si="11"/>
        <v/>
      </c>
      <c r="AK27" s="381">
        <f t="shared" si="1"/>
        <v>32.851967032967032</v>
      </c>
      <c r="AL27" s="354">
        <v>5.093461538461538</v>
      </c>
      <c r="AM27" s="354">
        <v>11.198021978021979</v>
      </c>
      <c r="AN27" s="308">
        <v>3.9765714285714284</v>
      </c>
      <c r="AO27" s="308">
        <v>7.0381208791208785</v>
      </c>
      <c r="AP27" s="308">
        <v>5.5457912087912096</v>
      </c>
      <c r="AQ27" s="309"/>
      <c r="AR27" s="301"/>
      <c r="AS27" s="301"/>
      <c r="AT27" s="301"/>
      <c r="AU27" s="378">
        <f t="shared" si="12"/>
        <v>16.560483516483515</v>
      </c>
      <c r="AV27" s="378" t="str">
        <f t="shared" si="13"/>
        <v/>
      </c>
      <c r="AW27" s="302"/>
      <c r="AX27" s="302"/>
      <c r="AY27" s="349">
        <f t="shared" si="2"/>
        <v>-5.5977958822786361E-2</v>
      </c>
      <c r="AZ27" s="349">
        <f t="shared" si="16"/>
        <v>-0.2826110509209101</v>
      </c>
      <c r="BA27" s="349">
        <f t="shared" si="16"/>
        <v>0.11980219780219788</v>
      </c>
      <c r="BB27" s="349" t="str">
        <f t="shared" si="16"/>
        <v/>
      </c>
      <c r="BC27" s="349" t="str">
        <f t="shared" si="16"/>
        <v/>
      </c>
      <c r="BD27" s="349" t="str">
        <f t="shared" si="16"/>
        <v/>
      </c>
      <c r="BE27" s="349" t="str">
        <f t="shared" si="17"/>
        <v/>
      </c>
      <c r="BF27" s="349">
        <f t="shared" si="3"/>
        <v>-0.32600484261501217</v>
      </c>
      <c r="BG27" s="349">
        <f t="shared" si="3"/>
        <v>0.17302014652014641</v>
      </c>
      <c r="BH27" s="349">
        <f t="shared" si="3"/>
        <v>-4.3829101932550046E-2</v>
      </c>
      <c r="BI27" s="349" t="str">
        <f t="shared" si="3"/>
        <v/>
      </c>
      <c r="BJ27" s="349">
        <f t="shared" si="4"/>
        <v>-6.4379462345564076E-2</v>
      </c>
      <c r="BK27" s="349" t="str">
        <f t="shared" si="5"/>
        <v/>
      </c>
      <c r="BL27" s="375" t="str">
        <f t="shared" si="6"/>
        <v/>
      </c>
      <c r="BM27" s="376" t="str">
        <f t="shared" si="7"/>
        <v/>
      </c>
      <c r="BN27" s="374">
        <v>102.935</v>
      </c>
      <c r="BO27" s="334"/>
      <c r="BP27" s="94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</row>
    <row r="28" spans="1:79" s="89" customFormat="1" ht="11.25">
      <c r="A28" s="359" t="s">
        <v>226</v>
      </c>
      <c r="B28" s="358" t="s">
        <v>262</v>
      </c>
      <c r="C28" s="370"/>
      <c r="D28" s="367">
        <v>0.61944444444444446</v>
      </c>
      <c r="E28" s="371">
        <v>43.49736</v>
      </c>
      <c r="F28" s="358"/>
      <c r="G28" s="358"/>
      <c r="H28" s="358"/>
      <c r="I28" s="365" t="s">
        <v>94</v>
      </c>
      <c r="J28" s="358">
        <f>IF(ISERROR(VLOOKUP(I28,Max_Load_France!$B$2:$C$102,2,FALSE)/1000),"",VLOOKUP(I28,Max_Load_France!$B$2:$C$102,2,FALSE)/1000)</f>
        <v>40</v>
      </c>
      <c r="K28" s="296"/>
      <c r="L28" s="386">
        <f t="shared" si="0"/>
        <v>0.97499999999999998</v>
      </c>
      <c r="M28" s="358">
        <f>IF(VLOOKUP($I28,Max_Load_France!$B$2:$M$102,3,FALSE)="","",VLOOKUP($I28,Max_Load_France!$B$2:$M$102,3,FALSE))</f>
        <v>0</v>
      </c>
      <c r="N28" s="358">
        <f>IF(VLOOKUP($I28,Max_Load_France!$B$2:$M$102,4,FALSE)="","",VLOOKUP($I28,Max_Load_France!$B$2:$M$102,4,FALSE))</f>
        <v>0</v>
      </c>
      <c r="O28" s="358">
        <f>IF(VLOOKUP($I28,Max_Load_France!$B$2:$M$102,5,FALSE)="","",VLOOKUP($I28,Max_Load_France!$B$2:$M$102,5,FALSE))</f>
        <v>1</v>
      </c>
      <c r="P28" s="358">
        <f>IF(VLOOKUP($I28,Max_Load_France!$B$2:$M$102,6,FALSE)="","",VLOOKUP($I28,Max_Load_France!$B$2:$M$102,6,FALSE))</f>
        <v>1</v>
      </c>
      <c r="Q28" s="358">
        <f>IF(VLOOKUP($I28,Max_Load_France!$B$2:$M$102,7,FALSE)="","",VLOOKUP($I28,Max_Load_France!$B$2:$M$102,7,FALSE))</f>
        <v>1</v>
      </c>
      <c r="R28" s="358" t="str">
        <f>IF(VLOOKUP($I28,Max_Load_France!$B$2:$M$102,8,FALSE)="","",VLOOKUP($I28,Max_Load_France!$B$2:$M$102,8,FALSE))</f>
        <v/>
      </c>
      <c r="S28" s="358" t="str">
        <f>IF(VLOOKUP($I28,Max_Load_France!$B$2:$M$102,9,FALSE)="","",VLOOKUP($I28,Max_Load_France!$B$2:$M$102,9,FALSE))</f>
        <v/>
      </c>
      <c r="T28" s="358" t="str">
        <f>IF(VLOOKUP($I28,Max_Load_France!$B$2:$M$102,10,FALSE)="","",VLOOKUP($I28,Max_Load_France!$B$2:$M$102,10,FALSE))</f>
        <v/>
      </c>
      <c r="U28" s="358" t="str">
        <f>IF(VLOOKUP($I28,Max_Load_France!$B$2:$M$102,11,FALSE)="","",VLOOKUP($I28,Max_Load_France!$B$2:$M$102,11,FALSE))</f>
        <v/>
      </c>
      <c r="V28" s="359">
        <v>5</v>
      </c>
      <c r="W28" s="383">
        <f t="shared" si="8"/>
        <v>39</v>
      </c>
      <c r="X28" s="308">
        <v>6.9</v>
      </c>
      <c r="Y28" s="308">
        <v>12.2</v>
      </c>
      <c r="Z28" s="308">
        <v>6.1</v>
      </c>
      <c r="AA28" s="308">
        <v>6.4</v>
      </c>
      <c r="AB28" s="308">
        <v>7.4</v>
      </c>
      <c r="AC28" s="309"/>
      <c r="AD28" s="301"/>
      <c r="AE28" s="301"/>
      <c r="AF28" s="301"/>
      <c r="AG28" s="379">
        <f t="shared" si="18"/>
        <v>19.899999999999999</v>
      </c>
      <c r="AH28" s="379" t="str">
        <f t="shared" si="9"/>
        <v/>
      </c>
      <c r="AI28" s="379" t="str">
        <f t="shared" si="10"/>
        <v/>
      </c>
      <c r="AJ28" s="379" t="str">
        <f t="shared" si="11"/>
        <v/>
      </c>
      <c r="AK28" s="381">
        <f t="shared" si="1"/>
        <v>53.165318681318681</v>
      </c>
      <c r="AL28" s="354">
        <v>11.881868131868133</v>
      </c>
      <c r="AM28" s="354">
        <v>17.422087912087914</v>
      </c>
      <c r="AN28" s="308">
        <v>7.1468021978021978</v>
      </c>
      <c r="AO28" s="308">
        <v>6.2016373626373626</v>
      </c>
      <c r="AP28" s="308">
        <v>10.512923076923077</v>
      </c>
      <c r="AQ28" s="309"/>
      <c r="AR28" s="301"/>
      <c r="AS28" s="301"/>
      <c r="AT28" s="301"/>
      <c r="AU28" s="378">
        <f t="shared" si="12"/>
        <v>23.861362637362639</v>
      </c>
      <c r="AV28" s="378" t="str">
        <f t="shared" si="13"/>
        <v/>
      </c>
      <c r="AW28" s="302"/>
      <c r="AX28" s="302"/>
      <c r="AY28" s="349">
        <f t="shared" si="2"/>
        <v>0.36321329952099179</v>
      </c>
      <c r="AZ28" s="349">
        <f t="shared" si="16"/>
        <v>0.72200987418378737</v>
      </c>
      <c r="BA28" s="349">
        <f t="shared" si="16"/>
        <v>0.42803999279409138</v>
      </c>
      <c r="BB28" s="349" t="str">
        <f t="shared" si="16"/>
        <v/>
      </c>
      <c r="BC28" s="349" t="str">
        <f t="shared" si="16"/>
        <v/>
      </c>
      <c r="BD28" s="349" t="str">
        <f t="shared" si="16"/>
        <v/>
      </c>
      <c r="BE28" s="349" t="str">
        <f t="shared" si="17"/>
        <v/>
      </c>
      <c r="BF28" s="349">
        <f t="shared" si="17"/>
        <v>0.1716069176724915</v>
      </c>
      <c r="BG28" s="349">
        <f t="shared" si="17"/>
        <v>-3.0994162087912142E-2</v>
      </c>
      <c r="BH28" s="349">
        <f t="shared" si="17"/>
        <v>0.42066528066528053</v>
      </c>
      <c r="BI28" s="349" t="str">
        <f t="shared" si="17"/>
        <v/>
      </c>
      <c r="BJ28" s="349">
        <f t="shared" si="4"/>
        <v>0.19906344911370052</v>
      </c>
      <c r="BK28" s="349" t="str">
        <f t="shared" si="5"/>
        <v/>
      </c>
      <c r="BL28" s="375" t="str">
        <f t="shared" si="6"/>
        <v/>
      </c>
      <c r="BM28" s="376" t="str">
        <f t="shared" si="7"/>
        <v/>
      </c>
      <c r="BN28" s="374">
        <v>104.705</v>
      </c>
      <c r="BO28" s="334"/>
      <c r="BP28" s="94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</row>
    <row r="29" spans="1:79" s="89" customFormat="1" ht="11.25">
      <c r="A29" s="359" t="s">
        <v>227</v>
      </c>
      <c r="B29" s="358" t="s">
        <v>263</v>
      </c>
      <c r="C29" s="370"/>
      <c r="D29" s="367">
        <v>0.62430555555555556</v>
      </c>
      <c r="E29" s="371">
        <v>43.755479999999999</v>
      </c>
      <c r="F29" s="358"/>
      <c r="G29" s="358"/>
      <c r="H29" s="358"/>
      <c r="I29" s="365" t="s">
        <v>94</v>
      </c>
      <c r="J29" s="358">
        <f>IF(ISERROR(VLOOKUP(I29,Max_Load_France!$B$2:$C$102,2,FALSE)/1000),"",VLOOKUP(I29,Max_Load_France!$B$2:$C$102,2,FALSE)/1000)</f>
        <v>40</v>
      </c>
      <c r="K29" s="296"/>
      <c r="L29" s="386">
        <f t="shared" si="0"/>
        <v>1.0450000000000002</v>
      </c>
      <c r="M29" s="358">
        <f>IF(VLOOKUP($I29,Max_Load_France!$B$2:$M$102,3,FALSE)="","",VLOOKUP($I29,Max_Load_France!$B$2:$M$102,3,FALSE))</f>
        <v>0</v>
      </c>
      <c r="N29" s="358">
        <f>IF(VLOOKUP($I29,Max_Load_France!$B$2:$M$102,4,FALSE)="","",VLOOKUP($I29,Max_Load_France!$B$2:$M$102,4,FALSE))</f>
        <v>0</v>
      </c>
      <c r="O29" s="358">
        <f>IF(VLOOKUP($I29,Max_Load_France!$B$2:$M$102,5,FALSE)="","",VLOOKUP($I29,Max_Load_France!$B$2:$M$102,5,FALSE))</f>
        <v>1</v>
      </c>
      <c r="P29" s="358">
        <f>IF(VLOOKUP($I29,Max_Load_France!$B$2:$M$102,6,FALSE)="","",VLOOKUP($I29,Max_Load_France!$B$2:$M$102,6,FALSE))</f>
        <v>1</v>
      </c>
      <c r="Q29" s="358">
        <f>IF(VLOOKUP($I29,Max_Load_France!$B$2:$M$102,7,FALSE)="","",VLOOKUP($I29,Max_Load_France!$B$2:$M$102,7,FALSE))</f>
        <v>1</v>
      </c>
      <c r="R29" s="358" t="str">
        <f>IF(VLOOKUP($I29,Max_Load_France!$B$2:$M$102,8,FALSE)="","",VLOOKUP($I29,Max_Load_France!$B$2:$M$102,8,FALSE))</f>
        <v/>
      </c>
      <c r="S29" s="358" t="str">
        <f>IF(VLOOKUP($I29,Max_Load_France!$B$2:$M$102,9,FALSE)="","",VLOOKUP($I29,Max_Load_France!$B$2:$M$102,9,FALSE))</f>
        <v/>
      </c>
      <c r="T29" s="358" t="str">
        <f>IF(VLOOKUP($I29,Max_Load_France!$B$2:$M$102,10,FALSE)="","",VLOOKUP($I29,Max_Load_France!$B$2:$M$102,10,FALSE))</f>
        <v/>
      </c>
      <c r="U29" s="358" t="str">
        <f>IF(VLOOKUP($I29,Max_Load_France!$B$2:$M$102,11,FALSE)="","",VLOOKUP($I29,Max_Load_France!$B$2:$M$102,11,FALSE))</f>
        <v/>
      </c>
      <c r="V29" s="359">
        <v>5</v>
      </c>
      <c r="W29" s="383">
        <f t="shared" si="8"/>
        <v>41.800000000000004</v>
      </c>
      <c r="X29" s="308">
        <v>6.3</v>
      </c>
      <c r="Y29" s="308">
        <v>12.7</v>
      </c>
      <c r="Z29" s="308">
        <v>7.2</v>
      </c>
      <c r="AA29" s="308">
        <v>7.9</v>
      </c>
      <c r="AB29" s="308">
        <v>7.7</v>
      </c>
      <c r="AC29" s="309"/>
      <c r="AD29" s="301"/>
      <c r="AE29" s="301"/>
      <c r="AF29" s="301"/>
      <c r="AG29" s="379">
        <f t="shared" si="18"/>
        <v>22.8</v>
      </c>
      <c r="AH29" s="379" t="str">
        <f t="shared" si="9"/>
        <v/>
      </c>
      <c r="AI29" s="379" t="str">
        <f t="shared" si="10"/>
        <v/>
      </c>
      <c r="AJ29" s="379" t="str">
        <f t="shared" si="11"/>
        <v/>
      </c>
      <c r="AK29" s="381">
        <f t="shared" si="1"/>
        <v>40.063406593406597</v>
      </c>
      <c r="AL29" s="354">
        <v>4.2909670329670337</v>
      </c>
      <c r="AM29" s="354">
        <v>10.72678021978022</v>
      </c>
      <c r="AN29" s="308">
        <v>7.2014065934065927</v>
      </c>
      <c r="AO29" s="308">
        <v>7.4999560439560442</v>
      </c>
      <c r="AP29" s="308">
        <v>10.344296703296704</v>
      </c>
      <c r="AQ29" s="309"/>
      <c r="AR29" s="301"/>
      <c r="AS29" s="301"/>
      <c r="AT29" s="301"/>
      <c r="AU29" s="378">
        <f t="shared" si="12"/>
        <v>25.045659340659341</v>
      </c>
      <c r="AV29" s="378" t="str">
        <f t="shared" si="13"/>
        <v/>
      </c>
      <c r="AW29" s="302"/>
      <c r="AX29" s="302"/>
      <c r="AY29" s="349" t="str">
        <f t="shared" si="2"/>
        <v/>
      </c>
      <c r="AZ29" s="349" t="str">
        <f t="shared" si="16"/>
        <v/>
      </c>
      <c r="BA29" s="349" t="str">
        <f t="shared" si="16"/>
        <v/>
      </c>
      <c r="BB29" s="349" t="str">
        <f t="shared" si="16"/>
        <v/>
      </c>
      <c r="BC29" s="349" t="str">
        <f t="shared" si="16"/>
        <v/>
      </c>
      <c r="BD29" s="349" t="str">
        <f t="shared" si="16"/>
        <v/>
      </c>
      <c r="BE29" s="349" t="str">
        <f t="shared" si="17"/>
        <v/>
      </c>
      <c r="BF29" s="349" t="str">
        <f t="shared" si="17"/>
        <v/>
      </c>
      <c r="BG29" s="349" t="str">
        <f t="shared" si="17"/>
        <v/>
      </c>
      <c r="BH29" s="349" t="str">
        <f t="shared" si="17"/>
        <v/>
      </c>
      <c r="BI29" s="349" t="str">
        <f t="shared" si="17"/>
        <v/>
      </c>
      <c r="BJ29" s="349" t="b">
        <f t="shared" si="4"/>
        <v>0</v>
      </c>
      <c r="BK29" s="349" t="str">
        <f t="shared" si="5"/>
        <v/>
      </c>
      <c r="BL29" s="375" t="str">
        <f t="shared" si="6"/>
        <v/>
      </c>
      <c r="BM29" s="376" t="str">
        <f t="shared" si="7"/>
        <v/>
      </c>
      <c r="BN29" s="374">
        <v>149.30000000000001</v>
      </c>
      <c r="BO29" s="334"/>
      <c r="BP29" s="94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</row>
    <row r="30" spans="1:79" s="89" customFormat="1" ht="11.25">
      <c r="A30" s="359" t="s">
        <v>228</v>
      </c>
      <c r="B30" s="358" t="s">
        <v>264</v>
      </c>
      <c r="C30" s="370"/>
      <c r="D30" s="307">
        <v>0.62708333333333333</v>
      </c>
      <c r="E30" s="371">
        <v>56.496600000000001</v>
      </c>
      <c r="F30" s="296"/>
      <c r="G30" s="296"/>
      <c r="H30" s="358"/>
      <c r="I30" s="365" t="s">
        <v>94</v>
      </c>
      <c r="J30" s="358">
        <f>IF(ISERROR(VLOOKUP(I30,Max_Load_France!$B$2:$C$102,2,FALSE)/1000),"",VLOOKUP(I30,Max_Load_France!$B$2:$C$102,2,FALSE)/1000)</f>
        <v>40</v>
      </c>
      <c r="K30" s="296"/>
      <c r="L30" s="386">
        <f t="shared" si="0"/>
        <v>1.0899999999999999</v>
      </c>
      <c r="M30" s="358">
        <f>IF(VLOOKUP($I30,Max_Load_France!$B$2:$M$102,3,FALSE)="","",VLOOKUP($I30,Max_Load_France!$B$2:$M$102,3,FALSE))</f>
        <v>0</v>
      </c>
      <c r="N30" s="358">
        <f>IF(VLOOKUP($I30,Max_Load_France!$B$2:$M$102,4,FALSE)="","",VLOOKUP($I30,Max_Load_France!$B$2:$M$102,4,FALSE))</f>
        <v>0</v>
      </c>
      <c r="O30" s="358">
        <f>IF(VLOOKUP($I30,Max_Load_France!$B$2:$M$102,5,FALSE)="","",VLOOKUP($I30,Max_Load_France!$B$2:$M$102,5,FALSE))</f>
        <v>1</v>
      </c>
      <c r="P30" s="358">
        <f>IF(VLOOKUP($I30,Max_Load_France!$B$2:$M$102,6,FALSE)="","",VLOOKUP($I30,Max_Load_France!$B$2:$M$102,6,FALSE))</f>
        <v>1</v>
      </c>
      <c r="Q30" s="358">
        <f>IF(VLOOKUP($I30,Max_Load_France!$B$2:$M$102,7,FALSE)="","",VLOOKUP($I30,Max_Load_France!$B$2:$M$102,7,FALSE))</f>
        <v>1</v>
      </c>
      <c r="R30" s="358" t="str">
        <f>IF(VLOOKUP($I30,Max_Load_France!$B$2:$M$102,8,FALSE)="","",VLOOKUP($I30,Max_Load_France!$B$2:$M$102,8,FALSE))</f>
        <v/>
      </c>
      <c r="S30" s="358" t="str">
        <f>IF(VLOOKUP($I30,Max_Load_France!$B$2:$M$102,9,FALSE)="","",VLOOKUP($I30,Max_Load_France!$B$2:$M$102,9,FALSE))</f>
        <v/>
      </c>
      <c r="T30" s="358" t="str">
        <f>IF(VLOOKUP($I30,Max_Load_France!$B$2:$M$102,10,FALSE)="","",VLOOKUP($I30,Max_Load_France!$B$2:$M$102,10,FALSE))</f>
        <v/>
      </c>
      <c r="U30" s="358" t="str">
        <f>IF(VLOOKUP($I30,Max_Load_France!$B$2:$M$102,11,FALSE)="","",VLOOKUP($I30,Max_Load_France!$B$2:$M$102,11,FALSE))</f>
        <v/>
      </c>
      <c r="V30" s="359">
        <v>5</v>
      </c>
      <c r="W30" s="383">
        <f t="shared" si="8"/>
        <v>43.599999999999994</v>
      </c>
      <c r="X30" s="308">
        <v>7.2</v>
      </c>
      <c r="Y30" s="308">
        <v>12.2</v>
      </c>
      <c r="Z30" s="308">
        <v>8.1999999999999993</v>
      </c>
      <c r="AA30" s="308">
        <v>8.1</v>
      </c>
      <c r="AB30" s="308">
        <v>7.9</v>
      </c>
      <c r="AC30" s="308"/>
      <c r="AD30" s="308"/>
      <c r="AE30" s="308"/>
      <c r="AF30" s="308"/>
      <c r="AG30" s="379">
        <f t="shared" si="18"/>
        <v>24.199999999999996</v>
      </c>
      <c r="AH30" s="379" t="str">
        <f t="shared" si="9"/>
        <v/>
      </c>
      <c r="AI30" s="379" t="str">
        <f t="shared" si="10"/>
        <v/>
      </c>
      <c r="AJ30" s="379" t="str">
        <f t="shared" si="11"/>
        <v/>
      </c>
      <c r="AK30" s="381">
        <f t="shared" si="1"/>
        <v>46.273384615384614</v>
      </c>
      <c r="AL30" s="354">
        <v>5.835637362637363</v>
      </c>
      <c r="AM30" s="354">
        <v>15.032857142857145</v>
      </c>
      <c r="AN30" s="309">
        <v>8.3672417582417591</v>
      </c>
      <c r="AO30" s="309">
        <v>7.3908791208791218</v>
      </c>
      <c r="AP30" s="309">
        <v>9.6467692307692321</v>
      </c>
      <c r="AQ30" s="309"/>
      <c r="AR30" s="309"/>
      <c r="AS30" s="309"/>
      <c r="AT30" s="309"/>
      <c r="AU30" s="378">
        <f t="shared" si="12"/>
        <v>25.404890109890111</v>
      </c>
      <c r="AV30" s="378" t="str">
        <f t="shared" si="13"/>
        <v/>
      </c>
      <c r="AW30" s="302"/>
      <c r="AX30" s="302"/>
      <c r="AY30" s="349">
        <f t="shared" si="2"/>
        <v>6.1316160903316985E-2</v>
      </c>
      <c r="AZ30" s="349">
        <f t="shared" si="16"/>
        <v>-0.18949481074481073</v>
      </c>
      <c r="BA30" s="349">
        <f t="shared" si="16"/>
        <v>0.23220140515222504</v>
      </c>
      <c r="BB30" s="349" t="str">
        <f t="shared" si="16"/>
        <v/>
      </c>
      <c r="BC30" s="349" t="str">
        <f t="shared" si="16"/>
        <v/>
      </c>
      <c r="BD30" s="349" t="str">
        <f t="shared" si="16"/>
        <v/>
      </c>
      <c r="BE30" s="349" t="str">
        <f t="shared" si="17"/>
        <v/>
      </c>
      <c r="BF30" s="349">
        <f t="shared" si="17"/>
        <v>2.0395336370946319E-2</v>
      </c>
      <c r="BG30" s="349">
        <f t="shared" si="17"/>
        <v>-8.7545787545787387E-2</v>
      </c>
      <c r="BH30" s="349">
        <f t="shared" si="17"/>
        <v>0.22111002921129513</v>
      </c>
      <c r="BI30" s="349" t="str">
        <f t="shared" si="17"/>
        <v/>
      </c>
      <c r="BJ30" s="349">
        <f t="shared" si="4"/>
        <v>4.9788847516120484E-2</v>
      </c>
      <c r="BK30" s="349" t="str">
        <f t="shared" si="5"/>
        <v/>
      </c>
      <c r="BL30" s="375" t="str">
        <f t="shared" si="6"/>
        <v/>
      </c>
      <c r="BM30" s="376" t="str">
        <f t="shared" si="7"/>
        <v/>
      </c>
      <c r="BN30" s="374">
        <v>79.978099999999998</v>
      </c>
      <c r="BO30" s="334"/>
      <c r="BP30" s="94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</row>
    <row r="31" spans="1:79" s="89" customFormat="1" ht="11.25">
      <c r="A31" s="359" t="s">
        <v>229</v>
      </c>
      <c r="B31" s="358" t="s">
        <v>265</v>
      </c>
      <c r="C31" s="370"/>
      <c r="D31" s="367">
        <v>0.62986111111111109</v>
      </c>
      <c r="E31" s="310">
        <v>59.698799999999999</v>
      </c>
      <c r="F31" s="358"/>
      <c r="G31" s="358"/>
      <c r="H31" s="358"/>
      <c r="I31" s="365" t="s">
        <v>94</v>
      </c>
      <c r="J31" s="358">
        <f>IF(ISERROR(VLOOKUP(I31,Max_Load_France!$B$2:$C$102,2,FALSE)/1000),"",VLOOKUP(I31,Max_Load_France!$B$2:$C$102,2,FALSE)/1000)</f>
        <v>40</v>
      </c>
      <c r="K31" s="296"/>
      <c r="L31" s="386">
        <f t="shared" si="0"/>
        <v>1.0024999999999999</v>
      </c>
      <c r="M31" s="358">
        <f>IF(VLOOKUP($I31,Max_Load_France!$B$2:$M$102,3,FALSE)="","",VLOOKUP($I31,Max_Load_France!$B$2:$M$102,3,FALSE))</f>
        <v>0</v>
      </c>
      <c r="N31" s="358">
        <f>IF(VLOOKUP($I31,Max_Load_France!$B$2:$M$102,4,FALSE)="","",VLOOKUP($I31,Max_Load_France!$B$2:$M$102,4,FALSE))</f>
        <v>0</v>
      </c>
      <c r="O31" s="358">
        <f>IF(VLOOKUP($I31,Max_Load_France!$B$2:$M$102,5,FALSE)="","",VLOOKUP($I31,Max_Load_France!$B$2:$M$102,5,FALSE))</f>
        <v>1</v>
      </c>
      <c r="P31" s="358">
        <f>IF(VLOOKUP($I31,Max_Load_France!$B$2:$M$102,6,FALSE)="","",VLOOKUP($I31,Max_Load_France!$B$2:$M$102,6,FALSE))</f>
        <v>1</v>
      </c>
      <c r="Q31" s="358">
        <f>IF(VLOOKUP($I31,Max_Load_France!$B$2:$M$102,7,FALSE)="","",VLOOKUP($I31,Max_Load_France!$B$2:$M$102,7,FALSE))</f>
        <v>1</v>
      </c>
      <c r="R31" s="358" t="str">
        <f>IF(VLOOKUP($I31,Max_Load_France!$B$2:$M$102,8,FALSE)="","",VLOOKUP($I31,Max_Load_France!$B$2:$M$102,8,FALSE))</f>
        <v/>
      </c>
      <c r="S31" s="358" t="str">
        <f>IF(VLOOKUP($I31,Max_Load_France!$B$2:$M$102,9,FALSE)="","",VLOOKUP($I31,Max_Load_France!$B$2:$M$102,9,FALSE))</f>
        <v/>
      </c>
      <c r="T31" s="358" t="str">
        <f>IF(VLOOKUP($I31,Max_Load_France!$B$2:$M$102,10,FALSE)="","",VLOOKUP($I31,Max_Load_France!$B$2:$M$102,10,FALSE))</f>
        <v/>
      </c>
      <c r="U31" s="358" t="str">
        <f>IF(VLOOKUP($I31,Max_Load_France!$B$2:$M$102,11,FALSE)="","",VLOOKUP($I31,Max_Load_France!$B$2:$M$102,11,FALSE))</f>
        <v/>
      </c>
      <c r="V31" s="359">
        <v>5</v>
      </c>
      <c r="W31" s="383">
        <f t="shared" si="8"/>
        <v>40.1</v>
      </c>
      <c r="X31" s="308">
        <v>6.7</v>
      </c>
      <c r="Y31" s="308">
        <v>10.199999999999999</v>
      </c>
      <c r="Z31" s="308">
        <v>7.8</v>
      </c>
      <c r="AA31" s="308">
        <v>7.7</v>
      </c>
      <c r="AB31" s="308">
        <v>7.7</v>
      </c>
      <c r="AC31" s="309"/>
      <c r="AD31" s="301"/>
      <c r="AE31" s="301"/>
      <c r="AF31" s="301"/>
      <c r="AG31" s="379">
        <f t="shared" si="18"/>
        <v>23.2</v>
      </c>
      <c r="AH31" s="379" t="str">
        <f t="shared" si="9"/>
        <v/>
      </c>
      <c r="AI31" s="379" t="str">
        <f t="shared" si="10"/>
        <v/>
      </c>
      <c r="AJ31" s="379" t="str">
        <f t="shared" si="11"/>
        <v/>
      </c>
      <c r="AK31" s="381">
        <f t="shared" si="1"/>
        <v>42.609648351648346</v>
      </c>
      <c r="AL31" s="354">
        <v>5.5816263736263734</v>
      </c>
      <c r="AM31" s="354">
        <v>12.828681318681319</v>
      </c>
      <c r="AN31" s="308">
        <v>7.4411538461538465</v>
      </c>
      <c r="AO31" s="308">
        <v>7.3840879120879119</v>
      </c>
      <c r="AP31" s="308">
        <v>9.3740989010989004</v>
      </c>
      <c r="AQ31" s="309"/>
      <c r="AR31" s="301"/>
      <c r="AS31" s="301"/>
      <c r="AT31" s="301"/>
      <c r="AU31" s="378">
        <f t="shared" si="12"/>
        <v>24.19934065934066</v>
      </c>
      <c r="AV31" s="378" t="str">
        <f t="shared" si="13"/>
        <v/>
      </c>
      <c r="AW31" s="302"/>
      <c r="AX31" s="302"/>
      <c r="AY31" s="349">
        <f t="shared" si="2"/>
        <v>6.2584746923898871E-2</v>
      </c>
      <c r="AZ31" s="349">
        <f t="shared" si="16"/>
        <v>-0.1669214367721831</v>
      </c>
      <c r="BA31" s="349">
        <f t="shared" si="16"/>
        <v>0.25771385477267844</v>
      </c>
      <c r="BB31" s="349" t="str">
        <f t="shared" si="16"/>
        <v/>
      </c>
      <c r="BC31" s="349" t="str">
        <f t="shared" si="16"/>
        <v/>
      </c>
      <c r="BD31" s="349" t="str">
        <f t="shared" si="16"/>
        <v/>
      </c>
      <c r="BE31" s="349" t="str">
        <f t="shared" si="17"/>
        <v/>
      </c>
      <c r="BF31" s="349">
        <f t="shared" si="17"/>
        <v>-4.6005917159763252E-2</v>
      </c>
      <c r="BG31" s="349">
        <f t="shared" si="17"/>
        <v>-4.1027543884686782E-2</v>
      </c>
      <c r="BH31" s="349">
        <f t="shared" si="17"/>
        <v>0.21741544170115587</v>
      </c>
      <c r="BI31" s="349" t="str">
        <f t="shared" si="17"/>
        <v/>
      </c>
      <c r="BJ31" s="349">
        <f t="shared" si="4"/>
        <v>4.3075028419856054E-2</v>
      </c>
      <c r="BK31" s="349" t="str">
        <f t="shared" si="5"/>
        <v/>
      </c>
      <c r="BL31" s="375" t="str">
        <f t="shared" si="6"/>
        <v/>
      </c>
      <c r="BM31" s="376" t="str">
        <f t="shared" si="7"/>
        <v/>
      </c>
      <c r="BN31" s="374">
        <v>62.0244</v>
      </c>
      <c r="BO31" s="334"/>
      <c r="BP31" s="94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</row>
    <row r="32" spans="1:79" s="89" customFormat="1" ht="11.25">
      <c r="A32" s="359" t="s">
        <v>230</v>
      </c>
      <c r="B32" s="358" t="s">
        <v>266</v>
      </c>
      <c r="C32" s="370"/>
      <c r="D32" s="367">
        <v>0.6381944444444444</v>
      </c>
      <c r="E32" s="371">
        <v>60.186239999999998</v>
      </c>
      <c r="F32" s="358"/>
      <c r="G32" s="358"/>
      <c r="H32" s="358"/>
      <c r="I32" s="365" t="s">
        <v>94</v>
      </c>
      <c r="J32" s="358">
        <f>IF(ISERROR(VLOOKUP(I32,Max_Load_France!$B$2:$C$102,2,FALSE)/1000),"",VLOOKUP(I32,Max_Load_France!$B$2:$C$102,2,FALSE)/1000)</f>
        <v>40</v>
      </c>
      <c r="K32" s="296"/>
      <c r="L32" s="386">
        <f t="shared" si="0"/>
        <v>0.79500000000000004</v>
      </c>
      <c r="M32" s="358">
        <f>IF(VLOOKUP($I32,Max_Load_France!$B$2:$M$102,3,FALSE)="","",VLOOKUP($I32,Max_Load_France!$B$2:$M$102,3,FALSE))</f>
        <v>0</v>
      </c>
      <c r="N32" s="358">
        <f>IF(VLOOKUP($I32,Max_Load_France!$B$2:$M$102,4,FALSE)="","",VLOOKUP($I32,Max_Load_France!$B$2:$M$102,4,FALSE))</f>
        <v>0</v>
      </c>
      <c r="O32" s="358">
        <f>IF(VLOOKUP($I32,Max_Load_France!$B$2:$M$102,5,FALSE)="","",VLOOKUP($I32,Max_Load_France!$B$2:$M$102,5,FALSE))</f>
        <v>1</v>
      </c>
      <c r="P32" s="358">
        <f>IF(VLOOKUP($I32,Max_Load_France!$B$2:$M$102,6,FALSE)="","",VLOOKUP($I32,Max_Load_France!$B$2:$M$102,6,FALSE))</f>
        <v>1</v>
      </c>
      <c r="Q32" s="358">
        <f>IF(VLOOKUP($I32,Max_Load_France!$B$2:$M$102,7,FALSE)="","",VLOOKUP($I32,Max_Load_France!$B$2:$M$102,7,FALSE))</f>
        <v>1</v>
      </c>
      <c r="R32" s="358" t="str">
        <f>IF(VLOOKUP($I32,Max_Load_France!$B$2:$M$102,8,FALSE)="","",VLOOKUP($I32,Max_Load_France!$B$2:$M$102,8,FALSE))</f>
        <v/>
      </c>
      <c r="S32" s="358" t="str">
        <f>IF(VLOOKUP($I32,Max_Load_France!$B$2:$M$102,9,FALSE)="","",VLOOKUP($I32,Max_Load_France!$B$2:$M$102,9,FALSE))</f>
        <v/>
      </c>
      <c r="T32" s="358" t="str">
        <f>IF(VLOOKUP($I32,Max_Load_France!$B$2:$M$102,10,FALSE)="","",VLOOKUP($I32,Max_Load_France!$B$2:$M$102,10,FALSE))</f>
        <v/>
      </c>
      <c r="U32" s="358" t="str">
        <f>IF(VLOOKUP($I32,Max_Load_France!$B$2:$M$102,11,FALSE)="","",VLOOKUP($I32,Max_Load_France!$B$2:$M$102,11,FALSE))</f>
        <v/>
      </c>
      <c r="V32" s="359">
        <v>5</v>
      </c>
      <c r="W32" s="383">
        <f t="shared" si="8"/>
        <v>31.8</v>
      </c>
      <c r="X32" s="308">
        <v>7.3</v>
      </c>
      <c r="Y32" s="308">
        <v>9.9</v>
      </c>
      <c r="Z32" s="308">
        <v>5</v>
      </c>
      <c r="AA32" s="308">
        <v>4.8</v>
      </c>
      <c r="AB32" s="308">
        <v>4.8</v>
      </c>
      <c r="AC32" s="309"/>
      <c r="AD32" s="301"/>
      <c r="AE32" s="301"/>
      <c r="AF32" s="301"/>
      <c r="AG32" s="379">
        <f t="shared" si="18"/>
        <v>14.600000000000001</v>
      </c>
      <c r="AH32" s="379" t="str">
        <f t="shared" si="9"/>
        <v/>
      </c>
      <c r="AI32" s="379" t="str">
        <f t="shared" si="10"/>
        <v/>
      </c>
      <c r="AJ32" s="379" t="str">
        <f t="shared" si="11"/>
        <v/>
      </c>
      <c r="AK32" s="381">
        <f t="shared" si="1"/>
        <v>36.459879120879123</v>
      </c>
      <c r="AL32" s="354">
        <v>7.4108461538461539</v>
      </c>
      <c r="AM32" s="354">
        <v>12.738901098901101</v>
      </c>
      <c r="AN32" s="308">
        <v>6.2837472527472524</v>
      </c>
      <c r="AO32" s="308">
        <v>3.1714285714285717</v>
      </c>
      <c r="AP32" s="308">
        <v>6.8549560439560437</v>
      </c>
      <c r="AQ32" s="309"/>
      <c r="AR32" s="300"/>
      <c r="AS32" s="301"/>
      <c r="AT32" s="301"/>
      <c r="AU32" s="378">
        <f t="shared" si="12"/>
        <v>16.310131868131869</v>
      </c>
      <c r="AV32" s="378" t="str">
        <f t="shared" si="13"/>
        <v/>
      </c>
      <c r="AW32" s="302"/>
      <c r="AX32" s="302"/>
      <c r="AY32" s="349">
        <f t="shared" si="2"/>
        <v>0.14653707927292836</v>
      </c>
      <c r="AZ32" s="349">
        <f t="shared" si="16"/>
        <v>1.5184404636459458E-2</v>
      </c>
      <c r="BA32" s="349">
        <f t="shared" si="16"/>
        <v>0.28675768675768692</v>
      </c>
      <c r="BB32" s="349" t="str">
        <f t="shared" si="16"/>
        <v/>
      </c>
      <c r="BC32" s="349" t="str">
        <f t="shared" si="16"/>
        <v/>
      </c>
      <c r="BD32" s="349" t="str">
        <f t="shared" si="16"/>
        <v/>
      </c>
      <c r="BE32" s="349" t="str">
        <f t="shared" si="17"/>
        <v/>
      </c>
      <c r="BF32" s="349">
        <f t="shared" si="17"/>
        <v>0.25674945054945048</v>
      </c>
      <c r="BG32" s="349">
        <f t="shared" si="17"/>
        <v>-0.33928571428571419</v>
      </c>
      <c r="BH32" s="349">
        <f t="shared" si="17"/>
        <v>0.4281158424908425</v>
      </c>
      <c r="BI32" s="349" t="str">
        <f t="shared" si="17"/>
        <v/>
      </c>
      <c r="BJ32" s="349">
        <f t="shared" si="4"/>
        <v>0.1171323197350594</v>
      </c>
      <c r="BK32" s="349" t="str">
        <f t="shared" si="5"/>
        <v/>
      </c>
      <c r="BL32" s="375" t="str">
        <f t="shared" si="6"/>
        <v/>
      </c>
      <c r="BM32" s="376" t="str">
        <f t="shared" si="7"/>
        <v/>
      </c>
      <c r="BN32" s="374">
        <v>41.752600000000001</v>
      </c>
      <c r="BO32" s="334"/>
      <c r="BP32" s="94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</row>
    <row r="33" spans="1:79" s="89" customFormat="1" ht="11.25">
      <c r="A33" s="359" t="s">
        <v>231</v>
      </c>
      <c r="B33" s="358" t="s">
        <v>267</v>
      </c>
      <c r="C33" s="370"/>
      <c r="D33" s="367">
        <v>0.64027777777777783</v>
      </c>
      <c r="E33" s="371">
        <v>77.201999999999998</v>
      </c>
      <c r="F33" s="358"/>
      <c r="G33" s="358"/>
      <c r="H33" s="358"/>
      <c r="I33" s="365" t="s">
        <v>94</v>
      </c>
      <c r="J33" s="358">
        <f>IF(ISERROR(VLOOKUP(I33,Max_Load_France!$B$2:$C$102,2,FALSE)/1000),"",VLOOKUP(I33,Max_Load_France!$B$2:$C$102,2,FALSE)/1000)</f>
        <v>40</v>
      </c>
      <c r="K33" s="296"/>
      <c r="L33" s="386">
        <f t="shared" si="0"/>
        <v>0.36</v>
      </c>
      <c r="M33" s="358">
        <f>IF(VLOOKUP($I33,Max_Load_France!$B$2:$M$102,3,FALSE)="","",VLOOKUP($I33,Max_Load_France!$B$2:$M$102,3,FALSE))</f>
        <v>0</v>
      </c>
      <c r="N33" s="358">
        <f>IF(VLOOKUP($I33,Max_Load_France!$B$2:$M$102,4,FALSE)="","",VLOOKUP($I33,Max_Load_France!$B$2:$M$102,4,FALSE))</f>
        <v>0</v>
      </c>
      <c r="O33" s="358">
        <f>IF(VLOOKUP($I33,Max_Load_France!$B$2:$M$102,5,FALSE)="","",VLOOKUP($I33,Max_Load_France!$B$2:$M$102,5,FALSE))</f>
        <v>1</v>
      </c>
      <c r="P33" s="358">
        <f>IF(VLOOKUP($I33,Max_Load_France!$B$2:$M$102,6,FALSE)="","",VLOOKUP($I33,Max_Load_France!$B$2:$M$102,6,FALSE))</f>
        <v>1</v>
      </c>
      <c r="Q33" s="358">
        <f>IF(VLOOKUP($I33,Max_Load_France!$B$2:$M$102,7,FALSE)="","",VLOOKUP($I33,Max_Load_France!$B$2:$M$102,7,FALSE))</f>
        <v>1</v>
      </c>
      <c r="R33" s="358" t="str">
        <f>IF(VLOOKUP($I33,Max_Load_France!$B$2:$M$102,8,FALSE)="","",VLOOKUP($I33,Max_Load_France!$B$2:$M$102,8,FALSE))</f>
        <v/>
      </c>
      <c r="S33" s="358" t="str">
        <f>IF(VLOOKUP($I33,Max_Load_France!$B$2:$M$102,9,FALSE)="","",VLOOKUP($I33,Max_Load_France!$B$2:$M$102,9,FALSE))</f>
        <v/>
      </c>
      <c r="T33" s="358" t="str">
        <f>IF(VLOOKUP($I33,Max_Load_France!$B$2:$M$102,10,FALSE)="","",VLOOKUP($I33,Max_Load_France!$B$2:$M$102,10,FALSE))</f>
        <v/>
      </c>
      <c r="U33" s="358" t="str">
        <f>IF(VLOOKUP($I33,Max_Load_France!$B$2:$M$102,11,FALSE)="","",VLOOKUP($I33,Max_Load_France!$B$2:$M$102,11,FALSE))</f>
        <v/>
      </c>
      <c r="V33" s="359">
        <v>5</v>
      </c>
      <c r="W33" s="383">
        <f t="shared" si="8"/>
        <v>14.399999999999999</v>
      </c>
      <c r="X33" s="308">
        <v>5.9</v>
      </c>
      <c r="Y33" s="308">
        <v>3.4</v>
      </c>
      <c r="Z33" s="308">
        <v>1.7</v>
      </c>
      <c r="AA33" s="308">
        <v>1.7</v>
      </c>
      <c r="AB33" s="308">
        <v>1.7</v>
      </c>
      <c r="AC33" s="309"/>
      <c r="AD33" s="301"/>
      <c r="AE33" s="301"/>
      <c r="AF33" s="301"/>
      <c r="AG33" s="379">
        <f t="shared" si="18"/>
        <v>5.0999999999999996</v>
      </c>
      <c r="AH33" s="379" t="str">
        <f t="shared" si="9"/>
        <v/>
      </c>
      <c r="AI33" s="379" t="str">
        <f t="shared" si="10"/>
        <v/>
      </c>
      <c r="AJ33" s="379" t="str">
        <f t="shared" si="11"/>
        <v/>
      </c>
      <c r="AK33" s="381">
        <f t="shared" si="1"/>
        <v>16.91354945054945</v>
      </c>
      <c r="AL33" s="354">
        <v>6.4915384615384619</v>
      </c>
      <c r="AM33" s="354">
        <v>5.325736263736264</v>
      </c>
      <c r="AN33" s="308">
        <v>1.5292747252747252</v>
      </c>
      <c r="AO33" s="308">
        <v>1.8163406593406595</v>
      </c>
      <c r="AP33" s="308">
        <v>1.7506593406593407</v>
      </c>
      <c r="AQ33" s="309"/>
      <c r="AR33" s="300"/>
      <c r="AS33" s="301"/>
      <c r="AT33" s="301"/>
      <c r="AU33" s="378">
        <f t="shared" si="12"/>
        <v>5.0962747252747249</v>
      </c>
      <c r="AV33" s="378" t="str">
        <f t="shared" si="13"/>
        <v/>
      </c>
      <c r="AW33" s="302"/>
      <c r="AX33" s="302"/>
      <c r="AY33" s="349">
        <f t="shared" si="2"/>
        <v>0.17455204517704526</v>
      </c>
      <c r="AZ33" s="349">
        <f t="shared" si="16"/>
        <v>0.10026075619295959</v>
      </c>
      <c r="BA33" s="349">
        <f t="shared" si="16"/>
        <v>0.56639301874596004</v>
      </c>
      <c r="BB33" s="349" t="str">
        <f t="shared" si="16"/>
        <v/>
      </c>
      <c r="BC33" s="349" t="str">
        <f t="shared" si="16"/>
        <v/>
      </c>
      <c r="BD33" s="349" t="str">
        <f t="shared" si="16"/>
        <v/>
      </c>
      <c r="BE33" s="349" t="str">
        <f t="shared" si="17"/>
        <v/>
      </c>
      <c r="BF33" s="349">
        <f t="shared" si="17"/>
        <v>-0.1004266321913381</v>
      </c>
      <c r="BG33" s="349">
        <f t="shared" si="17"/>
        <v>6.8435681965093836E-2</v>
      </c>
      <c r="BH33" s="349">
        <f t="shared" si="17"/>
        <v>2.9799612152553379E-2</v>
      </c>
      <c r="BI33" s="349" t="str">
        <f t="shared" si="17"/>
        <v/>
      </c>
      <c r="BJ33" s="349">
        <f t="shared" si="4"/>
        <v>-7.3044602456367254E-4</v>
      </c>
      <c r="BK33" s="349" t="str">
        <f t="shared" si="5"/>
        <v/>
      </c>
      <c r="BL33" s="375" t="str">
        <f t="shared" si="6"/>
        <v/>
      </c>
      <c r="BM33" s="376" t="str">
        <f t="shared" si="7"/>
        <v/>
      </c>
      <c r="BN33" s="374">
        <v>13.068300000000001</v>
      </c>
      <c r="BO33" s="334"/>
      <c r="BP33" s="94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</row>
    <row r="34" spans="1:79" s="89" customFormat="1" ht="11.25">
      <c r="A34" s="359" t="s">
        <v>232</v>
      </c>
      <c r="B34" s="358" t="s">
        <v>268</v>
      </c>
      <c r="C34" s="370"/>
      <c r="D34" s="367">
        <v>0.64444444444444449</v>
      </c>
      <c r="E34" s="371">
        <v>63.833760000000005</v>
      </c>
      <c r="F34" s="358"/>
      <c r="G34" s="358"/>
      <c r="H34" s="358"/>
      <c r="I34" s="365" t="s">
        <v>94</v>
      </c>
      <c r="J34" s="358">
        <f>IF(ISERROR(VLOOKUP(I34,Max_Load_France!$B$2:$C$102,2,FALSE)/1000),"",VLOOKUP(I34,Max_Load_France!$B$2:$C$102,2,FALSE)/1000)</f>
        <v>40</v>
      </c>
      <c r="K34" s="296"/>
      <c r="L34" s="386">
        <f t="shared" si="0"/>
        <v>0.91249999999999998</v>
      </c>
      <c r="M34" s="358">
        <f>IF(VLOOKUP($I34,Max_Load_France!$B$2:$M$102,3,FALSE)="","",VLOOKUP($I34,Max_Load_France!$B$2:$M$102,3,FALSE))</f>
        <v>0</v>
      </c>
      <c r="N34" s="358">
        <f>IF(VLOOKUP($I34,Max_Load_France!$B$2:$M$102,4,FALSE)="","",VLOOKUP($I34,Max_Load_France!$B$2:$M$102,4,FALSE))</f>
        <v>0</v>
      </c>
      <c r="O34" s="358">
        <f>IF(VLOOKUP($I34,Max_Load_France!$B$2:$M$102,5,FALSE)="","",VLOOKUP($I34,Max_Load_France!$B$2:$M$102,5,FALSE))</f>
        <v>1</v>
      </c>
      <c r="P34" s="358">
        <f>IF(VLOOKUP($I34,Max_Load_France!$B$2:$M$102,6,FALSE)="","",VLOOKUP($I34,Max_Load_France!$B$2:$M$102,6,FALSE))</f>
        <v>1</v>
      </c>
      <c r="Q34" s="358">
        <f>IF(VLOOKUP($I34,Max_Load_France!$B$2:$M$102,7,FALSE)="","",VLOOKUP($I34,Max_Load_France!$B$2:$M$102,7,FALSE))</f>
        <v>1</v>
      </c>
      <c r="R34" s="358" t="str">
        <f>IF(VLOOKUP($I34,Max_Load_France!$B$2:$M$102,8,FALSE)="","",VLOOKUP($I34,Max_Load_France!$B$2:$M$102,8,FALSE))</f>
        <v/>
      </c>
      <c r="S34" s="358" t="str">
        <f>IF(VLOOKUP($I34,Max_Load_France!$B$2:$M$102,9,FALSE)="","",VLOOKUP($I34,Max_Load_France!$B$2:$M$102,9,FALSE))</f>
        <v/>
      </c>
      <c r="T34" s="358" t="str">
        <f>IF(VLOOKUP($I34,Max_Load_France!$B$2:$M$102,10,FALSE)="","",VLOOKUP($I34,Max_Load_France!$B$2:$M$102,10,FALSE))</f>
        <v/>
      </c>
      <c r="U34" s="358" t="str">
        <f>IF(VLOOKUP($I34,Max_Load_France!$B$2:$M$102,11,FALSE)="","",VLOOKUP($I34,Max_Load_France!$B$2:$M$102,11,FALSE))</f>
        <v/>
      </c>
      <c r="V34" s="359">
        <v>5</v>
      </c>
      <c r="W34" s="383">
        <f t="shared" si="8"/>
        <v>36.5</v>
      </c>
      <c r="X34" s="308">
        <v>6</v>
      </c>
      <c r="Y34" s="308">
        <v>10.7</v>
      </c>
      <c r="Z34" s="308">
        <v>6.6</v>
      </c>
      <c r="AA34" s="308">
        <v>6.6</v>
      </c>
      <c r="AB34" s="308">
        <v>6.6</v>
      </c>
      <c r="AC34" s="309"/>
      <c r="AD34" s="301"/>
      <c r="AE34" s="301"/>
      <c r="AF34" s="301"/>
      <c r="AG34" s="379">
        <f t="shared" si="18"/>
        <v>19.799999999999997</v>
      </c>
      <c r="AH34" s="379" t="str">
        <f t="shared" si="9"/>
        <v/>
      </c>
      <c r="AI34" s="379" t="str">
        <f t="shared" si="10"/>
        <v/>
      </c>
      <c r="AJ34" s="379" t="str">
        <f t="shared" si="11"/>
        <v/>
      </c>
      <c r="AK34" s="381">
        <f t="shared" si="1"/>
        <v>33.684494505494506</v>
      </c>
      <c r="AL34" s="354">
        <v>3.7069560439560441</v>
      </c>
      <c r="AM34" s="354">
        <v>11.276593406593408</v>
      </c>
      <c r="AN34" s="308">
        <v>4.8327912087912086</v>
      </c>
      <c r="AO34" s="308">
        <v>7.1643186813186821</v>
      </c>
      <c r="AP34" s="308">
        <v>6.7038351648351648</v>
      </c>
      <c r="AQ34" s="309"/>
      <c r="AR34" s="300"/>
      <c r="AS34" s="301"/>
      <c r="AT34" s="301"/>
      <c r="AU34" s="378">
        <f t="shared" si="12"/>
        <v>18.700945054945056</v>
      </c>
      <c r="AV34" s="378" t="str">
        <f t="shared" si="13"/>
        <v/>
      </c>
      <c r="AW34" s="302"/>
      <c r="AX34" s="302"/>
      <c r="AY34" s="349">
        <f t="shared" si="2"/>
        <v>-7.7137136835766965E-2</v>
      </c>
      <c r="AZ34" s="349">
        <f t="shared" si="16"/>
        <v>-0.38217399267399266</v>
      </c>
      <c r="BA34" s="349">
        <f t="shared" si="16"/>
        <v>5.388723426106623E-2</v>
      </c>
      <c r="BB34" s="349" t="str">
        <f t="shared" si="16"/>
        <v/>
      </c>
      <c r="BC34" s="349" t="str">
        <f t="shared" si="16"/>
        <v/>
      </c>
      <c r="BD34" s="349" t="str">
        <f t="shared" si="16"/>
        <v/>
      </c>
      <c r="BE34" s="349" t="str">
        <f t="shared" si="17"/>
        <v/>
      </c>
      <c r="BF34" s="349">
        <f t="shared" si="17"/>
        <v>-0.26775890775890776</v>
      </c>
      <c r="BG34" s="349">
        <f t="shared" si="17"/>
        <v>8.5502830502830682E-2</v>
      </c>
      <c r="BH34" s="349">
        <f t="shared" si="17"/>
        <v>1.5732600732600788E-2</v>
      </c>
      <c r="BI34" s="349" t="str">
        <f t="shared" si="17"/>
        <v/>
      </c>
      <c r="BJ34" s="349">
        <f t="shared" si="4"/>
        <v>-5.5507825507825341E-2</v>
      </c>
      <c r="BK34" s="349" t="str">
        <f t="shared" si="5"/>
        <v/>
      </c>
      <c r="BL34" s="375" t="str">
        <f t="shared" si="6"/>
        <v/>
      </c>
      <c r="BM34" s="376" t="str">
        <f t="shared" si="7"/>
        <v/>
      </c>
      <c r="BN34" s="374">
        <v>83.456500000000005</v>
      </c>
      <c r="BO34" s="334"/>
      <c r="BP34" s="94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</row>
    <row r="35" spans="1:79" s="89" customFormat="1" ht="11.25">
      <c r="A35" s="359" t="s">
        <v>233</v>
      </c>
      <c r="B35" s="358" t="s">
        <v>269</v>
      </c>
      <c r="C35" s="370"/>
      <c r="D35" s="367">
        <v>0.64652777777777781</v>
      </c>
      <c r="E35" s="371">
        <v>71.580600000000004</v>
      </c>
      <c r="F35" s="358"/>
      <c r="G35" s="358"/>
      <c r="H35" s="358"/>
      <c r="I35" s="365" t="s">
        <v>94</v>
      </c>
      <c r="J35" s="358">
        <f>IF(ISERROR(VLOOKUP(I35,Max_Load_France!$B$2:$C$102,2,FALSE)/1000),"",VLOOKUP(I35,Max_Load_France!$B$2:$C$102,2,FALSE)/1000)</f>
        <v>40</v>
      </c>
      <c r="K35" s="296"/>
      <c r="L35" s="386">
        <f t="shared" si="0"/>
        <v>0.72</v>
      </c>
      <c r="M35" s="358">
        <f>IF(VLOOKUP($I35,Max_Load_France!$B$2:$M$102,3,FALSE)="","",VLOOKUP($I35,Max_Load_France!$B$2:$M$102,3,FALSE))</f>
        <v>0</v>
      </c>
      <c r="N35" s="358">
        <f>IF(VLOOKUP($I35,Max_Load_France!$B$2:$M$102,4,FALSE)="","",VLOOKUP($I35,Max_Load_France!$B$2:$M$102,4,FALSE))</f>
        <v>0</v>
      </c>
      <c r="O35" s="358">
        <f>IF(VLOOKUP($I35,Max_Load_France!$B$2:$M$102,5,FALSE)="","",VLOOKUP($I35,Max_Load_France!$B$2:$M$102,5,FALSE))</f>
        <v>1</v>
      </c>
      <c r="P35" s="358">
        <f>IF(VLOOKUP($I35,Max_Load_France!$B$2:$M$102,6,FALSE)="","",VLOOKUP($I35,Max_Load_France!$B$2:$M$102,6,FALSE))</f>
        <v>1</v>
      </c>
      <c r="Q35" s="358">
        <f>IF(VLOOKUP($I35,Max_Load_France!$B$2:$M$102,7,FALSE)="","",VLOOKUP($I35,Max_Load_France!$B$2:$M$102,7,FALSE))</f>
        <v>1</v>
      </c>
      <c r="R35" s="358" t="str">
        <f>IF(VLOOKUP($I35,Max_Load_France!$B$2:$M$102,8,FALSE)="","",VLOOKUP($I35,Max_Load_France!$B$2:$M$102,8,FALSE))</f>
        <v/>
      </c>
      <c r="S35" s="358" t="str">
        <f>IF(VLOOKUP($I35,Max_Load_France!$B$2:$M$102,9,FALSE)="","",VLOOKUP($I35,Max_Load_France!$B$2:$M$102,9,FALSE))</f>
        <v/>
      </c>
      <c r="T35" s="358" t="str">
        <f>IF(VLOOKUP($I35,Max_Load_France!$B$2:$M$102,10,FALSE)="","",VLOOKUP($I35,Max_Load_France!$B$2:$M$102,10,FALSE))</f>
        <v/>
      </c>
      <c r="U35" s="358" t="str">
        <f>IF(VLOOKUP($I35,Max_Load_France!$B$2:$M$102,11,FALSE)="","",VLOOKUP($I35,Max_Load_France!$B$2:$M$102,11,FALSE))</f>
        <v/>
      </c>
      <c r="V35" s="359">
        <v>5</v>
      </c>
      <c r="W35" s="383">
        <f t="shared" si="8"/>
        <v>28.8</v>
      </c>
      <c r="X35" s="308">
        <v>7.3</v>
      </c>
      <c r="Y35" s="308">
        <v>11.7</v>
      </c>
      <c r="Z35" s="308">
        <v>3.3</v>
      </c>
      <c r="AA35" s="308">
        <v>3.3</v>
      </c>
      <c r="AB35" s="308">
        <v>3.2</v>
      </c>
      <c r="AC35" s="309"/>
      <c r="AD35" s="301"/>
      <c r="AE35" s="301"/>
      <c r="AF35" s="301"/>
      <c r="AG35" s="379">
        <f t="shared" si="18"/>
        <v>9.8000000000000007</v>
      </c>
      <c r="AH35" s="379" t="str">
        <f t="shared" si="9"/>
        <v/>
      </c>
      <c r="AI35" s="379" t="str">
        <f t="shared" si="10"/>
        <v/>
      </c>
      <c r="AJ35" s="379" t="str">
        <f t="shared" si="11"/>
        <v/>
      </c>
      <c r="AK35" s="381">
        <f t="shared" si="1"/>
        <v>29.247505494505496</v>
      </c>
      <c r="AL35" s="354">
        <v>5.9068901098901101</v>
      </c>
      <c r="AM35" s="354">
        <v>13.922747252747254</v>
      </c>
      <c r="AN35" s="308">
        <v>2.8240659340659344</v>
      </c>
      <c r="AO35" s="308">
        <v>4.3159450549450558</v>
      </c>
      <c r="AP35" s="308">
        <v>2.277857142857143</v>
      </c>
      <c r="AQ35" s="309"/>
      <c r="AR35" s="300"/>
      <c r="AS35" s="301"/>
      <c r="AT35" s="301"/>
      <c r="AU35" s="378">
        <f t="shared" si="12"/>
        <v>9.4178681318681328</v>
      </c>
      <c r="AV35" s="378" t="str">
        <f t="shared" si="13"/>
        <v/>
      </c>
      <c r="AW35" s="302"/>
      <c r="AX35" s="302"/>
      <c r="AY35" s="349">
        <f t="shared" si="2"/>
        <v>1.5538385225885267E-2</v>
      </c>
      <c r="AZ35" s="349">
        <f t="shared" si="16"/>
        <v>-0.19083697124793012</v>
      </c>
      <c r="BA35" s="349">
        <f t="shared" si="16"/>
        <v>0.18997839767070551</v>
      </c>
      <c r="BB35" s="349" t="str">
        <f t="shared" si="16"/>
        <v/>
      </c>
      <c r="BC35" s="349" t="str">
        <f t="shared" si="16"/>
        <v/>
      </c>
      <c r="BD35" s="349" t="str">
        <f t="shared" si="16"/>
        <v/>
      </c>
      <c r="BE35" s="349" t="str">
        <f t="shared" si="17"/>
        <v/>
      </c>
      <c r="BF35" s="349">
        <f t="shared" si="17"/>
        <v>-0.14422244422244407</v>
      </c>
      <c r="BG35" s="349">
        <f t="shared" si="17"/>
        <v>0.30786213786213817</v>
      </c>
      <c r="BH35" s="349">
        <f t="shared" si="17"/>
        <v>-0.28816964285714286</v>
      </c>
      <c r="BI35" s="349" t="str">
        <f t="shared" si="17"/>
        <v/>
      </c>
      <c r="BJ35" s="349">
        <f t="shared" si="4"/>
        <v>-3.8993047768557949E-2</v>
      </c>
      <c r="BK35" s="349" t="str">
        <f t="shared" si="5"/>
        <v/>
      </c>
      <c r="BL35" s="375" t="str">
        <f t="shared" si="6"/>
        <v/>
      </c>
      <c r="BM35" s="376" t="str">
        <f t="shared" si="7"/>
        <v/>
      </c>
      <c r="BN35" s="374">
        <v>70.857399999999998</v>
      </c>
      <c r="BO35" s="334"/>
      <c r="BP35" s="94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</row>
    <row r="36" spans="1:79" s="89" customFormat="1" ht="11.25">
      <c r="A36" s="359" t="s">
        <v>234</v>
      </c>
      <c r="B36" s="358" t="s">
        <v>270</v>
      </c>
      <c r="C36" s="370"/>
      <c r="D36" s="367">
        <v>0.64930555555555558</v>
      </c>
      <c r="E36" s="371">
        <v>78.853320000000011</v>
      </c>
      <c r="F36" s="358"/>
      <c r="G36" s="358"/>
      <c r="H36" s="358"/>
      <c r="I36" s="365" t="s">
        <v>94</v>
      </c>
      <c r="J36" s="358">
        <f>IF(ISERROR(VLOOKUP(I36,Max_Load_France!$B$2:$C$102,2,FALSE)/1000),"",VLOOKUP(I36,Max_Load_France!$B$2:$C$102,2,FALSE)/1000)</f>
        <v>40</v>
      </c>
      <c r="K36" s="296"/>
      <c r="L36" s="386">
        <f t="shared" si="0"/>
        <v>0.66</v>
      </c>
      <c r="M36" s="358">
        <f>IF(VLOOKUP($I36,Max_Load_France!$B$2:$M$102,3,FALSE)="","",VLOOKUP($I36,Max_Load_France!$B$2:$M$102,3,FALSE))</f>
        <v>0</v>
      </c>
      <c r="N36" s="358">
        <f>IF(VLOOKUP($I36,Max_Load_France!$B$2:$M$102,4,FALSE)="","",VLOOKUP($I36,Max_Load_France!$B$2:$M$102,4,FALSE))</f>
        <v>0</v>
      </c>
      <c r="O36" s="358">
        <f>IF(VLOOKUP($I36,Max_Load_France!$B$2:$M$102,5,FALSE)="","",VLOOKUP($I36,Max_Load_France!$B$2:$M$102,5,FALSE))</f>
        <v>1</v>
      </c>
      <c r="P36" s="358">
        <f>IF(VLOOKUP($I36,Max_Load_France!$B$2:$M$102,6,FALSE)="","",VLOOKUP($I36,Max_Load_France!$B$2:$M$102,6,FALSE))</f>
        <v>1</v>
      </c>
      <c r="Q36" s="358">
        <f>IF(VLOOKUP($I36,Max_Load_France!$B$2:$M$102,7,FALSE)="","",VLOOKUP($I36,Max_Load_France!$B$2:$M$102,7,FALSE))</f>
        <v>1</v>
      </c>
      <c r="R36" s="358" t="str">
        <f>IF(VLOOKUP($I36,Max_Load_France!$B$2:$M$102,8,FALSE)="","",VLOOKUP($I36,Max_Load_France!$B$2:$M$102,8,FALSE))</f>
        <v/>
      </c>
      <c r="S36" s="358" t="str">
        <f>IF(VLOOKUP($I36,Max_Load_France!$B$2:$M$102,9,FALSE)="","",VLOOKUP($I36,Max_Load_France!$B$2:$M$102,9,FALSE))</f>
        <v/>
      </c>
      <c r="T36" s="358" t="str">
        <f>IF(VLOOKUP($I36,Max_Load_France!$B$2:$M$102,10,FALSE)="","",VLOOKUP($I36,Max_Load_France!$B$2:$M$102,10,FALSE))</f>
        <v/>
      </c>
      <c r="U36" s="358" t="str">
        <f>IF(VLOOKUP($I36,Max_Load_France!$B$2:$M$102,11,FALSE)="","",VLOOKUP($I36,Max_Load_France!$B$2:$M$102,11,FALSE))</f>
        <v/>
      </c>
      <c r="V36" s="359">
        <v>5</v>
      </c>
      <c r="W36" s="383">
        <f t="shared" si="8"/>
        <v>26.400000000000002</v>
      </c>
      <c r="X36" s="308">
        <v>6.3</v>
      </c>
      <c r="Y36" s="308">
        <v>7</v>
      </c>
      <c r="Z36" s="308">
        <v>4.4000000000000004</v>
      </c>
      <c r="AA36" s="308">
        <v>4.4000000000000004</v>
      </c>
      <c r="AB36" s="308">
        <v>4.3</v>
      </c>
      <c r="AC36" s="309"/>
      <c r="AD36" s="301"/>
      <c r="AE36" s="301"/>
      <c r="AF36" s="301"/>
      <c r="AG36" s="379">
        <f t="shared" si="18"/>
        <v>13.100000000000001</v>
      </c>
      <c r="AH36" s="379" t="str">
        <f t="shared" si="9"/>
        <v/>
      </c>
      <c r="AI36" s="379" t="str">
        <f t="shared" si="10"/>
        <v/>
      </c>
      <c r="AJ36" s="379" t="str">
        <f t="shared" si="11"/>
        <v/>
      </c>
      <c r="AK36" s="381">
        <f t="shared" si="1"/>
        <v>26.493747252747255</v>
      </c>
      <c r="AL36" s="354">
        <v>5.2522747252747255</v>
      </c>
      <c r="AM36" s="354">
        <v>8.3448681318681324</v>
      </c>
      <c r="AN36" s="308">
        <v>4.0886153846153848</v>
      </c>
      <c r="AO36" s="308">
        <v>4.8462857142857141</v>
      </c>
      <c r="AP36" s="308">
        <v>3.9617032967032966</v>
      </c>
      <c r="AQ36" s="309"/>
      <c r="AR36" s="300"/>
      <c r="AS36" s="301"/>
      <c r="AT36" s="301"/>
      <c r="AU36" s="378">
        <f t="shared" si="12"/>
        <v>12.896604395604395</v>
      </c>
      <c r="AV36" s="378" t="str">
        <f t="shared" si="13"/>
        <v/>
      </c>
      <c r="AW36" s="302"/>
      <c r="AX36" s="302"/>
      <c r="AY36" s="349">
        <f t="shared" ref="AY36:AY47" si="19">IF($W36/$V36&lt;$BN$6,"",IF($BN36&lt;$BN$10,IF(W36&gt;0,(AK36-W36)/W36,""),""))</f>
        <v>3.5510323010323076E-3</v>
      </c>
      <c r="AZ36" s="349">
        <f t="shared" si="16"/>
        <v>-0.16630559916274196</v>
      </c>
      <c r="BA36" s="349">
        <f t="shared" si="16"/>
        <v>0.19212401883830463</v>
      </c>
      <c r="BB36" s="349" t="str">
        <f t="shared" si="16"/>
        <v/>
      </c>
      <c r="BC36" s="349" t="str">
        <f t="shared" si="16"/>
        <v/>
      </c>
      <c r="BD36" s="349" t="str">
        <f t="shared" si="16"/>
        <v/>
      </c>
      <c r="BE36" s="349" t="str">
        <f t="shared" si="17"/>
        <v/>
      </c>
      <c r="BF36" s="349">
        <f t="shared" si="17"/>
        <v>-7.0769230769230806E-2</v>
      </c>
      <c r="BG36" s="349">
        <f t="shared" si="17"/>
        <v>0.1014285714285713</v>
      </c>
      <c r="BH36" s="349">
        <f t="shared" si="17"/>
        <v>-7.8673651929465876E-2</v>
      </c>
      <c r="BI36" s="349" t="str">
        <f t="shared" si="17"/>
        <v/>
      </c>
      <c r="BJ36" s="349">
        <f t="shared" ref="BJ36:BJ47" si="20">IF(AG36&lt;$BN$6*2,"",IF($BN36&lt;$BN$10,IF($BN36&lt;$BN$10,IF(AG36&lt;&gt;"",(AU36-AG36)/AG36,""),"")))</f>
        <v>-1.5526382014931754E-2</v>
      </c>
      <c r="BK36" s="349" t="str">
        <f t="shared" ref="BK36:BK47" si="21">IF(AH36&lt;$BN$6*2,"",IF($BN36&lt;$BN$10,IF(AH36&lt;&gt;"",(AV36-AH36)/AH36,""),""))</f>
        <v/>
      </c>
      <c r="BL36" s="375" t="str">
        <f t="shared" ref="BL36:BM47" si="22">IF(AI36&lt;&gt;"",(AW36-AI36)/AI36,"")</f>
        <v/>
      </c>
      <c r="BM36" s="376" t="str">
        <f t="shared" si="22"/>
        <v/>
      </c>
      <c r="BN36" s="374">
        <v>35.539099999999998</v>
      </c>
      <c r="BO36" s="334"/>
      <c r="BP36" s="94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</row>
    <row r="37" spans="1:79" s="89" customFormat="1" ht="11.25">
      <c r="A37" s="359" t="s">
        <v>235</v>
      </c>
      <c r="B37" s="358" t="s">
        <v>271</v>
      </c>
      <c r="C37" s="370"/>
      <c r="D37" s="367">
        <v>0.65138888888888891</v>
      </c>
      <c r="E37" s="371">
        <v>51.738840000000003</v>
      </c>
      <c r="F37" s="358"/>
      <c r="G37" s="358"/>
      <c r="H37" s="358"/>
      <c r="I37" s="365" t="s">
        <v>94</v>
      </c>
      <c r="J37" s="358">
        <f>IF(ISERROR(VLOOKUP(I37,Max_Load_France!$B$2:$C$102,2,FALSE)/1000),"",VLOOKUP(I37,Max_Load_France!$B$2:$C$102,2,FALSE)/1000)</f>
        <v>40</v>
      </c>
      <c r="K37" s="296"/>
      <c r="L37" s="386">
        <f t="shared" si="0"/>
        <v>1.0225</v>
      </c>
      <c r="M37" s="358">
        <f>IF(VLOOKUP($I37,Max_Load_France!$B$2:$M$102,3,FALSE)="","",VLOOKUP($I37,Max_Load_France!$B$2:$M$102,3,FALSE))</f>
        <v>0</v>
      </c>
      <c r="N37" s="358">
        <f>IF(VLOOKUP($I37,Max_Load_France!$B$2:$M$102,4,FALSE)="","",VLOOKUP($I37,Max_Load_France!$B$2:$M$102,4,FALSE))</f>
        <v>0</v>
      </c>
      <c r="O37" s="358">
        <f>IF(VLOOKUP($I37,Max_Load_France!$B$2:$M$102,5,FALSE)="","",VLOOKUP($I37,Max_Load_France!$B$2:$M$102,5,FALSE))</f>
        <v>1</v>
      </c>
      <c r="P37" s="358">
        <f>IF(VLOOKUP($I37,Max_Load_France!$B$2:$M$102,6,FALSE)="","",VLOOKUP($I37,Max_Load_France!$B$2:$M$102,6,FALSE))</f>
        <v>1</v>
      </c>
      <c r="Q37" s="358">
        <f>IF(VLOOKUP($I37,Max_Load_France!$B$2:$M$102,7,FALSE)="","",VLOOKUP($I37,Max_Load_France!$B$2:$M$102,7,FALSE))</f>
        <v>1</v>
      </c>
      <c r="R37" s="358" t="str">
        <f>IF(VLOOKUP($I37,Max_Load_France!$B$2:$M$102,8,FALSE)="","",VLOOKUP($I37,Max_Load_France!$B$2:$M$102,8,FALSE))</f>
        <v/>
      </c>
      <c r="S37" s="358" t="str">
        <f>IF(VLOOKUP($I37,Max_Load_France!$B$2:$M$102,9,FALSE)="","",VLOOKUP($I37,Max_Load_France!$B$2:$M$102,9,FALSE))</f>
        <v/>
      </c>
      <c r="T37" s="358" t="str">
        <f>IF(VLOOKUP($I37,Max_Load_France!$B$2:$M$102,10,FALSE)="","",VLOOKUP($I37,Max_Load_France!$B$2:$M$102,10,FALSE))</f>
        <v/>
      </c>
      <c r="U37" s="358" t="str">
        <f>IF(VLOOKUP($I37,Max_Load_France!$B$2:$M$102,11,FALSE)="","",VLOOKUP($I37,Max_Load_France!$B$2:$M$102,11,FALSE))</f>
        <v/>
      </c>
      <c r="V37" s="359">
        <v>5</v>
      </c>
      <c r="W37" s="383">
        <f t="shared" si="8"/>
        <v>40.9</v>
      </c>
      <c r="X37" s="308">
        <v>6.1</v>
      </c>
      <c r="Y37" s="308">
        <v>11.2</v>
      </c>
      <c r="Z37" s="308">
        <v>8.1</v>
      </c>
      <c r="AA37" s="308">
        <v>7.9</v>
      </c>
      <c r="AB37" s="308">
        <v>7.6</v>
      </c>
      <c r="AC37" s="309"/>
      <c r="AD37" s="301"/>
      <c r="AE37" s="301"/>
      <c r="AF37" s="301"/>
      <c r="AG37" s="379">
        <f t="shared" si="18"/>
        <v>23.6</v>
      </c>
      <c r="AH37" s="379" t="str">
        <f t="shared" si="9"/>
        <v/>
      </c>
      <c r="AI37" s="379" t="str">
        <f t="shared" si="10"/>
        <v/>
      </c>
      <c r="AJ37" s="379" t="str">
        <f t="shared" si="11"/>
        <v/>
      </c>
      <c r="AK37" s="381">
        <f t="shared" si="1"/>
        <v>42.591043956043961</v>
      </c>
      <c r="AL37" s="354">
        <v>5.1515384615384612</v>
      </c>
      <c r="AM37" s="354">
        <v>13.027032967032968</v>
      </c>
      <c r="AN37" s="308">
        <v>7.0038351648351655</v>
      </c>
      <c r="AO37" s="308">
        <v>10.553076923076924</v>
      </c>
      <c r="AP37" s="308">
        <v>6.8555604395604393</v>
      </c>
      <c r="AQ37" s="309"/>
      <c r="AR37" s="300"/>
      <c r="AS37" s="301"/>
      <c r="AT37" s="301"/>
      <c r="AU37" s="378">
        <f t="shared" si="12"/>
        <v>24.412472527472527</v>
      </c>
      <c r="AV37" s="378" t="str">
        <f t="shared" si="13"/>
        <v/>
      </c>
      <c r="AW37" s="302"/>
      <c r="AX37" s="302"/>
      <c r="AY37" s="349" t="str">
        <f>IF($W37/$V37&lt;$BN$6,"",IF($BN37&lt;=$BN$10,IF(W37&gt;0,(AK37-W37)/W37,""),""))</f>
        <v/>
      </c>
      <c r="AZ37" s="349" t="str">
        <f>IF(M37=0,IF(AL37&lt;$BN$7,"",IF($W37/$V37&lt;$BN$6,"",IF($BN37&lt;=$BN$10,IF(X37&gt;0,(AL37-X37)/X37,""),""))),"")</f>
        <v/>
      </c>
      <c r="BA37" s="349" t="str">
        <f>IF(N37=0,IF(AM37&lt;$BN$7,"",IF($W37/$V37&lt;$BN$6,"",IF($BN37&lt;=$BN$10,IF(Y37&gt;0,(AM37-Y37)/Y37,""),""))),"")</f>
        <v/>
      </c>
      <c r="BB37" s="349" t="str">
        <f>IF(O37=0,IF(AN37&lt;$BN$7,"",IF($W37/$V37&lt;$BN$6,"",IF($BN37&lt;=$BN$10,IF(Z37&gt;0,(AN37-Z37)/Z37,""),""))),"")</f>
        <v/>
      </c>
      <c r="BC37" s="349" t="str">
        <f>IF(P37=0,IF(AO37&lt;$BN$7,"",IF($W37/$V37&lt;$BN$6,"",IF($BN37&lt;=$BN$10,IF(AA37&gt;0,(AO37-AA37)/AA37,""),""))),"")</f>
        <v/>
      </c>
      <c r="BD37" s="349" t="str">
        <f>IF(Q37=0,IF(AP37&lt;$BN$7,"",IF($W37/$V37&lt;$BN$6,"",IF($BN37&lt;=$BN$10,IF(AB37&gt;0,(AP37-AB37)/AB37,""),""))),"")</f>
        <v/>
      </c>
      <c r="BE37" s="349" t="str">
        <f>IF(N37&gt;0,IF(AM37&lt;$BN$7,"",IF($W37/$V37&lt;$BN$6,"",IF($BN37&lt;=$BN$10,IF(Y37&gt;0,(AM37-Y37)/Y37,""),""))),"")</f>
        <v/>
      </c>
      <c r="BF37" s="349" t="str">
        <f>IF(O37&gt;0,IF(AN37&lt;$BN$7,"",IF($W37/$V37&lt;$BN$6,"",IF($BN37&lt;=$BN$10,IF(Z37&gt;0,(AN37-Z37)/Z37,""),""))),"")</f>
        <v/>
      </c>
      <c r="BG37" s="349" t="str">
        <f>IF(P37&gt;0,IF(AO37&lt;$BN$7,"",IF($W37/$V37&lt;$BN$6,"",IF($BN37&lt;=$BN$10,IF(AA37&gt;0,(AO37-AA37)/AA37,""),""))),"")</f>
        <v/>
      </c>
      <c r="BH37" s="349" t="str">
        <f>IF(Q37&gt;0,IF(AP37&lt;$BN$7,"",IF($W37/$V37&lt;$BN$6,"",IF($BN37&lt;=$BN$10,IF(AB37&gt;0,(AP37-AB37)/AB37,""),""))),"")</f>
        <v/>
      </c>
      <c r="BI37" s="349" t="str">
        <f>IF(R37&gt;0,IF(AQ37&lt;$BN$7,"",IF($W37/$V37&lt;$BN$6,"",IF($BN37&lt;=$BN$10,IF(AC37&gt;0,(AQ37-AC37)/AC37,""),""))),"")</f>
        <v/>
      </c>
      <c r="BJ37" s="349" t="b">
        <f>IF(AG37&lt;$BN$6*2,"",IF($BN37&lt;=$BN$10,IF($BN37&lt;=$BN$10,IF(AG37&lt;&gt;"",(AU37-AG37)/AG37,""),"")))</f>
        <v>0</v>
      </c>
      <c r="BK37" s="349" t="str">
        <f>IF(AH37&lt;$BN$6*2,"",IF($BN37&lt;=$BN$10,IF(AH37&lt;&gt;"",(AV37-AH37)/AH37,""),""))</f>
        <v/>
      </c>
      <c r="BL37" s="375" t="str">
        <f t="shared" si="22"/>
        <v/>
      </c>
      <c r="BM37" s="376" t="str">
        <f t="shared" si="22"/>
        <v/>
      </c>
      <c r="BN37" s="374">
        <v>379.10899999999998</v>
      </c>
      <c r="BO37" s="334"/>
      <c r="BP37" s="94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</row>
    <row r="38" spans="1:79" s="89" customFormat="1" ht="11.25">
      <c r="A38" s="359" t="s">
        <v>236</v>
      </c>
      <c r="B38" s="358" t="s">
        <v>272</v>
      </c>
      <c r="C38" s="370"/>
      <c r="D38" s="367">
        <v>0.65694444444444444</v>
      </c>
      <c r="E38" s="371">
        <v>62.217719999999993</v>
      </c>
      <c r="F38" s="358"/>
      <c r="G38" s="358"/>
      <c r="H38" s="358"/>
      <c r="I38" s="365" t="s">
        <v>94</v>
      </c>
      <c r="J38" s="358">
        <f>IF(ISERROR(VLOOKUP(I38,Max_Load_France!$B$2:$C$102,2,FALSE)/1000),"",VLOOKUP(I38,Max_Load_France!$B$2:$C$102,2,FALSE)/1000)</f>
        <v>40</v>
      </c>
      <c r="K38" s="296"/>
      <c r="L38" s="386">
        <f>W38/J38</f>
        <v>0.68500000000000005</v>
      </c>
      <c r="M38" s="358">
        <f>IF(VLOOKUP($I38,Max_Load_France!$B$2:$M$102,3,FALSE)="","",VLOOKUP($I38,Max_Load_France!$B$2:$M$102,3,FALSE))</f>
        <v>0</v>
      </c>
      <c r="N38" s="358">
        <f>IF(VLOOKUP($I38,Max_Load_France!$B$2:$M$102,4,FALSE)="","",VLOOKUP($I38,Max_Load_France!$B$2:$M$102,4,FALSE))</f>
        <v>0</v>
      </c>
      <c r="O38" s="358">
        <f>IF(VLOOKUP($I38,Max_Load_France!$B$2:$M$102,5,FALSE)="","",VLOOKUP($I38,Max_Load_France!$B$2:$M$102,5,FALSE))</f>
        <v>1</v>
      </c>
      <c r="P38" s="358">
        <f>IF(VLOOKUP($I38,Max_Load_France!$B$2:$M$102,6,FALSE)="","",VLOOKUP($I38,Max_Load_France!$B$2:$M$102,6,FALSE))</f>
        <v>1</v>
      </c>
      <c r="Q38" s="358">
        <f>IF(VLOOKUP($I38,Max_Load_France!$B$2:$M$102,7,FALSE)="","",VLOOKUP($I38,Max_Load_France!$B$2:$M$102,7,FALSE))</f>
        <v>1</v>
      </c>
      <c r="R38" s="358" t="str">
        <f>IF(VLOOKUP($I38,Max_Load_France!$B$2:$M$102,8,FALSE)="","",VLOOKUP($I38,Max_Load_France!$B$2:$M$102,8,FALSE))</f>
        <v/>
      </c>
      <c r="S38" s="358" t="str">
        <f>IF(VLOOKUP($I38,Max_Load_France!$B$2:$M$102,9,FALSE)="","",VLOOKUP($I38,Max_Load_France!$B$2:$M$102,9,FALSE))</f>
        <v/>
      </c>
      <c r="T38" s="358" t="str">
        <f>IF(VLOOKUP($I38,Max_Load_France!$B$2:$M$102,10,FALSE)="","",VLOOKUP($I38,Max_Load_France!$B$2:$M$102,10,FALSE))</f>
        <v/>
      </c>
      <c r="U38" s="358" t="str">
        <f>IF(VLOOKUP($I38,Max_Load_France!$B$2:$M$102,11,FALSE)="","",VLOOKUP($I38,Max_Load_France!$B$2:$M$102,11,FALSE))</f>
        <v/>
      </c>
      <c r="V38" s="359">
        <v>5</v>
      </c>
      <c r="W38" s="383">
        <f t="shared" si="8"/>
        <v>27.400000000000002</v>
      </c>
      <c r="X38" s="308">
        <v>6.5</v>
      </c>
      <c r="Y38" s="308">
        <v>6.5</v>
      </c>
      <c r="Z38" s="308">
        <v>4.8</v>
      </c>
      <c r="AA38" s="308">
        <v>4.8</v>
      </c>
      <c r="AB38" s="308">
        <v>4.8</v>
      </c>
      <c r="AC38" s="309"/>
      <c r="AD38" s="301"/>
      <c r="AE38" s="301"/>
      <c r="AF38" s="301"/>
      <c r="AG38" s="379">
        <f t="shared" si="18"/>
        <v>14.399999999999999</v>
      </c>
      <c r="AH38" s="379" t="str">
        <f t="shared" si="9"/>
        <v/>
      </c>
      <c r="AI38" s="379" t="str">
        <f t="shared" si="10"/>
        <v/>
      </c>
      <c r="AJ38" s="379" t="str">
        <f t="shared" si="11"/>
        <v/>
      </c>
      <c r="AK38" s="381">
        <f t="shared" si="1"/>
        <v>24.948857142857143</v>
      </c>
      <c r="AL38" s="354">
        <v>5.2198571428571432</v>
      </c>
      <c r="AM38" s="354">
        <v>7.155626373626375</v>
      </c>
      <c r="AN38" s="308">
        <v>2.6979010989010987</v>
      </c>
      <c r="AO38" s="308">
        <v>5.6180659340659345</v>
      </c>
      <c r="AP38" s="308">
        <v>4.2574065934065937</v>
      </c>
      <c r="AQ38" s="309"/>
      <c r="AR38" s="300"/>
      <c r="AS38" s="301"/>
      <c r="AT38" s="301"/>
      <c r="AU38" s="378">
        <f t="shared" si="12"/>
        <v>12.573373626373627</v>
      </c>
      <c r="AV38" s="378" t="str">
        <f t="shared" si="13"/>
        <v/>
      </c>
      <c r="AW38" s="302"/>
      <c r="AX38" s="302"/>
      <c r="AY38" s="349">
        <f t="shared" si="19"/>
        <v>-8.9457768508863458E-2</v>
      </c>
      <c r="AZ38" s="349">
        <f t="shared" si="16"/>
        <v>-0.1969450549450549</v>
      </c>
      <c r="BA38" s="349">
        <f t="shared" si="16"/>
        <v>0.10086559594251923</v>
      </c>
      <c r="BB38" s="349" t="str">
        <f t="shared" si="16"/>
        <v/>
      </c>
      <c r="BC38" s="349" t="str">
        <f t="shared" si="16"/>
        <v/>
      </c>
      <c r="BD38" s="349" t="str">
        <f t="shared" si="16"/>
        <v/>
      </c>
      <c r="BE38" s="349" t="str">
        <f t="shared" si="17"/>
        <v/>
      </c>
      <c r="BF38" s="349">
        <f t="shared" si="17"/>
        <v>-0.43793727106227109</v>
      </c>
      <c r="BG38" s="349">
        <f t="shared" si="17"/>
        <v>0.17043040293040307</v>
      </c>
      <c r="BH38" s="349">
        <f t="shared" si="17"/>
        <v>-0.11304029304029295</v>
      </c>
      <c r="BI38" s="349" t="str">
        <f t="shared" si="17"/>
        <v/>
      </c>
      <c r="BJ38" s="349">
        <f t="shared" si="20"/>
        <v>-0.12684905372405361</v>
      </c>
      <c r="BK38" s="349" t="str">
        <f t="shared" si="21"/>
        <v/>
      </c>
      <c r="BL38" s="375" t="str">
        <f t="shared" si="22"/>
        <v/>
      </c>
      <c r="BM38" s="376" t="str">
        <f t="shared" si="22"/>
        <v/>
      </c>
      <c r="BN38" s="374">
        <v>38.327399999999997</v>
      </c>
      <c r="BO38" s="334"/>
      <c r="BP38" s="94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</row>
    <row r="39" spans="1:79" s="89" customFormat="1" ht="11.25">
      <c r="A39" s="359" t="s">
        <v>237</v>
      </c>
      <c r="B39" s="358" t="s">
        <v>273</v>
      </c>
      <c r="C39" s="370"/>
      <c r="D39" s="367">
        <v>0.65833333333333333</v>
      </c>
      <c r="E39" s="371">
        <v>64.391400000000004</v>
      </c>
      <c r="F39" s="358"/>
      <c r="G39" s="358"/>
      <c r="H39" s="358"/>
      <c r="I39" s="365" t="s">
        <v>94</v>
      </c>
      <c r="J39" s="358">
        <f>IF(ISERROR(VLOOKUP(I39,Max_Load_France!$B$2:$C$102,2,FALSE)/1000),"",VLOOKUP(I39,Max_Load_France!$B$2:$C$102,2,FALSE)/1000)</f>
        <v>40</v>
      </c>
      <c r="K39" s="296"/>
      <c r="L39" s="386">
        <f>W39/J39</f>
        <v>0.97499999999999998</v>
      </c>
      <c r="M39" s="358">
        <f>IF(VLOOKUP($I39,Max_Load_France!$B$2:$M$102,3,FALSE)="","",VLOOKUP($I39,Max_Load_France!$B$2:$M$102,3,FALSE))</f>
        <v>0</v>
      </c>
      <c r="N39" s="358">
        <f>IF(VLOOKUP($I39,Max_Load_France!$B$2:$M$102,4,FALSE)="","",VLOOKUP($I39,Max_Load_France!$B$2:$M$102,4,FALSE))</f>
        <v>0</v>
      </c>
      <c r="O39" s="358">
        <f>IF(VLOOKUP($I39,Max_Load_France!$B$2:$M$102,5,FALSE)="","",VLOOKUP($I39,Max_Load_France!$B$2:$M$102,5,FALSE))</f>
        <v>1</v>
      </c>
      <c r="P39" s="358">
        <f>IF(VLOOKUP($I39,Max_Load_France!$B$2:$M$102,6,FALSE)="","",VLOOKUP($I39,Max_Load_France!$B$2:$M$102,6,FALSE))</f>
        <v>1</v>
      </c>
      <c r="Q39" s="358">
        <f>IF(VLOOKUP($I39,Max_Load_France!$B$2:$M$102,7,FALSE)="","",VLOOKUP($I39,Max_Load_France!$B$2:$M$102,7,FALSE))</f>
        <v>1</v>
      </c>
      <c r="R39" s="358" t="str">
        <f>IF(VLOOKUP($I39,Max_Load_France!$B$2:$M$102,8,FALSE)="","",VLOOKUP($I39,Max_Load_France!$B$2:$M$102,8,FALSE))</f>
        <v/>
      </c>
      <c r="S39" s="358" t="str">
        <f>IF(VLOOKUP($I39,Max_Load_France!$B$2:$M$102,9,FALSE)="","",VLOOKUP($I39,Max_Load_France!$B$2:$M$102,9,FALSE))</f>
        <v/>
      </c>
      <c r="T39" s="358" t="str">
        <f>IF(VLOOKUP($I39,Max_Load_France!$B$2:$M$102,10,FALSE)="","",VLOOKUP($I39,Max_Load_France!$B$2:$M$102,10,FALSE))</f>
        <v/>
      </c>
      <c r="U39" s="358" t="str">
        <f>IF(VLOOKUP($I39,Max_Load_France!$B$2:$M$102,11,FALSE)="","",VLOOKUP($I39,Max_Load_France!$B$2:$M$102,11,FALSE))</f>
        <v/>
      </c>
      <c r="V39" s="359">
        <v>5</v>
      </c>
      <c r="W39" s="383">
        <f t="shared" si="8"/>
        <v>39</v>
      </c>
      <c r="X39" s="308">
        <v>7</v>
      </c>
      <c r="Y39" s="308">
        <v>11.2</v>
      </c>
      <c r="Z39" s="308">
        <v>6.8</v>
      </c>
      <c r="AA39" s="308">
        <v>7</v>
      </c>
      <c r="AB39" s="308">
        <v>7</v>
      </c>
      <c r="AC39" s="309"/>
      <c r="AD39" s="301"/>
      <c r="AE39" s="301"/>
      <c r="AF39" s="301"/>
      <c r="AG39" s="379">
        <f t="shared" si="18"/>
        <v>20.8</v>
      </c>
      <c r="AH39" s="379" t="str">
        <f t="shared" si="9"/>
        <v/>
      </c>
      <c r="AI39" s="379" t="str">
        <f t="shared" si="10"/>
        <v/>
      </c>
      <c r="AJ39" s="379" t="str">
        <f t="shared" si="11"/>
        <v/>
      </c>
      <c r="AK39" s="381">
        <f t="shared" si="1"/>
        <v>40.801956043956046</v>
      </c>
      <c r="AL39" s="354">
        <v>5.1714945054945058</v>
      </c>
      <c r="AM39" s="354">
        <v>13.774945054945055</v>
      </c>
      <c r="AN39" s="308">
        <v>6.3667472527472526</v>
      </c>
      <c r="AO39" s="308">
        <v>7.7287032967032969</v>
      </c>
      <c r="AP39" s="308">
        <v>7.7600659340659348</v>
      </c>
      <c r="AQ39" s="309"/>
      <c r="AR39" s="300"/>
      <c r="AS39" s="301"/>
      <c r="AT39" s="301"/>
      <c r="AU39" s="378">
        <f t="shared" si="12"/>
        <v>21.855516483516485</v>
      </c>
      <c r="AV39" s="378" t="str">
        <f t="shared" si="13"/>
        <v/>
      </c>
      <c r="AW39" s="302"/>
      <c r="AX39" s="302"/>
      <c r="AY39" s="349">
        <f t="shared" si="19"/>
        <v>4.6204001127078113E-2</v>
      </c>
      <c r="AZ39" s="349">
        <f t="shared" si="16"/>
        <v>-0.26121507064364202</v>
      </c>
      <c r="BA39" s="349">
        <f t="shared" si="16"/>
        <v>0.22990580847723716</v>
      </c>
      <c r="BB39" s="349" t="str">
        <f t="shared" si="16"/>
        <v/>
      </c>
      <c r="BC39" s="349" t="str">
        <f t="shared" si="16"/>
        <v/>
      </c>
      <c r="BD39" s="349" t="str">
        <f t="shared" si="16"/>
        <v/>
      </c>
      <c r="BE39" s="349" t="str">
        <f t="shared" si="17"/>
        <v/>
      </c>
      <c r="BF39" s="349">
        <f t="shared" si="17"/>
        <v>-6.3713639301874597E-2</v>
      </c>
      <c r="BG39" s="349">
        <f t="shared" si="17"/>
        <v>0.10410047095761385</v>
      </c>
      <c r="BH39" s="349">
        <f t="shared" si="17"/>
        <v>0.10858084772370498</v>
      </c>
      <c r="BI39" s="349" t="str">
        <f t="shared" si="17"/>
        <v/>
      </c>
      <c r="BJ39" s="349">
        <f t="shared" si="20"/>
        <v>5.074598478444637E-2</v>
      </c>
      <c r="BK39" s="349" t="str">
        <f t="shared" si="21"/>
        <v/>
      </c>
      <c r="BL39" s="375" t="str">
        <f t="shared" si="22"/>
        <v/>
      </c>
      <c r="BM39" s="376" t="str">
        <f t="shared" si="22"/>
        <v/>
      </c>
      <c r="BN39" s="374">
        <v>118.904</v>
      </c>
      <c r="BO39" s="334"/>
      <c r="BP39" s="94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</row>
    <row r="40" spans="1:79" s="89" customFormat="1" ht="11.25">
      <c r="A40" s="359" t="s">
        <v>238</v>
      </c>
      <c r="B40" s="358" t="s">
        <v>274</v>
      </c>
      <c r="C40" s="370"/>
      <c r="D40" s="367">
        <v>0.66180555555555554</v>
      </c>
      <c r="E40" s="371">
        <v>56.932920000000003</v>
      </c>
      <c r="F40" s="358"/>
      <c r="G40" s="358"/>
      <c r="H40" s="358"/>
      <c r="I40" s="365" t="s">
        <v>94</v>
      </c>
      <c r="J40" s="358">
        <f>IF(ISERROR(VLOOKUP(I40,Max_Load_France!$B$2:$C$102,2,FALSE)/1000),"",VLOOKUP(I40,Max_Load_France!$B$2:$C$102,2,FALSE)/1000)</f>
        <v>40</v>
      </c>
      <c r="K40" s="296"/>
      <c r="L40" s="386">
        <f t="shared" ref="L40:L47" si="23">W40/J40</f>
        <v>0.86250000000000004</v>
      </c>
      <c r="M40" s="358">
        <f>IF(VLOOKUP($I40,Max_Load_France!$B$2:$M$102,3,FALSE)="","",VLOOKUP($I40,Max_Load_France!$B$2:$M$102,3,FALSE))</f>
        <v>0</v>
      </c>
      <c r="N40" s="358">
        <f>IF(VLOOKUP($I40,Max_Load_France!$B$2:$M$102,4,FALSE)="","",VLOOKUP($I40,Max_Load_France!$B$2:$M$102,4,FALSE))</f>
        <v>0</v>
      </c>
      <c r="O40" s="358">
        <f>IF(VLOOKUP($I40,Max_Load_France!$B$2:$M$102,5,FALSE)="","",VLOOKUP($I40,Max_Load_France!$B$2:$M$102,5,FALSE))</f>
        <v>1</v>
      </c>
      <c r="P40" s="358">
        <f>IF(VLOOKUP($I40,Max_Load_France!$B$2:$M$102,6,FALSE)="","",VLOOKUP($I40,Max_Load_France!$B$2:$M$102,6,FALSE))</f>
        <v>1</v>
      </c>
      <c r="Q40" s="358">
        <f>IF(VLOOKUP($I40,Max_Load_France!$B$2:$M$102,7,FALSE)="","",VLOOKUP($I40,Max_Load_France!$B$2:$M$102,7,FALSE))</f>
        <v>1</v>
      </c>
      <c r="R40" s="358" t="str">
        <f>IF(VLOOKUP($I40,Max_Load_France!$B$2:$M$102,8,FALSE)="","",VLOOKUP($I40,Max_Load_France!$B$2:$M$102,8,FALSE))</f>
        <v/>
      </c>
      <c r="S40" s="358" t="str">
        <f>IF(VLOOKUP($I40,Max_Load_France!$B$2:$M$102,9,FALSE)="","",VLOOKUP($I40,Max_Load_France!$B$2:$M$102,9,FALSE))</f>
        <v/>
      </c>
      <c r="T40" s="358" t="str">
        <f>IF(VLOOKUP($I40,Max_Load_France!$B$2:$M$102,10,FALSE)="","",VLOOKUP($I40,Max_Load_France!$B$2:$M$102,10,FALSE))</f>
        <v/>
      </c>
      <c r="U40" s="358" t="str">
        <f>IF(VLOOKUP($I40,Max_Load_France!$B$2:$M$102,11,FALSE)="","",VLOOKUP($I40,Max_Load_France!$B$2:$M$102,11,FALSE))</f>
        <v/>
      </c>
      <c r="V40" s="359">
        <v>5</v>
      </c>
      <c r="W40" s="383">
        <f t="shared" si="8"/>
        <v>34.5</v>
      </c>
      <c r="X40" s="308">
        <v>8.5</v>
      </c>
      <c r="Y40" s="308">
        <v>12.1</v>
      </c>
      <c r="Z40" s="308">
        <v>4.7</v>
      </c>
      <c r="AA40" s="308">
        <v>4.8</v>
      </c>
      <c r="AB40" s="308">
        <v>4.4000000000000004</v>
      </c>
      <c r="AC40" s="309"/>
      <c r="AD40" s="301"/>
      <c r="AE40" s="301"/>
      <c r="AF40" s="301"/>
      <c r="AG40" s="379">
        <f t="shared" si="18"/>
        <v>13.9</v>
      </c>
      <c r="AH40" s="379" t="str">
        <f t="shared" si="9"/>
        <v/>
      </c>
      <c r="AI40" s="379" t="str">
        <f t="shared" si="10"/>
        <v/>
      </c>
      <c r="AJ40" s="379" t="str">
        <f t="shared" si="11"/>
        <v/>
      </c>
      <c r="AK40" s="381">
        <f t="shared" si="1"/>
        <v>40.544439560439564</v>
      </c>
      <c r="AL40" s="354">
        <v>7.8431098901098899</v>
      </c>
      <c r="AM40" s="354">
        <v>14.091428571428573</v>
      </c>
      <c r="AN40" s="308">
        <v>5.6586923076923084</v>
      </c>
      <c r="AO40" s="308">
        <v>6.291956043956044</v>
      </c>
      <c r="AP40" s="308">
        <v>6.6592527472527481</v>
      </c>
      <c r="AQ40" s="309"/>
      <c r="AR40" s="300"/>
      <c r="AS40" s="301"/>
      <c r="AT40" s="301"/>
      <c r="AU40" s="378">
        <f t="shared" si="12"/>
        <v>18.609901098901101</v>
      </c>
      <c r="AV40" s="378" t="str">
        <f t="shared" si="13"/>
        <v/>
      </c>
      <c r="AW40" s="302"/>
      <c r="AX40" s="302"/>
      <c r="AY40" s="349" t="str">
        <f>IF($W40/$V40&lt;$BN$6,"",IF($BN40&lt;$BN$10,IF(W40&gt;0,(AK40-W40)/W40,""),""))</f>
        <v/>
      </c>
      <c r="AZ40" s="349" t="str">
        <f t="shared" si="16"/>
        <v/>
      </c>
      <c r="BA40" s="349" t="str">
        <f t="shared" si="16"/>
        <v/>
      </c>
      <c r="BB40" s="349" t="str">
        <f t="shared" si="16"/>
        <v/>
      </c>
      <c r="BC40" s="349" t="str">
        <f t="shared" si="16"/>
        <v/>
      </c>
      <c r="BD40" s="349" t="str">
        <f t="shared" si="16"/>
        <v/>
      </c>
      <c r="BE40" s="349" t="str">
        <f t="shared" si="17"/>
        <v/>
      </c>
      <c r="BF40" s="349" t="str">
        <f t="shared" si="17"/>
        <v/>
      </c>
      <c r="BG40" s="349" t="str">
        <f t="shared" si="17"/>
        <v/>
      </c>
      <c r="BH40" s="349" t="str">
        <f t="shared" si="17"/>
        <v/>
      </c>
      <c r="BI40" s="349" t="str">
        <f t="shared" si="17"/>
        <v/>
      </c>
      <c r="BJ40" s="349" t="b">
        <f>IF($W40/$V40&lt;$BN$6,"",IF(AG40&lt;$BN$6*2,"",IF($BN40&lt;$BN$10,IF($BN40&lt;$BN$10,IF(AG40&lt;&gt;"",(AU40-AG40)/AG40,""),""))))</f>
        <v>0</v>
      </c>
      <c r="BK40" s="349" t="str">
        <f t="shared" si="21"/>
        <v/>
      </c>
      <c r="BL40" s="375" t="str">
        <f t="shared" si="22"/>
        <v/>
      </c>
      <c r="BM40" s="376" t="str">
        <f t="shared" si="22"/>
        <v/>
      </c>
      <c r="BN40" s="374">
        <v>161.964</v>
      </c>
      <c r="BO40" s="334"/>
      <c r="BP40" s="94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</row>
    <row r="41" spans="1:79" s="89" customFormat="1" ht="11.25">
      <c r="A41" s="359" t="s">
        <v>239</v>
      </c>
      <c r="B41" s="358" t="s">
        <v>275</v>
      </c>
      <c r="C41" s="370"/>
      <c r="D41" s="367">
        <v>0.66527777777777775</v>
      </c>
      <c r="E41" s="371">
        <v>54.613440000000004</v>
      </c>
      <c r="F41" s="358"/>
      <c r="G41" s="358"/>
      <c r="H41" s="358"/>
      <c r="I41" s="365" t="s">
        <v>94</v>
      </c>
      <c r="J41" s="358">
        <f>IF(ISERROR(VLOOKUP(I41,Max_Load_France!$B$2:$C$102,2,FALSE)/1000),"",VLOOKUP(I41,Max_Load_France!$B$2:$C$102,2,FALSE)/1000)</f>
        <v>40</v>
      </c>
      <c r="K41" s="296"/>
      <c r="L41" s="386">
        <f t="shared" si="23"/>
        <v>1.0250000000000001</v>
      </c>
      <c r="M41" s="358">
        <f>IF(VLOOKUP($I41,Max_Load_France!$B$2:$M$102,3,FALSE)="","",VLOOKUP($I41,Max_Load_France!$B$2:$M$102,3,FALSE))</f>
        <v>0</v>
      </c>
      <c r="N41" s="358">
        <f>IF(VLOOKUP($I41,Max_Load_France!$B$2:$M$102,4,FALSE)="","",VLOOKUP($I41,Max_Load_France!$B$2:$M$102,4,FALSE))</f>
        <v>0</v>
      </c>
      <c r="O41" s="358">
        <f>IF(VLOOKUP($I41,Max_Load_France!$B$2:$M$102,5,FALSE)="","",VLOOKUP($I41,Max_Load_France!$B$2:$M$102,5,FALSE))</f>
        <v>1</v>
      </c>
      <c r="P41" s="358">
        <f>IF(VLOOKUP($I41,Max_Load_France!$B$2:$M$102,6,FALSE)="","",VLOOKUP($I41,Max_Load_France!$B$2:$M$102,6,FALSE))</f>
        <v>1</v>
      </c>
      <c r="Q41" s="358">
        <f>IF(VLOOKUP($I41,Max_Load_France!$B$2:$M$102,7,FALSE)="","",VLOOKUP($I41,Max_Load_France!$B$2:$M$102,7,FALSE))</f>
        <v>1</v>
      </c>
      <c r="R41" s="358" t="str">
        <f>IF(VLOOKUP($I41,Max_Load_France!$B$2:$M$102,8,FALSE)="","",VLOOKUP($I41,Max_Load_France!$B$2:$M$102,8,FALSE))</f>
        <v/>
      </c>
      <c r="S41" s="358" t="str">
        <f>IF(VLOOKUP($I41,Max_Load_France!$B$2:$M$102,9,FALSE)="","",VLOOKUP($I41,Max_Load_France!$B$2:$M$102,9,FALSE))</f>
        <v/>
      </c>
      <c r="T41" s="358" t="str">
        <f>IF(VLOOKUP($I41,Max_Load_France!$B$2:$M$102,10,FALSE)="","",VLOOKUP($I41,Max_Load_France!$B$2:$M$102,10,FALSE))</f>
        <v/>
      </c>
      <c r="U41" s="358" t="str">
        <f>IF(VLOOKUP($I41,Max_Load_France!$B$2:$M$102,11,FALSE)="","",VLOOKUP($I41,Max_Load_France!$B$2:$M$102,11,FALSE))</f>
        <v/>
      </c>
      <c r="V41" s="359">
        <v>5</v>
      </c>
      <c r="W41" s="383">
        <f t="shared" si="8"/>
        <v>41.000000000000007</v>
      </c>
      <c r="X41" s="308">
        <v>6.7</v>
      </c>
      <c r="Y41" s="308">
        <v>12.4</v>
      </c>
      <c r="Z41" s="308">
        <v>7.5</v>
      </c>
      <c r="AA41" s="308">
        <v>7.2</v>
      </c>
      <c r="AB41" s="308">
        <v>7.2</v>
      </c>
      <c r="AC41" s="309"/>
      <c r="AD41" s="301"/>
      <c r="AE41" s="301"/>
      <c r="AF41" s="301"/>
      <c r="AG41" s="379">
        <f t="shared" si="18"/>
        <v>21.9</v>
      </c>
      <c r="AH41" s="379" t="str">
        <f t="shared" si="9"/>
        <v/>
      </c>
      <c r="AI41" s="379"/>
      <c r="AJ41" s="379"/>
      <c r="AK41" s="381">
        <f t="shared" si="1"/>
        <v>52.801252747252754</v>
      </c>
      <c r="AL41" s="354">
        <v>7.0694945054945064</v>
      </c>
      <c r="AM41" s="354">
        <v>17.787142857142857</v>
      </c>
      <c r="AN41" s="308">
        <v>10.446241758241758</v>
      </c>
      <c r="AO41" s="308">
        <v>5.7224395604395601</v>
      </c>
      <c r="AP41" s="308">
        <v>11.775934065934067</v>
      </c>
      <c r="AQ41" s="309"/>
      <c r="AR41" s="300"/>
      <c r="AS41" s="301"/>
      <c r="AT41" s="301"/>
      <c r="AU41" s="378">
        <f t="shared" si="12"/>
        <v>27.944615384615386</v>
      </c>
      <c r="AV41" s="378" t="str">
        <f t="shared" si="13"/>
        <v/>
      </c>
      <c r="AW41" s="302"/>
      <c r="AX41" s="302"/>
      <c r="AY41" s="349" t="str">
        <f t="shared" si="19"/>
        <v/>
      </c>
      <c r="AZ41" s="349" t="str">
        <f t="shared" si="16"/>
        <v/>
      </c>
      <c r="BA41" s="349" t="str">
        <f t="shared" si="16"/>
        <v/>
      </c>
      <c r="BB41" s="349" t="str">
        <f t="shared" si="16"/>
        <v/>
      </c>
      <c r="BC41" s="349" t="str">
        <f t="shared" si="16"/>
        <v/>
      </c>
      <c r="BD41" s="349" t="str">
        <f t="shared" si="16"/>
        <v/>
      </c>
      <c r="BE41" s="349" t="str">
        <f t="shared" si="17"/>
        <v/>
      </c>
      <c r="BF41" s="349" t="str">
        <f t="shared" si="17"/>
        <v/>
      </c>
      <c r="BG41" s="349" t="str">
        <f t="shared" si="17"/>
        <v/>
      </c>
      <c r="BH41" s="349" t="str">
        <f t="shared" si="17"/>
        <v/>
      </c>
      <c r="BI41" s="349" t="str">
        <f t="shared" si="17"/>
        <v/>
      </c>
      <c r="BJ41" s="349" t="b">
        <f>IF(AG41&lt;$BN$6*2,"",IF($BN41&lt;$BN$10,IF($BN41&lt;$BN$10,IF(AG41&lt;&gt;"",(AU41-AG41)/AG41,""),"")))</f>
        <v>0</v>
      </c>
      <c r="BK41" s="349" t="str">
        <f t="shared" si="21"/>
        <v/>
      </c>
      <c r="BL41" s="375" t="str">
        <f t="shared" si="22"/>
        <v/>
      </c>
      <c r="BM41" s="376" t="str">
        <f t="shared" si="22"/>
        <v/>
      </c>
      <c r="BN41" s="374">
        <v>136.47499999999999</v>
      </c>
      <c r="BO41" s="334"/>
      <c r="BP41" s="94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</row>
    <row r="42" spans="1:79" s="89" customFormat="1" ht="11.25">
      <c r="A42" s="359" t="s">
        <v>240</v>
      </c>
      <c r="B42" s="358" t="s">
        <v>276</v>
      </c>
      <c r="C42" s="370"/>
      <c r="D42" s="367">
        <v>0.66736111111111107</v>
      </c>
      <c r="E42" s="371">
        <v>66.722039999999993</v>
      </c>
      <c r="F42" s="358"/>
      <c r="G42" s="358"/>
      <c r="H42" s="358"/>
      <c r="I42" s="365" t="s">
        <v>108</v>
      </c>
      <c r="J42" s="358">
        <f>IF(ISERROR(VLOOKUP(I42,Max_Load_France!$B$2:$C$102,2,FALSE)/1000),"",VLOOKUP(I42,Max_Load_France!$B$2:$C$102,2,FALSE)/1000)</f>
        <v>26</v>
      </c>
      <c r="K42" s="296"/>
      <c r="L42" s="386">
        <f t="shared" si="23"/>
        <v>0.73076923076923073</v>
      </c>
      <c r="M42" s="358">
        <f>IF(VLOOKUP($I42,Max_Load_France!$B$2:$M$102,3,FALSE)="","",VLOOKUP($I42,Max_Load_France!$B$2:$M$102,3,FALSE))</f>
        <v>0</v>
      </c>
      <c r="N42" s="358">
        <f>IF(VLOOKUP($I42,Max_Load_France!$B$2:$M$102,4,FALSE)="","",VLOOKUP($I42,Max_Load_France!$B$2:$M$102,4,FALSE))</f>
        <v>1</v>
      </c>
      <c r="O42" s="358">
        <f>IF(VLOOKUP($I42,Max_Load_France!$B$2:$M$102,5,FALSE)="","",VLOOKUP($I42,Max_Load_France!$B$2:$M$102,5,FALSE))</f>
        <v>1</v>
      </c>
      <c r="P42" s="358" t="str">
        <f>IF(VLOOKUP($I42,Max_Load_France!$B$2:$M$102,6,FALSE)="","",VLOOKUP($I42,Max_Load_France!$B$2:$M$102,6,FALSE))</f>
        <v/>
      </c>
      <c r="Q42" s="358" t="str">
        <f>IF(VLOOKUP($I42,Max_Load_France!$B$2:$M$102,7,FALSE)="","",VLOOKUP($I42,Max_Load_France!$B$2:$M$102,7,FALSE))</f>
        <v/>
      </c>
      <c r="R42" s="358" t="str">
        <f>IF(VLOOKUP($I42,Max_Load_France!$B$2:$M$102,8,FALSE)="","",VLOOKUP($I42,Max_Load_France!$B$2:$M$102,8,FALSE))</f>
        <v/>
      </c>
      <c r="S42" s="358" t="str">
        <f>IF(VLOOKUP($I42,Max_Load_France!$B$2:$M$102,9,FALSE)="","",VLOOKUP($I42,Max_Load_France!$B$2:$M$102,9,FALSE))</f>
        <v/>
      </c>
      <c r="T42" s="358" t="str">
        <f>IF(VLOOKUP($I42,Max_Load_France!$B$2:$M$102,10,FALSE)="","",VLOOKUP($I42,Max_Load_France!$B$2:$M$102,10,FALSE))</f>
        <v/>
      </c>
      <c r="U42" s="358" t="str">
        <f>IF(VLOOKUP($I42,Max_Load_France!$B$2:$M$102,11,FALSE)="","",VLOOKUP($I42,Max_Load_France!$B$2:$M$102,11,FALSE))</f>
        <v/>
      </c>
      <c r="V42" s="359">
        <v>5</v>
      </c>
      <c r="W42" s="383">
        <f t="shared" si="8"/>
        <v>19</v>
      </c>
      <c r="X42" s="308">
        <v>7.5</v>
      </c>
      <c r="Y42" s="308">
        <v>7.4</v>
      </c>
      <c r="Z42" s="308">
        <v>4.0999999999999996</v>
      </c>
      <c r="AA42" s="308"/>
      <c r="AB42" s="308"/>
      <c r="AC42" s="309"/>
      <c r="AD42" s="301"/>
      <c r="AE42" s="301"/>
      <c r="AF42" s="301"/>
      <c r="AG42" s="379">
        <f t="shared" si="18"/>
        <v>11.5</v>
      </c>
      <c r="AH42" s="379" t="str">
        <f t="shared" si="9"/>
        <v/>
      </c>
      <c r="AI42" s="379"/>
      <c r="AJ42" s="379"/>
      <c r="AK42" s="381">
        <f t="shared" si="1"/>
        <v>21.988236263736265</v>
      </c>
      <c r="AL42" s="354">
        <v>8.3840000000000003</v>
      </c>
      <c r="AM42" s="354">
        <v>7.3637912087912083</v>
      </c>
      <c r="AN42" s="308">
        <v>4.6970109890109892</v>
      </c>
      <c r="AO42" s="308">
        <v>0.85127582417582426</v>
      </c>
      <c r="AP42" s="308">
        <v>0.69215824175824181</v>
      </c>
      <c r="AQ42" s="309"/>
      <c r="AR42" s="300"/>
      <c r="AS42" s="301"/>
      <c r="AT42" s="301"/>
      <c r="AU42" s="378">
        <f t="shared" si="12"/>
        <v>12.060802197802197</v>
      </c>
      <c r="AV42" s="378" t="str">
        <f t="shared" si="13"/>
        <v/>
      </c>
      <c r="AW42" s="302"/>
      <c r="AX42" s="302"/>
      <c r="AY42" s="349">
        <f t="shared" si="19"/>
        <v>0.15727559282822448</v>
      </c>
      <c r="AZ42" s="349">
        <f t="shared" si="16"/>
        <v>0.11786666666666672</v>
      </c>
      <c r="BA42" s="349" t="str">
        <f t="shared" si="16"/>
        <v/>
      </c>
      <c r="BB42" s="349" t="str">
        <f t="shared" si="16"/>
        <v/>
      </c>
      <c r="BC42" s="349" t="str">
        <f t="shared" si="16"/>
        <v/>
      </c>
      <c r="BD42" s="349" t="str">
        <f t="shared" si="16"/>
        <v/>
      </c>
      <c r="BE42" s="349">
        <f t="shared" si="17"/>
        <v>-4.8930798930800073E-3</v>
      </c>
      <c r="BF42" s="349">
        <f t="shared" si="17"/>
        <v>0.14561243634414381</v>
      </c>
      <c r="BG42" s="349" t="str">
        <f t="shared" si="17"/>
        <v/>
      </c>
      <c r="BH42" s="349" t="str">
        <f t="shared" si="17"/>
        <v/>
      </c>
      <c r="BI42" s="349" t="str">
        <f t="shared" si="17"/>
        <v/>
      </c>
      <c r="BJ42" s="349">
        <f t="shared" si="20"/>
        <v>4.8765408504538837E-2</v>
      </c>
      <c r="BK42" s="349" t="str">
        <f t="shared" si="21"/>
        <v/>
      </c>
      <c r="BL42" s="375" t="str">
        <f t="shared" si="22"/>
        <v/>
      </c>
      <c r="BM42" s="376" t="str">
        <f t="shared" si="22"/>
        <v/>
      </c>
      <c r="BN42" s="374">
        <v>42.540999999999997</v>
      </c>
      <c r="BO42" s="334"/>
      <c r="BP42" s="94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</row>
    <row r="43" spans="1:79" s="89" customFormat="1" ht="11.25">
      <c r="A43" s="359" t="s">
        <v>241</v>
      </c>
      <c r="B43" s="358" t="s">
        <v>278</v>
      </c>
      <c r="C43" s="370"/>
      <c r="D43" s="367">
        <v>0.67569444444444438</v>
      </c>
      <c r="E43" s="371">
        <v>79.705799999999996</v>
      </c>
      <c r="F43" s="358"/>
      <c r="G43" s="358"/>
      <c r="H43" s="358"/>
      <c r="I43" s="365" t="s">
        <v>94</v>
      </c>
      <c r="J43" s="358">
        <f>IF(ISERROR(VLOOKUP(I43,Max_Load_France!$B$2:$C$102,2,FALSE)/1000),"",VLOOKUP(I43,Max_Load_France!$B$2:$C$102,2,FALSE)/1000)</f>
        <v>40</v>
      </c>
      <c r="K43" s="296"/>
      <c r="L43" s="386">
        <f t="shared" si="23"/>
        <v>0.75249999999999984</v>
      </c>
      <c r="M43" s="358">
        <f>IF(VLOOKUP($I43,Max_Load_France!$B$2:$M$102,3,FALSE)="","",VLOOKUP($I43,Max_Load_France!$B$2:$M$102,3,FALSE))</f>
        <v>0</v>
      </c>
      <c r="N43" s="358">
        <f>IF(VLOOKUP($I43,Max_Load_France!$B$2:$M$102,4,FALSE)="","",VLOOKUP($I43,Max_Load_France!$B$2:$M$102,4,FALSE))</f>
        <v>0</v>
      </c>
      <c r="O43" s="358">
        <f>IF(VLOOKUP($I43,Max_Load_France!$B$2:$M$102,5,FALSE)="","",VLOOKUP($I43,Max_Load_France!$B$2:$M$102,5,FALSE))</f>
        <v>1</v>
      </c>
      <c r="P43" s="358">
        <f>IF(VLOOKUP($I43,Max_Load_France!$B$2:$M$102,6,FALSE)="","",VLOOKUP($I43,Max_Load_France!$B$2:$M$102,6,FALSE))</f>
        <v>1</v>
      </c>
      <c r="Q43" s="358">
        <f>IF(VLOOKUP($I43,Max_Load_France!$B$2:$M$102,7,FALSE)="","",VLOOKUP($I43,Max_Load_France!$B$2:$M$102,7,FALSE))</f>
        <v>1</v>
      </c>
      <c r="R43" s="358" t="str">
        <f>IF(VLOOKUP($I43,Max_Load_France!$B$2:$M$102,8,FALSE)="","",VLOOKUP($I43,Max_Load_France!$B$2:$M$102,8,FALSE))</f>
        <v/>
      </c>
      <c r="S43" s="358" t="str">
        <f>IF(VLOOKUP($I43,Max_Load_France!$B$2:$M$102,9,FALSE)="","",VLOOKUP($I43,Max_Load_France!$B$2:$M$102,9,FALSE))</f>
        <v/>
      </c>
      <c r="T43" s="358" t="str">
        <f>IF(VLOOKUP($I43,Max_Load_France!$B$2:$M$102,10,FALSE)="","",VLOOKUP($I43,Max_Load_France!$B$2:$M$102,10,FALSE))</f>
        <v/>
      </c>
      <c r="U43" s="358" t="str">
        <f>IF(VLOOKUP($I43,Max_Load_France!$B$2:$M$102,11,FALSE)="","",VLOOKUP($I43,Max_Load_France!$B$2:$M$102,11,FALSE))</f>
        <v/>
      </c>
      <c r="V43" s="359">
        <v>5</v>
      </c>
      <c r="W43" s="383">
        <f t="shared" si="8"/>
        <v>30.099999999999994</v>
      </c>
      <c r="X43" s="308">
        <v>7</v>
      </c>
      <c r="Y43" s="308">
        <v>9.9</v>
      </c>
      <c r="Z43" s="308">
        <v>4.4000000000000004</v>
      </c>
      <c r="AA43" s="308">
        <v>4.4000000000000004</v>
      </c>
      <c r="AB43" s="308">
        <v>4.4000000000000004</v>
      </c>
      <c r="AC43" s="309"/>
      <c r="AD43" s="301"/>
      <c r="AE43" s="301"/>
      <c r="AF43" s="301"/>
      <c r="AG43" s="379">
        <f t="shared" si="18"/>
        <v>13.200000000000001</v>
      </c>
      <c r="AH43" s="379" t="str">
        <f t="shared" si="9"/>
        <v/>
      </c>
      <c r="AI43" s="379"/>
      <c r="AJ43" s="379"/>
      <c r="AK43" s="381">
        <f t="shared" si="1"/>
        <v>31.37543956043956</v>
      </c>
      <c r="AL43" s="354">
        <v>6.5736263736263743</v>
      </c>
      <c r="AM43" s="354">
        <v>11.775054945054945</v>
      </c>
      <c r="AN43" s="308">
        <v>4.4511428571428571</v>
      </c>
      <c r="AO43" s="308">
        <v>3.6511648351648351</v>
      </c>
      <c r="AP43" s="308">
        <v>4.9244505494505493</v>
      </c>
      <c r="AQ43" s="309"/>
      <c r="AR43" s="300"/>
      <c r="AS43" s="301"/>
      <c r="AT43" s="301"/>
      <c r="AU43" s="378">
        <f t="shared" si="12"/>
        <v>13.026758241758241</v>
      </c>
      <c r="AV43" s="378" t="str">
        <f t="shared" si="13"/>
        <v/>
      </c>
      <c r="AW43" s="302"/>
      <c r="AX43" s="302"/>
      <c r="AY43" s="349">
        <f t="shared" si="19"/>
        <v>4.2373407323573607E-2</v>
      </c>
      <c r="AZ43" s="349">
        <f t="shared" si="16"/>
        <v>-6.0910518053375107E-2</v>
      </c>
      <c r="BA43" s="349">
        <f t="shared" si="16"/>
        <v>0.18939948939948939</v>
      </c>
      <c r="BB43" s="349" t="str">
        <f t="shared" si="16"/>
        <v/>
      </c>
      <c r="BC43" s="349" t="str">
        <f t="shared" si="16"/>
        <v/>
      </c>
      <c r="BD43" s="349" t="str">
        <f t="shared" si="16"/>
        <v/>
      </c>
      <c r="BE43" s="349" t="str">
        <f t="shared" si="17"/>
        <v/>
      </c>
      <c r="BF43" s="349">
        <f t="shared" si="17"/>
        <v>1.1623376623376525E-2</v>
      </c>
      <c r="BG43" s="349">
        <f t="shared" si="17"/>
        <v>-0.17018981018981028</v>
      </c>
      <c r="BH43" s="349">
        <f t="shared" si="17"/>
        <v>0.11919330669330656</v>
      </c>
      <c r="BI43" s="349" t="str">
        <f t="shared" si="17"/>
        <v/>
      </c>
      <c r="BJ43" s="349">
        <f t="shared" si="20"/>
        <v>-1.3124375624375758E-2</v>
      </c>
      <c r="BK43" s="349" t="str">
        <f t="shared" si="21"/>
        <v/>
      </c>
      <c r="BL43" s="375" t="str">
        <f t="shared" si="22"/>
        <v/>
      </c>
      <c r="BM43" s="376" t="str">
        <f t="shared" si="22"/>
        <v/>
      </c>
      <c r="BN43" s="374">
        <v>43.154499999999999</v>
      </c>
      <c r="BO43" s="334"/>
      <c r="BP43" s="94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</row>
    <row r="44" spans="1:79" s="89" customFormat="1" ht="11.25">
      <c r="A44" s="359" t="s">
        <v>242</v>
      </c>
      <c r="B44" s="358" t="s">
        <v>279</v>
      </c>
      <c r="C44" s="370"/>
      <c r="D44" s="307">
        <v>0.68472222222222223</v>
      </c>
      <c r="E44" s="310">
        <v>89.36712</v>
      </c>
      <c r="F44" s="296"/>
      <c r="G44" s="296"/>
      <c r="H44" s="358"/>
      <c r="I44" s="365" t="s">
        <v>94</v>
      </c>
      <c r="J44" s="358">
        <f>IF(ISERROR(VLOOKUP(I44,Max_Load_France!$B$2:$C$102,2,FALSE)/1000),"",VLOOKUP(I44,Max_Load_France!$B$2:$C$102,2,FALSE)/1000)</f>
        <v>40</v>
      </c>
      <c r="K44" s="296"/>
      <c r="L44" s="386">
        <f t="shared" si="23"/>
        <v>0.42250000000000004</v>
      </c>
      <c r="M44" s="358">
        <f>IF(VLOOKUP($I44,Max_Load_France!$B$2:$M$102,3,FALSE)="","",VLOOKUP($I44,Max_Load_France!$B$2:$M$102,3,FALSE))</f>
        <v>0</v>
      </c>
      <c r="N44" s="358">
        <f>IF(VLOOKUP($I44,Max_Load_France!$B$2:$M$102,4,FALSE)="","",VLOOKUP($I44,Max_Load_France!$B$2:$M$102,4,FALSE))</f>
        <v>0</v>
      </c>
      <c r="O44" s="358">
        <f>IF(VLOOKUP($I44,Max_Load_France!$B$2:$M$102,5,FALSE)="","",VLOOKUP($I44,Max_Load_France!$B$2:$M$102,5,FALSE))</f>
        <v>1</v>
      </c>
      <c r="P44" s="358">
        <f>IF(VLOOKUP($I44,Max_Load_France!$B$2:$M$102,6,FALSE)="","",VLOOKUP($I44,Max_Load_France!$B$2:$M$102,6,FALSE))</f>
        <v>1</v>
      </c>
      <c r="Q44" s="358">
        <f>IF(VLOOKUP($I44,Max_Load_France!$B$2:$M$102,7,FALSE)="","",VLOOKUP($I44,Max_Load_France!$B$2:$M$102,7,FALSE))</f>
        <v>1</v>
      </c>
      <c r="R44" s="358" t="str">
        <f>IF(VLOOKUP($I44,Max_Load_France!$B$2:$M$102,8,FALSE)="","",VLOOKUP($I44,Max_Load_France!$B$2:$M$102,8,FALSE))</f>
        <v/>
      </c>
      <c r="S44" s="358" t="str">
        <f>IF(VLOOKUP($I44,Max_Load_France!$B$2:$M$102,9,FALSE)="","",VLOOKUP($I44,Max_Load_France!$B$2:$M$102,9,FALSE))</f>
        <v/>
      </c>
      <c r="T44" s="358" t="str">
        <f>IF(VLOOKUP($I44,Max_Load_France!$B$2:$M$102,10,FALSE)="","",VLOOKUP($I44,Max_Load_France!$B$2:$M$102,10,FALSE))</f>
        <v/>
      </c>
      <c r="U44" s="358" t="str">
        <f>IF(VLOOKUP($I44,Max_Load_France!$B$2:$M$102,11,FALSE)="","",VLOOKUP($I44,Max_Load_France!$B$2:$M$102,11,FALSE))</f>
        <v/>
      </c>
      <c r="V44" s="359">
        <v>5</v>
      </c>
      <c r="W44" s="383">
        <f t="shared" si="8"/>
        <v>16.900000000000002</v>
      </c>
      <c r="X44" s="308">
        <v>5.7</v>
      </c>
      <c r="Y44" s="308">
        <v>4.0999999999999996</v>
      </c>
      <c r="Z44" s="308">
        <v>2.4</v>
      </c>
      <c r="AA44" s="308">
        <v>2.4</v>
      </c>
      <c r="AB44" s="308">
        <v>2.2999999999999998</v>
      </c>
      <c r="AC44" s="309"/>
      <c r="AD44" s="301"/>
      <c r="AE44" s="301"/>
      <c r="AF44" s="301"/>
      <c r="AG44" s="379">
        <f t="shared" si="18"/>
        <v>7.1</v>
      </c>
      <c r="AH44" s="379" t="str">
        <f t="shared" si="9"/>
        <v/>
      </c>
      <c r="AI44" s="379"/>
      <c r="AJ44" s="379"/>
      <c r="AK44" s="381">
        <f t="shared" si="1"/>
        <v>15.100313186813187</v>
      </c>
      <c r="AL44" s="354">
        <v>5.4254835164835162</v>
      </c>
      <c r="AM44" s="354">
        <v>4.5764725274725278</v>
      </c>
      <c r="AN44" s="308">
        <v>0.76481868131868136</v>
      </c>
      <c r="AO44" s="308">
        <v>3.0735604395604397</v>
      </c>
      <c r="AP44" s="308">
        <v>1.2599780219780221</v>
      </c>
      <c r="AQ44" s="309"/>
      <c r="AR44" s="300"/>
      <c r="AS44" s="309"/>
      <c r="AT44" s="309"/>
      <c r="AU44" s="378">
        <f t="shared" si="12"/>
        <v>5.098357142857143</v>
      </c>
      <c r="AV44" s="378" t="str">
        <f t="shared" si="13"/>
        <v/>
      </c>
      <c r="AW44" s="302"/>
      <c r="AX44" s="302"/>
      <c r="AY44" s="349">
        <f t="shared" si="19"/>
        <v>-0.10649034397555118</v>
      </c>
      <c r="AZ44" s="349">
        <f t="shared" si="16"/>
        <v>-4.8160786581839289E-2</v>
      </c>
      <c r="BA44" s="349">
        <f t="shared" si="16"/>
        <v>0.11621281157866541</v>
      </c>
      <c r="BB44" s="349" t="str">
        <f t="shared" si="16"/>
        <v/>
      </c>
      <c r="BC44" s="349" t="str">
        <f t="shared" si="16"/>
        <v/>
      </c>
      <c r="BD44" s="349" t="str">
        <f t="shared" si="16"/>
        <v/>
      </c>
      <c r="BE44" s="349" t="str">
        <f t="shared" si="17"/>
        <v/>
      </c>
      <c r="BF44" s="349" t="str">
        <f t="shared" si="17"/>
        <v/>
      </c>
      <c r="BG44" s="349">
        <f t="shared" si="17"/>
        <v>0.28065018315018325</v>
      </c>
      <c r="BH44" s="349">
        <f t="shared" si="17"/>
        <v>-0.45218346870520776</v>
      </c>
      <c r="BI44" s="349" t="str">
        <f t="shared" si="17"/>
        <v/>
      </c>
      <c r="BJ44" s="349">
        <f t="shared" si="20"/>
        <v>-0.28192152917505026</v>
      </c>
      <c r="BK44" s="349" t="str">
        <f t="shared" si="21"/>
        <v/>
      </c>
      <c r="BL44" s="375" t="str">
        <f t="shared" si="22"/>
        <v/>
      </c>
      <c r="BM44" s="376" t="str">
        <f t="shared" si="22"/>
        <v/>
      </c>
      <c r="BN44" s="374">
        <v>21.467199999999998</v>
      </c>
      <c r="BO44" s="334"/>
      <c r="BP44" s="94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</row>
    <row r="45" spans="1:79" s="89" customFormat="1">
      <c r="A45" s="359" t="s">
        <v>243</v>
      </c>
      <c r="B45" s="358" t="s">
        <v>281</v>
      </c>
      <c r="C45" s="370"/>
      <c r="D45" s="367">
        <v>0.68819444444444444</v>
      </c>
      <c r="E45" s="310">
        <v>62.217719999999993</v>
      </c>
      <c r="F45" s="358"/>
      <c r="G45" s="358"/>
      <c r="H45" s="358"/>
      <c r="I45" s="365" t="s">
        <v>130</v>
      </c>
      <c r="J45" s="358">
        <f>IF(ISERROR(VLOOKUP(I45,Max_Load_France!$B$2:$C$102,2,FALSE)/1000),"",VLOOKUP(I45,Max_Load_France!$B$2:$C$102,2,FALSE)/1000)</f>
        <v>40</v>
      </c>
      <c r="K45" s="298"/>
      <c r="L45" s="386">
        <f t="shared" si="23"/>
        <v>0.64250000000000007</v>
      </c>
      <c r="M45" s="358">
        <f>IF(VLOOKUP($I45,Max_Load_France!$B$2:$M$102,3,FALSE)="","",VLOOKUP($I45,Max_Load_France!$B$2:$M$102,3,FALSE))</f>
        <v>0</v>
      </c>
      <c r="N45" s="358">
        <f>IF(VLOOKUP($I45,Max_Load_France!$B$2:$M$102,4,FALSE)="","",VLOOKUP($I45,Max_Load_France!$B$2:$M$102,4,FALSE))</f>
        <v>1</v>
      </c>
      <c r="O45" s="358">
        <f>IF(VLOOKUP($I45,Max_Load_France!$B$2:$M$102,5,FALSE)="","",VLOOKUP($I45,Max_Load_France!$B$2:$M$102,5,FALSE))</f>
        <v>1</v>
      </c>
      <c r="P45" s="358">
        <f>IF(VLOOKUP($I45,Max_Load_France!$B$2:$M$102,6,FALSE)="","",VLOOKUP($I45,Max_Load_France!$B$2:$M$102,6,FALSE))</f>
        <v>2</v>
      </c>
      <c r="Q45" s="358">
        <f>IF(VLOOKUP($I45,Max_Load_France!$B$2:$M$102,7,FALSE)="","",VLOOKUP($I45,Max_Load_France!$B$2:$M$102,7,FALSE))</f>
        <v>2</v>
      </c>
      <c r="R45" s="358" t="str">
        <f>IF(VLOOKUP($I45,Max_Load_France!$B$2:$M$102,8,FALSE)="","",VLOOKUP($I45,Max_Load_France!$B$2:$M$102,8,FALSE))</f>
        <v/>
      </c>
      <c r="S45" s="358" t="str">
        <f>IF(VLOOKUP($I45,Max_Load_France!$B$2:$M$102,9,FALSE)="","",VLOOKUP($I45,Max_Load_France!$B$2:$M$102,9,FALSE))</f>
        <v/>
      </c>
      <c r="T45" s="358" t="str">
        <f>IF(VLOOKUP($I45,Max_Load_France!$B$2:$M$102,10,FALSE)="","",VLOOKUP($I45,Max_Load_France!$B$2:$M$102,10,FALSE))</f>
        <v/>
      </c>
      <c r="U45" s="358" t="str">
        <f>IF(VLOOKUP($I45,Max_Load_France!$B$2:$M$102,11,FALSE)="","",VLOOKUP($I45,Max_Load_France!$B$2:$M$102,11,FALSE))</f>
        <v/>
      </c>
      <c r="V45" s="359">
        <v>5</v>
      </c>
      <c r="W45" s="383">
        <f t="shared" si="8"/>
        <v>25.700000000000003</v>
      </c>
      <c r="X45" s="308">
        <v>5.7</v>
      </c>
      <c r="Y45" s="308">
        <v>8.5</v>
      </c>
      <c r="Z45" s="308">
        <v>2.6</v>
      </c>
      <c r="AA45" s="308">
        <v>4.5</v>
      </c>
      <c r="AB45" s="308">
        <v>4.4000000000000004</v>
      </c>
      <c r="AC45" s="309"/>
      <c r="AD45" s="301"/>
      <c r="AE45" s="301"/>
      <c r="AF45" s="301"/>
      <c r="AG45" s="379">
        <f t="shared" si="18"/>
        <v>11.1</v>
      </c>
      <c r="AH45" s="379">
        <f t="shared" si="9"/>
        <v>8.9</v>
      </c>
      <c r="AI45" s="379"/>
      <c r="AJ45" s="379"/>
      <c r="AK45" s="381">
        <f t="shared" si="1"/>
        <v>26.217065934065936</v>
      </c>
      <c r="AL45" s="354">
        <v>6.3258131868131873</v>
      </c>
      <c r="AM45" s="354">
        <v>9.0508901098901102</v>
      </c>
      <c r="AN45" s="308">
        <v>2.9037032967032967</v>
      </c>
      <c r="AO45" s="308">
        <v>3.2533406593406595</v>
      </c>
      <c r="AP45" s="308">
        <v>4.6833186813186813</v>
      </c>
      <c r="AQ45" s="309"/>
      <c r="AR45" s="300"/>
      <c r="AS45" s="311"/>
      <c r="AT45" s="311"/>
      <c r="AU45" s="378">
        <f t="shared" si="12"/>
        <v>11.954593406593407</v>
      </c>
      <c r="AV45" s="378">
        <f t="shared" si="13"/>
        <v>7.9366593406593413</v>
      </c>
      <c r="AW45" s="302"/>
      <c r="AX45" s="302"/>
      <c r="AY45" s="349" t="str">
        <f t="shared" si="19"/>
        <v/>
      </c>
      <c r="AZ45" s="349" t="str">
        <f t="shared" si="16"/>
        <v/>
      </c>
      <c r="BA45" s="349" t="str">
        <f t="shared" si="16"/>
        <v/>
      </c>
      <c r="BB45" s="349" t="str">
        <f t="shared" si="16"/>
        <v/>
      </c>
      <c r="BC45" s="349" t="str">
        <f t="shared" si="16"/>
        <v/>
      </c>
      <c r="BD45" s="349" t="str">
        <f t="shared" si="16"/>
        <v/>
      </c>
      <c r="BE45" s="349" t="str">
        <f t="shared" si="17"/>
        <v/>
      </c>
      <c r="BF45" s="349" t="str">
        <f>IF(O45&gt;0,IF(AN45&lt;$BN$7,"",IF($W45/$V45&lt;$BN$6,"",IF($BN45&lt;$BN$10,IF(Z45&gt;0,(AN45-Z45)/Z45,""),""))),"")</f>
        <v/>
      </c>
      <c r="BG45" s="349" t="str">
        <f t="shared" si="17"/>
        <v/>
      </c>
      <c r="BH45" s="349" t="str">
        <f t="shared" si="17"/>
        <v/>
      </c>
      <c r="BI45" s="349" t="str">
        <f t="shared" si="17"/>
        <v/>
      </c>
      <c r="BJ45" s="349" t="b">
        <f t="shared" si="20"/>
        <v>0</v>
      </c>
      <c r="BK45" s="349" t="str">
        <f t="shared" si="21"/>
        <v/>
      </c>
      <c r="BL45" s="375" t="str">
        <f t="shared" si="22"/>
        <v/>
      </c>
      <c r="BM45" s="376" t="str">
        <f t="shared" si="22"/>
        <v/>
      </c>
      <c r="BN45" s="374">
        <v>132.667</v>
      </c>
      <c r="BO45" s="334"/>
      <c r="BP45" s="94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</row>
    <row r="46" spans="1:79" s="89" customFormat="1">
      <c r="A46" s="359" t="s">
        <v>244</v>
      </c>
      <c r="B46" s="358" t="s">
        <v>280</v>
      </c>
      <c r="C46" s="370"/>
      <c r="D46" s="367">
        <v>0.68680555555555556</v>
      </c>
      <c r="E46" s="371">
        <v>60.932159999999996</v>
      </c>
      <c r="F46" s="358"/>
      <c r="G46" s="358"/>
      <c r="H46" s="358"/>
      <c r="I46" s="365" t="s">
        <v>94</v>
      </c>
      <c r="J46" s="358">
        <f>IF(ISERROR(VLOOKUP(I46,Max_Load_France!$B$2:$C$102,2,FALSE)/1000),"",VLOOKUP(I46,Max_Load_France!$B$2:$C$102,2,FALSE)/1000)</f>
        <v>40</v>
      </c>
      <c r="K46" s="298"/>
      <c r="L46" s="386">
        <f t="shared" si="23"/>
        <v>0.95749999999999991</v>
      </c>
      <c r="M46" s="358">
        <f>IF(VLOOKUP($I46,Max_Load_France!$B$2:$M$102,3,FALSE)="","",VLOOKUP($I46,Max_Load_France!$B$2:$M$102,3,FALSE))</f>
        <v>0</v>
      </c>
      <c r="N46" s="358">
        <f>IF(VLOOKUP($I46,Max_Load_France!$B$2:$M$102,4,FALSE)="","",VLOOKUP($I46,Max_Load_France!$B$2:$M$102,4,FALSE))</f>
        <v>0</v>
      </c>
      <c r="O46" s="358">
        <f>IF(VLOOKUP($I46,Max_Load_France!$B$2:$M$102,5,FALSE)="","",VLOOKUP($I46,Max_Load_France!$B$2:$M$102,5,FALSE))</f>
        <v>1</v>
      </c>
      <c r="P46" s="358">
        <f>IF(VLOOKUP($I46,Max_Load_France!$B$2:$M$102,6,FALSE)="","",VLOOKUP($I46,Max_Load_France!$B$2:$M$102,6,FALSE))</f>
        <v>1</v>
      </c>
      <c r="Q46" s="358">
        <f>IF(VLOOKUP($I46,Max_Load_France!$B$2:$M$102,7,FALSE)="","",VLOOKUP($I46,Max_Load_France!$B$2:$M$102,7,FALSE))</f>
        <v>1</v>
      </c>
      <c r="R46" s="358" t="str">
        <f>IF(VLOOKUP($I46,Max_Load_France!$B$2:$M$102,8,FALSE)="","",VLOOKUP($I46,Max_Load_France!$B$2:$M$102,8,FALSE))</f>
        <v/>
      </c>
      <c r="S46" s="358" t="str">
        <f>IF(VLOOKUP($I46,Max_Load_France!$B$2:$M$102,9,FALSE)="","",VLOOKUP($I46,Max_Load_France!$B$2:$M$102,9,FALSE))</f>
        <v/>
      </c>
      <c r="T46" s="358" t="str">
        <f>IF(VLOOKUP($I46,Max_Load_France!$B$2:$M$102,10,FALSE)="","",VLOOKUP($I46,Max_Load_France!$B$2:$M$102,10,FALSE))</f>
        <v/>
      </c>
      <c r="U46" s="358" t="str">
        <f>IF(VLOOKUP($I46,Max_Load_France!$B$2:$M$102,11,FALSE)="","",VLOOKUP($I46,Max_Load_France!$B$2:$M$102,11,FALSE))</f>
        <v/>
      </c>
      <c r="V46" s="359">
        <v>5</v>
      </c>
      <c r="W46" s="383">
        <f t="shared" si="8"/>
        <v>38.299999999999997</v>
      </c>
      <c r="X46" s="308">
        <v>6.5</v>
      </c>
      <c r="Y46" s="308">
        <v>10.5</v>
      </c>
      <c r="Z46" s="308">
        <v>7</v>
      </c>
      <c r="AA46" s="308">
        <v>7.2</v>
      </c>
      <c r="AB46" s="308">
        <v>7.1</v>
      </c>
      <c r="AC46" s="309"/>
      <c r="AD46" s="301"/>
      <c r="AE46" s="301"/>
      <c r="AF46" s="301"/>
      <c r="AG46" s="379">
        <f t="shared" si="18"/>
        <v>21.299999999999997</v>
      </c>
      <c r="AH46" s="379" t="str">
        <f t="shared" si="9"/>
        <v/>
      </c>
      <c r="AI46" s="379"/>
      <c r="AJ46" s="379"/>
      <c r="AK46" s="381">
        <f t="shared" si="1"/>
        <v>37.736637362637367</v>
      </c>
      <c r="AL46" s="354">
        <v>5.2254505494505494</v>
      </c>
      <c r="AM46" s="354">
        <v>11.865824175824176</v>
      </c>
      <c r="AN46" s="308">
        <v>5.8009450549450552</v>
      </c>
      <c r="AO46" s="308">
        <v>7.6389230769230778</v>
      </c>
      <c r="AP46" s="308">
        <v>7.2054945054945048</v>
      </c>
      <c r="AQ46" s="309"/>
      <c r="AR46" s="300"/>
      <c r="AS46" s="311"/>
      <c r="AT46" s="311"/>
      <c r="AU46" s="378">
        <f t="shared" si="12"/>
        <v>20.645362637362638</v>
      </c>
      <c r="AV46" s="378" t="str">
        <f t="shared" si="13"/>
        <v/>
      </c>
      <c r="AW46" s="302"/>
      <c r="AX46" s="302"/>
      <c r="AY46" s="349">
        <f t="shared" si="19"/>
        <v>-1.4709207241844125E-2</v>
      </c>
      <c r="AZ46" s="349">
        <f t="shared" si="16"/>
        <v>-0.19608453085376162</v>
      </c>
      <c r="BA46" s="349">
        <f t="shared" si="16"/>
        <v>0.13007849293563586</v>
      </c>
      <c r="BB46" s="349" t="str">
        <f t="shared" si="16"/>
        <v/>
      </c>
      <c r="BC46" s="349" t="str">
        <f t="shared" si="16"/>
        <v/>
      </c>
      <c r="BD46" s="349" t="str">
        <f t="shared" si="16"/>
        <v/>
      </c>
      <c r="BE46" s="349" t="str">
        <f t="shared" si="17"/>
        <v/>
      </c>
      <c r="BF46" s="349">
        <f t="shared" si="17"/>
        <v>-0.17129356357927783</v>
      </c>
      <c r="BG46" s="349">
        <f t="shared" si="17"/>
        <v>6.096153846153856E-2</v>
      </c>
      <c r="BH46" s="349">
        <f t="shared" si="17"/>
        <v>1.4858381055564102E-2</v>
      </c>
      <c r="BI46" s="349" t="str">
        <f t="shared" si="17"/>
        <v/>
      </c>
      <c r="BJ46" s="349">
        <f t="shared" si="20"/>
        <v>-3.0734148480627204E-2</v>
      </c>
      <c r="BK46" s="349" t="str">
        <f t="shared" si="21"/>
        <v/>
      </c>
      <c r="BL46" s="375" t="str">
        <f t="shared" si="22"/>
        <v/>
      </c>
      <c r="BM46" s="376" t="str">
        <f t="shared" si="22"/>
        <v/>
      </c>
      <c r="BN46" s="374">
        <v>71.0946</v>
      </c>
      <c r="BO46" s="334"/>
      <c r="BP46" s="94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</row>
    <row r="47" spans="1:79" s="89" customFormat="1">
      <c r="A47" s="359" t="s">
        <v>245</v>
      </c>
      <c r="B47" s="358" t="s">
        <v>277</v>
      </c>
      <c r="C47" s="370"/>
      <c r="D47" s="367">
        <v>0.67083333333333339</v>
      </c>
      <c r="E47" s="371">
        <v>53.620200000000004</v>
      </c>
      <c r="F47" s="358"/>
      <c r="G47" s="358"/>
      <c r="H47" s="358"/>
      <c r="I47" s="365" t="s">
        <v>94</v>
      </c>
      <c r="J47" s="358">
        <f>IF(ISERROR(VLOOKUP(I47,Max_Load_France!$B$2:$C$102,2,FALSE)/1000),"",VLOOKUP(I47,Max_Load_France!$B$2:$C$102,2,FALSE)/1000)</f>
        <v>40</v>
      </c>
      <c r="K47" s="298"/>
      <c r="L47" s="386">
        <f t="shared" si="23"/>
        <v>0</v>
      </c>
      <c r="M47" s="358">
        <f>IF(VLOOKUP($I47,Max_Load_France!$B$2:$M$102,3,FALSE)="","",VLOOKUP($I47,Max_Load_France!$B$2:$M$102,3,FALSE))</f>
        <v>0</v>
      </c>
      <c r="N47" s="358">
        <f>IF(VLOOKUP($I47,Max_Load_France!$B$2:$M$102,4,FALSE)="","",VLOOKUP($I47,Max_Load_France!$B$2:$M$102,4,FALSE))</f>
        <v>0</v>
      </c>
      <c r="O47" s="358">
        <f>IF(VLOOKUP($I47,Max_Load_France!$B$2:$M$102,5,FALSE)="","",VLOOKUP($I47,Max_Load_France!$B$2:$M$102,5,FALSE))</f>
        <v>1</v>
      </c>
      <c r="P47" s="358">
        <f>IF(VLOOKUP($I47,Max_Load_France!$B$2:$M$102,6,FALSE)="","",VLOOKUP($I47,Max_Load_France!$B$2:$M$102,6,FALSE))</f>
        <v>1</v>
      </c>
      <c r="Q47" s="358">
        <f>IF(VLOOKUP($I47,Max_Load_France!$B$2:$M$102,7,FALSE)="","",VLOOKUP($I47,Max_Load_France!$B$2:$M$102,7,FALSE))</f>
        <v>1</v>
      </c>
      <c r="R47" s="358" t="str">
        <f>IF(VLOOKUP($I47,Max_Load_France!$B$2:$M$102,8,FALSE)="","",VLOOKUP($I47,Max_Load_France!$B$2:$M$102,8,FALSE))</f>
        <v/>
      </c>
      <c r="S47" s="358" t="str">
        <f>IF(VLOOKUP($I47,Max_Load_France!$B$2:$M$102,9,FALSE)="","",VLOOKUP($I47,Max_Load_France!$B$2:$M$102,9,FALSE))</f>
        <v/>
      </c>
      <c r="T47" s="358" t="str">
        <f>IF(VLOOKUP($I47,Max_Load_France!$B$2:$M$102,10,FALSE)="","",VLOOKUP($I47,Max_Load_France!$B$2:$M$102,10,FALSE))</f>
        <v/>
      </c>
      <c r="U47" s="358" t="str">
        <f>IF(VLOOKUP($I47,Max_Load_France!$B$2:$M$102,11,FALSE)="","",VLOOKUP($I47,Max_Load_France!$B$2:$M$102,11,FALSE))</f>
        <v/>
      </c>
      <c r="V47" s="359">
        <v>5</v>
      </c>
      <c r="W47" s="383">
        <f t="shared" si="8"/>
        <v>0</v>
      </c>
      <c r="X47" s="308"/>
      <c r="Y47" s="308"/>
      <c r="Z47" s="308"/>
      <c r="AA47" s="308"/>
      <c r="AB47" s="308"/>
      <c r="AC47" s="309"/>
      <c r="AD47" s="301"/>
      <c r="AE47" s="301"/>
      <c r="AF47" s="301"/>
      <c r="AG47" s="379" t="str">
        <f>IF(SUMIF($M47:$U47,"=1",$X47:$AF47)=0,"",SUMIF($M47:$U47,"=1",$X47:$AF47))</f>
        <v/>
      </c>
      <c r="AH47" s="379" t="str">
        <f t="shared" si="9"/>
        <v/>
      </c>
      <c r="AI47" s="379"/>
      <c r="AJ47" s="379"/>
      <c r="AK47" s="381">
        <f t="shared" si="1"/>
        <v>40.225373626373624</v>
      </c>
      <c r="AL47" s="308">
        <v>6.2430769230769227</v>
      </c>
      <c r="AM47" s="308">
        <v>13.196813186813186</v>
      </c>
      <c r="AN47" s="308">
        <v>6.391285714285714</v>
      </c>
      <c r="AO47" s="308">
        <v>6.0909230769230769</v>
      </c>
      <c r="AP47" s="308">
        <v>8.3032747252747257</v>
      </c>
      <c r="AQ47" s="309"/>
      <c r="AR47" s="300"/>
      <c r="AS47" s="311"/>
      <c r="AT47" s="311"/>
      <c r="AU47" s="378">
        <f t="shared" si="12"/>
        <v>20.785483516483517</v>
      </c>
      <c r="AV47" s="378" t="str">
        <f t="shared" si="13"/>
        <v/>
      </c>
      <c r="AW47" s="302"/>
      <c r="AX47" s="302"/>
      <c r="AY47" s="349" t="str">
        <f t="shared" si="19"/>
        <v/>
      </c>
      <c r="AZ47" s="349" t="str">
        <f t="shared" si="16"/>
        <v/>
      </c>
      <c r="BA47" s="349" t="str">
        <f t="shared" si="16"/>
        <v/>
      </c>
      <c r="BB47" s="349" t="str">
        <f t="shared" si="16"/>
        <v/>
      </c>
      <c r="BC47" s="349" t="str">
        <f t="shared" si="16"/>
        <v/>
      </c>
      <c r="BD47" s="349" t="str">
        <f t="shared" si="16"/>
        <v/>
      </c>
      <c r="BE47" s="349" t="str">
        <f t="shared" si="17"/>
        <v/>
      </c>
      <c r="BF47" s="349" t="str">
        <f t="shared" si="17"/>
        <v/>
      </c>
      <c r="BG47" s="349" t="str">
        <f t="shared" si="17"/>
        <v/>
      </c>
      <c r="BH47" s="349" t="str">
        <f t="shared" si="17"/>
        <v/>
      </c>
      <c r="BI47" s="349" t="str">
        <f t="shared" si="17"/>
        <v/>
      </c>
      <c r="BJ47" s="349" t="str">
        <f t="shared" si="20"/>
        <v/>
      </c>
      <c r="BK47" s="349" t="str">
        <f t="shared" si="21"/>
        <v/>
      </c>
      <c r="BL47" s="375" t="str">
        <f t="shared" si="22"/>
        <v/>
      </c>
      <c r="BM47" s="376" t="str">
        <f t="shared" si="22"/>
        <v/>
      </c>
      <c r="BN47" s="377"/>
      <c r="BO47" s="334"/>
      <c r="BP47" s="70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</row>
    <row r="48" spans="1:79" s="77" customFormat="1">
      <c r="A48" s="359"/>
      <c r="B48" s="358"/>
      <c r="C48" s="370"/>
      <c r="D48" s="367"/>
      <c r="E48" s="371"/>
      <c r="F48" s="358"/>
      <c r="G48" s="358"/>
      <c r="H48" s="358"/>
      <c r="I48" s="365"/>
      <c r="J48" s="358"/>
      <c r="K48" s="298"/>
      <c r="L48" s="386"/>
      <c r="M48" s="358"/>
      <c r="N48" s="358"/>
      <c r="O48" s="358"/>
      <c r="P48" s="358"/>
      <c r="Q48" s="358"/>
      <c r="R48" s="358"/>
      <c r="S48" s="358"/>
      <c r="T48" s="358"/>
      <c r="U48" s="358"/>
      <c r="V48" s="359"/>
      <c r="W48" s="383"/>
      <c r="X48" s="308"/>
      <c r="Y48" s="308"/>
      <c r="Z48" s="308"/>
      <c r="AA48" s="308"/>
      <c r="AB48" s="308"/>
      <c r="AC48" s="309"/>
      <c r="AD48" s="301"/>
      <c r="AE48" s="301"/>
      <c r="AF48" s="301"/>
      <c r="AG48" s="379"/>
      <c r="AH48" s="379" t="str">
        <f t="shared" si="9"/>
        <v/>
      </c>
      <c r="AI48" s="379"/>
      <c r="AJ48" s="379"/>
      <c r="AK48" s="382"/>
      <c r="AL48" s="308"/>
      <c r="AM48" s="308"/>
      <c r="AN48" s="308"/>
      <c r="AO48" s="308"/>
      <c r="AP48" s="308"/>
      <c r="AQ48" s="309"/>
      <c r="AR48" s="300"/>
      <c r="AS48" s="311"/>
      <c r="AT48" s="311"/>
      <c r="AU48" s="378" t="str">
        <f t="shared" si="12"/>
        <v/>
      </c>
      <c r="AV48" s="378" t="str">
        <f t="shared" si="13"/>
        <v/>
      </c>
      <c r="AW48" s="302"/>
      <c r="AX48" s="302"/>
      <c r="AY48" s="349"/>
      <c r="AZ48" s="349"/>
      <c r="BA48" s="349"/>
      <c r="BB48" s="349"/>
      <c r="BC48" s="349"/>
      <c r="BD48" s="349"/>
      <c r="BE48" s="349"/>
      <c r="BF48" s="350"/>
      <c r="BG48" s="350"/>
      <c r="BH48" s="350"/>
      <c r="BI48" s="349"/>
      <c r="BJ48" s="349"/>
      <c r="BK48" s="349"/>
      <c r="BL48" s="375"/>
      <c r="BM48" s="376"/>
      <c r="BN48" s="377"/>
      <c r="BO48" s="334"/>
    </row>
    <row r="50" spans="47:63">
      <c r="AU50" s="341"/>
      <c r="AV50" s="342" t="s">
        <v>358</v>
      </c>
      <c r="AW50" s="341"/>
      <c r="AX50" s="341"/>
      <c r="AY50" s="342" t="s">
        <v>368</v>
      </c>
      <c r="AZ50" s="342" t="s">
        <v>369</v>
      </c>
      <c r="BA50" s="342"/>
      <c r="BB50" s="342"/>
      <c r="BC50" s="342"/>
      <c r="BD50" s="342"/>
      <c r="BE50" s="342" t="s">
        <v>370</v>
      </c>
      <c r="BF50" s="342"/>
      <c r="BG50" s="342"/>
      <c r="BH50" s="342"/>
      <c r="BI50" s="342"/>
      <c r="BJ50" s="342" t="s">
        <v>371</v>
      </c>
      <c r="BK50" s="341"/>
    </row>
    <row r="51" spans="47:63">
      <c r="AU51" s="343"/>
      <c r="AV51" s="344" t="s">
        <v>361</v>
      </c>
      <c r="AW51" s="343"/>
      <c r="AX51" s="343"/>
      <c r="AY51" s="343">
        <f>COUNTIF($AY$12:$AY$48,$AV51)</f>
        <v>8</v>
      </c>
      <c r="AZ51" s="343">
        <f>COUNTIF($AZ$12:$BD$48,$AV51)</f>
        <v>127</v>
      </c>
      <c r="BA51" s="343"/>
      <c r="BB51" s="343"/>
      <c r="BC51" s="343"/>
      <c r="BD51" s="343"/>
      <c r="BE51" s="343">
        <f>COUNTIF($BE$12:$BI$48,$AV51)</f>
        <v>96</v>
      </c>
      <c r="BF51" s="343"/>
      <c r="BG51" s="343"/>
      <c r="BH51" s="343"/>
      <c r="BI51" s="343"/>
      <c r="BJ51" s="343">
        <f>COUNTIF($BJ$12:$BK$48,$AV51)</f>
        <v>33</v>
      </c>
      <c r="BK51" s="343"/>
    </row>
    <row r="52" spans="47:63">
      <c r="AU52" s="343"/>
      <c r="AV52" s="344" t="s">
        <v>360</v>
      </c>
      <c r="AW52" s="343"/>
      <c r="AX52" s="343"/>
      <c r="AY52" s="343">
        <f>COUNTIF($AY$12:$AY$48,$AV52)</f>
        <v>8</v>
      </c>
      <c r="AZ52" s="343">
        <f>COUNTIF($AZ$12:$BD$48,$AV52)</f>
        <v>127</v>
      </c>
      <c r="BA52" s="343"/>
      <c r="BB52" s="343"/>
      <c r="BC52" s="343"/>
      <c r="BD52" s="343"/>
      <c r="BE52" s="343">
        <f>COUNTIF($BE$12:$BI$48,$AV52)</f>
        <v>96</v>
      </c>
      <c r="BF52" s="343"/>
      <c r="BG52" s="343"/>
      <c r="BH52" s="343"/>
      <c r="BI52" s="343"/>
      <c r="BJ52" s="343">
        <f>COUNTIF($BJ$12:$BK$48,$AV52)</f>
        <v>33</v>
      </c>
      <c r="BK52" s="343"/>
    </row>
    <row r="53" spans="47:63">
      <c r="AU53" s="341"/>
      <c r="AV53" s="342" t="s">
        <v>359</v>
      </c>
      <c r="AW53" s="341"/>
      <c r="AX53" s="341"/>
      <c r="AY53" s="341">
        <f>COUNTIF($AY$12:$AY$48,$AV53)</f>
        <v>0</v>
      </c>
      <c r="AZ53" s="341">
        <f>COUNTIF($AZ$12:$BD$48,$AV53)</f>
        <v>0</v>
      </c>
      <c r="BA53" s="341"/>
      <c r="BB53" s="341"/>
      <c r="BC53" s="341"/>
      <c r="BD53" s="341"/>
      <c r="BE53" s="341">
        <f>COUNTIF($BE$12:$BI$48,$AV53)</f>
        <v>0</v>
      </c>
      <c r="BF53" s="341"/>
      <c r="BG53" s="341"/>
      <c r="BH53" s="341"/>
      <c r="BI53" s="341"/>
      <c r="BJ53" s="341">
        <f>COUNTIF($BJ$12:$BK$48,$AV53)</f>
        <v>0</v>
      </c>
      <c r="BK53" s="341"/>
    </row>
    <row r="54" spans="47:63">
      <c r="AU54" s="343"/>
      <c r="AV54" s="343"/>
      <c r="AW54" s="343"/>
      <c r="AX54" s="343"/>
      <c r="AY54" s="343">
        <f>COUNT(AY12:AY48)</f>
        <v>28</v>
      </c>
      <c r="AZ54" s="343">
        <f>COUNT(AZ12:BD48)</f>
        <v>53</v>
      </c>
      <c r="BA54" s="343"/>
      <c r="BB54" s="343"/>
      <c r="BC54" s="343"/>
      <c r="BD54" s="343"/>
      <c r="BE54" s="343">
        <f>COUNT(BE12:BI48)</f>
        <v>84</v>
      </c>
      <c r="BF54" s="343"/>
      <c r="BG54" s="343"/>
      <c r="BH54" s="343"/>
      <c r="BI54" s="343"/>
      <c r="BJ54" s="343">
        <f>COUNT(BJ12:BK48)</f>
        <v>32</v>
      </c>
      <c r="BK54" s="343"/>
    </row>
    <row r="55" spans="47:63">
      <c r="AU55" s="341"/>
      <c r="AV55" s="341"/>
      <c r="AW55" s="341"/>
      <c r="AX55" s="341"/>
      <c r="AY55" s="341"/>
      <c r="AZ55" s="341"/>
      <c r="BA55" s="341"/>
      <c r="BB55" s="341"/>
      <c r="BC55" s="341"/>
      <c r="BD55" s="341"/>
      <c r="BE55" s="341"/>
      <c r="BF55" s="341"/>
      <c r="BG55" s="341"/>
      <c r="BH55" s="341"/>
      <c r="BI55" s="341"/>
      <c r="BJ55" s="341"/>
      <c r="BK55" s="341"/>
    </row>
    <row r="56" spans="47:63">
      <c r="AU56" s="343"/>
      <c r="AV56" s="344" t="s">
        <v>361</v>
      </c>
      <c r="AW56" s="343"/>
      <c r="AX56" s="343"/>
      <c r="AY56" s="345">
        <f t="shared" ref="AY56:AZ58" si="24">+AY51/AY$54</f>
        <v>0.2857142857142857</v>
      </c>
      <c r="AZ56" s="345">
        <f t="shared" si="24"/>
        <v>2.3962264150943398</v>
      </c>
      <c r="BA56" s="345"/>
      <c r="BB56" s="345"/>
      <c r="BC56" s="345"/>
      <c r="BD56" s="345"/>
      <c r="BE56" s="345">
        <f>+BE51/BE$54</f>
        <v>1.1428571428571428</v>
      </c>
      <c r="BF56" s="345"/>
      <c r="BG56" s="345"/>
      <c r="BH56" s="345"/>
      <c r="BI56" s="345"/>
      <c r="BJ56" s="345">
        <f>+BJ51/BJ$54</f>
        <v>1.03125</v>
      </c>
      <c r="BK56" s="345"/>
    </row>
    <row r="57" spans="47:63">
      <c r="AU57" s="343"/>
      <c r="AV57" s="344" t="s">
        <v>360</v>
      </c>
      <c r="AW57" s="343"/>
      <c r="AX57" s="343"/>
      <c r="AY57" s="345">
        <f t="shared" si="24"/>
        <v>0.2857142857142857</v>
      </c>
      <c r="AZ57" s="345">
        <f t="shared" si="24"/>
        <v>2.3962264150943398</v>
      </c>
      <c r="BA57" s="345"/>
      <c r="BB57" s="345"/>
      <c r="BC57" s="345"/>
      <c r="BD57" s="345"/>
      <c r="BE57" s="345">
        <f>+BE52/BE$54</f>
        <v>1.1428571428571428</v>
      </c>
      <c r="BF57" s="345"/>
      <c r="BG57" s="345"/>
      <c r="BH57" s="345"/>
      <c r="BI57" s="345"/>
      <c r="BJ57" s="345">
        <f>+BJ52/BJ$54</f>
        <v>1.03125</v>
      </c>
      <c r="BK57" s="345"/>
    </row>
    <row r="58" spans="47:63">
      <c r="AU58" s="341"/>
      <c r="AV58" s="342" t="s">
        <v>359</v>
      </c>
      <c r="AW58" s="341"/>
      <c r="AX58" s="341"/>
      <c r="AY58" s="346">
        <f t="shared" si="24"/>
        <v>0</v>
      </c>
      <c r="AZ58" s="346">
        <f t="shared" si="24"/>
        <v>0</v>
      </c>
      <c r="BA58" s="346"/>
      <c r="BB58" s="346"/>
      <c r="BC58" s="346"/>
      <c r="BD58" s="346"/>
      <c r="BE58" s="346">
        <f>+BE53/BE$54</f>
        <v>0</v>
      </c>
      <c r="BF58" s="346"/>
      <c r="BG58" s="346"/>
      <c r="BH58" s="346"/>
      <c r="BI58" s="346"/>
      <c r="BJ58" s="346">
        <f>+BJ53/BJ$54</f>
        <v>0</v>
      </c>
      <c r="BK58" s="346"/>
    </row>
  </sheetData>
  <dataConsolidate/>
  <mergeCells count="28">
    <mergeCell ref="AY10:BM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  <mergeCell ref="C5:H5"/>
    <mergeCell ref="Z5:AG5"/>
    <mergeCell ref="AQ5:AX5"/>
    <mergeCell ref="C6:H6"/>
    <mergeCell ref="Z6:AG6"/>
    <mergeCell ref="AQ6:AX6"/>
    <mergeCell ref="C3:H3"/>
    <mergeCell ref="Z3:AK3"/>
    <mergeCell ref="AQ3:BB3"/>
    <mergeCell ref="C4:H4"/>
    <mergeCell ref="Z4:AG4"/>
    <mergeCell ref="AQ4:AX4"/>
  </mergeCells>
  <conditionalFormatting sqref="AZ48:BE48 AZ12:BI47">
    <cfRule type="dataBar" priority="3">
      <dataBar>
        <cfvo type="num" val="-0.3"/>
        <cfvo type="num" val="0.3"/>
        <color rgb="FF638EC6"/>
      </dataBar>
      <extLst>
        <ext xmlns:x14="http://schemas.microsoft.com/office/spreadsheetml/2009/9/main" uri="{B025F937-C7B1-47D3-B67F-A62EFF666E3E}">
          <x14:id>{767AB6B4-276C-4F97-8669-CF81DE138F5A}</x14:id>
        </ext>
      </extLst>
    </cfRule>
  </conditionalFormatting>
  <conditionalFormatting sqref="AY12:AY4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{28CB16DD-ED2A-424B-80B1-954556628440}</x14:id>
        </ext>
      </extLst>
    </cfRule>
  </conditionalFormatting>
  <conditionalFormatting sqref="BN12:BN48">
    <cfRule type="expression" dxfId="9" priority="5">
      <formula>$BN12&gt;BN$10</formula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{E68F7C76-8C8B-4070-9122-145121DDD0BB}</x14:id>
        </ext>
      </extLst>
    </cfRule>
  </conditionalFormatting>
  <conditionalFormatting sqref="BO12:BO48">
    <cfRule type="expression" dxfId="8" priority="1">
      <formula>$BO12&gt;BO$10</formula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{4BEFF643-BB8F-41F0-BBEB-2C76B3F340BE}</x14:id>
        </ext>
      </extLst>
    </cfRule>
  </conditionalFormatting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ignoredErrors>
    <ignoredError sqref="AG12:BK36 AG38:BK47 AG37:AX37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7AB6B4-276C-4F97-8669-CF81DE138F5A}">
            <x14:dataBar minLength="0" maxLength="100" border="1" negativeBarBorderColorSameAsPositive="0">
              <x14:cfvo type="num">
                <xm:f>-0.3</xm:f>
              </x14:cfvo>
              <x14:cfvo type="num">
                <xm:f>0.3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AZ48:BE48 AZ12:BI47</xm:sqref>
        </x14:conditionalFormatting>
        <x14:conditionalFormatting xmlns:xm="http://schemas.microsoft.com/office/excel/2006/main">
          <x14:cfRule type="dataBar" id="{28CB16DD-ED2A-424B-80B1-95455662844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AY12:AY48</xm:sqref>
        </x14:conditionalFormatting>
        <x14:conditionalFormatting xmlns:xm="http://schemas.microsoft.com/office/excel/2006/main">
          <x14:cfRule type="dataBar" id="{E68F7C76-8C8B-4070-9122-145121DDD0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BN12:BN48</xm:sqref>
        </x14:conditionalFormatting>
        <x14:conditionalFormatting xmlns:xm="http://schemas.microsoft.com/office/excel/2006/main">
          <x14:cfRule type="dataBar" id="{4BEFF643-BB8F-41F0-BBEB-2C76B3F340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BO12:BO48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  <pageSetUpPr fitToPage="1"/>
  </sheetPr>
  <dimension ref="A1:BZ47"/>
  <sheetViews>
    <sheetView topLeftCell="A3" zoomScaleNormal="100" workbookViewId="0">
      <pane xSplit="1" ySplit="9" topLeftCell="B12" activePane="bottomRight" state="frozen"/>
      <selection activeCell="A3" sqref="A3"/>
      <selection pane="topRight" activeCell="B3" sqref="B3"/>
      <selection pane="bottomLeft" activeCell="A12" sqref="A12"/>
      <selection pane="bottomRight" activeCell="AL44" sqref="AL44"/>
    </sheetView>
  </sheetViews>
  <sheetFormatPr baseColWidth="10" defaultColWidth="11.5703125" defaultRowHeight="12.75"/>
  <cols>
    <col min="1" max="1" width="19.28515625" bestFit="1" customWidth="1"/>
    <col min="2" max="2" width="15.42578125" bestFit="1" customWidth="1"/>
    <col min="3" max="3" width="13.85546875" hidden="1" customWidth="1"/>
    <col min="4" max="4" width="9.7109375" customWidth="1"/>
    <col min="5" max="5" width="4.140625" customWidth="1"/>
    <col min="6" max="6" width="3.140625" customWidth="1"/>
    <col min="7" max="7" width="4" hidden="1" customWidth="1"/>
    <col min="8" max="8" width="4.85546875" hidden="1" customWidth="1"/>
    <col min="9" max="9" width="6.85546875" bestFit="1" customWidth="1"/>
    <col min="10" max="10" width="4.42578125" bestFit="1" customWidth="1"/>
    <col min="11" max="11" width="4.140625" hidden="1" customWidth="1"/>
    <col min="12" max="12" width="9.140625" customWidth="1"/>
    <col min="13" max="13" width="3.7109375" customWidth="1"/>
    <col min="14" max="15" width="3.5703125" customWidth="1"/>
    <col min="16" max="16" width="3.42578125" customWidth="1"/>
    <col min="17" max="17" width="4.42578125" customWidth="1"/>
    <col min="18" max="18" width="3.85546875" customWidth="1"/>
    <col min="19" max="19" width="3.7109375" customWidth="1"/>
    <col min="20" max="21" width="3.42578125" hidden="1" customWidth="1"/>
    <col min="22" max="22" width="4.42578125" customWidth="1"/>
    <col min="23" max="23" width="5.28515625" customWidth="1"/>
    <col min="24" max="24" width="6.140625" bestFit="1" customWidth="1"/>
    <col min="25" max="25" width="5.5703125" bestFit="1" customWidth="1"/>
    <col min="26" max="26" width="5.140625" customWidth="1"/>
    <col min="27" max="27" width="4.85546875" bestFit="1" customWidth="1"/>
    <col min="28" max="28" width="4.7109375" customWidth="1"/>
    <col min="29" max="30" width="5" customWidth="1"/>
    <col min="31" max="32" width="5" hidden="1" customWidth="1"/>
    <col min="33" max="33" width="7" customWidth="1"/>
    <col min="34" max="34" width="6.7109375" customWidth="1"/>
    <col min="35" max="35" width="7.140625" hidden="1" customWidth="1"/>
    <col min="36" max="36" width="6.5703125" hidden="1" customWidth="1"/>
    <col min="37" max="37" width="7.28515625" customWidth="1"/>
    <col min="38" max="38" width="6.7109375" customWidth="1"/>
    <col min="39" max="39" width="5.42578125" customWidth="1"/>
    <col min="40" max="40" width="4.7109375" customWidth="1"/>
    <col min="41" max="41" width="5.140625" customWidth="1"/>
    <col min="42" max="44" width="4.7109375" customWidth="1"/>
    <col min="45" max="46" width="4.7109375" hidden="1" customWidth="1"/>
    <col min="47" max="48" width="6.140625" customWidth="1"/>
    <col min="49" max="50" width="6.140625" hidden="1" customWidth="1"/>
    <col min="51" max="57" width="8.85546875" customWidth="1"/>
    <col min="58" max="60" width="6.7109375" hidden="1" customWidth="1"/>
    <col min="61" max="62" width="6.85546875" bestFit="1" customWidth="1"/>
    <col min="63" max="64" width="12.7109375" hidden="1" customWidth="1"/>
  </cols>
  <sheetData>
    <row r="1" spans="1:78" s="77" customFormat="1" ht="11.25"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</row>
    <row r="2" spans="1:78" s="77" customFormat="1" ht="15">
      <c r="W2" s="78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</row>
    <row r="3" spans="1:78" s="77" customFormat="1" ht="24" customHeight="1">
      <c r="B3" s="153" t="s">
        <v>0</v>
      </c>
      <c r="C3" s="406" t="s">
        <v>283</v>
      </c>
      <c r="D3" s="406"/>
      <c r="E3" s="406"/>
      <c r="F3" s="406"/>
      <c r="G3" s="406"/>
      <c r="H3" s="406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Z3" s="421" t="s">
        <v>202</v>
      </c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3"/>
      <c r="AQ3" s="421" t="s">
        <v>196</v>
      </c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3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</row>
    <row r="4" spans="1:78" s="77" customFormat="1" ht="12.75" customHeight="1">
      <c r="B4" s="153" t="s">
        <v>1</v>
      </c>
      <c r="C4" s="406" t="s">
        <v>284</v>
      </c>
      <c r="D4" s="406"/>
      <c r="E4" s="406"/>
      <c r="F4" s="406"/>
      <c r="G4" s="406"/>
      <c r="H4" s="406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H4" s="66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</row>
    <row r="5" spans="1:78" s="77" customFormat="1" ht="12.75" customHeight="1">
      <c r="B5" s="153" t="s">
        <v>7</v>
      </c>
      <c r="C5" s="406" t="s">
        <v>201</v>
      </c>
      <c r="D5" s="406"/>
      <c r="E5" s="406"/>
      <c r="F5" s="406"/>
      <c r="G5" s="406"/>
      <c r="H5" s="406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COUNTIF($L$12:$L$47,"&gt;0,9")</f>
        <v>18</v>
      </c>
      <c r="AI5" s="117">
        <f t="array" ref="AI5">COUNT(IF($L$12:$L$47&gt;0.9,IF($M$12:$U$47&gt;=0,$M$12:$U$47,"")))</f>
        <v>91</v>
      </c>
      <c r="AJ5" s="80">
        <f t="array" ref="AJ5">COUNT(IF($L$12:$L$47&gt;0.9,IF($M$12:$U$47&gt;=1,$M$12:$U$47,"")))</f>
        <v>56</v>
      </c>
      <c r="AK5" s="80">
        <f t="array" ref="AK5">COUNT(IF($L$12:$L$47&gt;0.9,IF($AG$12:$AJ$47&gt;0,$AG$12:$AJ$47,"")))</f>
        <v>20</v>
      </c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C6</f>
        <v>41</v>
      </c>
      <c r="AZ5" s="80">
        <f>COUNTIF($M$12:$U$47,"&gt;=0")</f>
        <v>179</v>
      </c>
      <c r="BA5" s="80">
        <f>COUNTIF($M$12:$U$47,"&gt;=1")</f>
        <v>111</v>
      </c>
      <c r="BB5" s="80">
        <f>COUNTIF($AG$12:$AJ$47,"&gt;0")</f>
        <v>40</v>
      </c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</row>
    <row r="6" spans="1:78" s="77" customFormat="1" ht="12.75" customHeight="1">
      <c r="B6" s="153" t="s">
        <v>9</v>
      </c>
      <c r="C6" s="406">
        <v>41</v>
      </c>
      <c r="D6" s="406"/>
      <c r="E6" s="406"/>
      <c r="F6" s="406"/>
      <c r="G6" s="406"/>
      <c r="H6" s="406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AVERAGEIF($L$12:$L$47,"&gt;0,9",$AY$12:$AY$47)</f>
        <v>-2.4507964497231197E-2</v>
      </c>
      <c r="AI6" s="115" t="e">
        <f t="array" ref="AI6">AVERAGE(IF($L$12:$L$47&gt;0.9,IF($M$12:$U$24=0,$AZ$12:$BH$47,"")))</f>
        <v>#N/A</v>
      </c>
      <c r="AJ6" s="115" t="e">
        <f t="array" ref="AJ6">AVERAGE(IF($L$12:$L$47&gt;0.9,IF($M$12:$U$24&gt;=1,$AZ$12:$BH$47,"")))</f>
        <v>#N/A</v>
      </c>
      <c r="AK6" s="115">
        <f t="array" ref="AK6">AVERAGE(IF($L$12:$L$47&gt;0.9,IF($AG$12:$AJ$47&gt;0,$BI$12:$BL$47,"")))</f>
        <v>-3.2616128824582022E-2</v>
      </c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AVERAGE($AY$12:$AY$47)</f>
        <v>-2.9634314289363772E-3</v>
      </c>
      <c r="AZ6" s="115">
        <f>AVERAGEIF($M$12:$U$47,"0",$AZ$12:$BH$47)</f>
        <v>-2.2111788249749249E-2</v>
      </c>
      <c r="BA6" s="115">
        <f>AVERAGEIF($M$12:$U$47,"&gt;=1",$AZ$12:$BH$47)</f>
        <v>1.6915967154835461E-2</v>
      </c>
      <c r="BB6" s="115">
        <f>AVERAGEIF($AG$12:$AJ$47,"&gt;0",$BI$12:$BL$47)</f>
        <v>-2.0319110199667041E-2</v>
      </c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</row>
    <row r="7" spans="1:78" s="77" customFormat="1" ht="12.75" customHeight="1">
      <c r="B7" s="81"/>
      <c r="C7" s="76"/>
      <c r="D7" s="76"/>
      <c r="E7" s="81"/>
      <c r="F7" s="81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STDEV(IF($L$12:$L$47&gt;0.9,$AY$12:$AY$47))</f>
        <v>4.7566134549135386E-2</v>
      </c>
      <c r="AI7" s="115">
        <f t="array" ref="AI7">STDEV(IF($L$12:$L$47&gt;0.9,IF($M$12:$U$47=0,$AZ$12:$BH$47,"")))</f>
        <v>0.19020340909287292</v>
      </c>
      <c r="AJ7" s="115">
        <f t="array" ref="AJ7">STDEV(IF($L$12:$L$47&gt;0.9,IF($M$12:$U$47&gt;=1,$AZ$12:$BH$47,"")))</f>
        <v>9.3924568308341921E-2</v>
      </c>
      <c r="AK7" s="115">
        <f t="array" ref="AK7">STDEV(IF($L$12:$L$47&gt;0.9,IF($AG$12:$AJ$47&gt;0,$BI$12:$BL$47,"")))</f>
        <v>8.00758232420275E-2</v>
      </c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STDEV($AY$12:$AY$47)</f>
        <v>5.1536814028963672E-2</v>
      </c>
      <c r="AZ7" s="115">
        <f t="array" ref="AZ7">STDEV(IF($M$12:$U$24=0,$AZ$12:$BH$24))</f>
        <v>0.20280034231944599</v>
      </c>
      <c r="BA7" s="115">
        <f t="array" ref="BA7">STDEV(IF($M$12:$U$47&gt;=1,$AZ$12:$BH$47))</f>
        <v>0.1733420192292239</v>
      </c>
      <c r="BB7" s="115">
        <f t="array" ref="BB7">STDEV(IF($AG$12:$AJ$24&gt;0,$BI$12:$BL$24))</f>
        <v>0.13844129429955429</v>
      </c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</row>
    <row r="8" spans="1:78" s="77" customFormat="1" ht="12.75" customHeight="1">
      <c r="B8" s="81"/>
      <c r="C8" s="76"/>
      <c r="D8" s="76"/>
      <c r="E8" s="81"/>
      <c r="F8" s="8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AQ8" s="82"/>
      <c r="AR8" s="82"/>
      <c r="AS8" s="82"/>
      <c r="AT8" s="82"/>
      <c r="AU8" s="82"/>
      <c r="AV8" s="82"/>
      <c r="AW8" s="82"/>
      <c r="AX8" s="82"/>
      <c r="AY8" s="83"/>
      <c r="AZ8" s="66">
        <v>-0.13100000000000001</v>
      </c>
      <c r="BA8" s="84"/>
      <c r="BB8" s="83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</row>
    <row r="9" spans="1:78" s="77" customFormat="1" ht="12.75" customHeight="1">
      <c r="AZ9" s="66">
        <f>SUMIF($I$12:$I$47,"T2S3",AZ12:AZ47)/COUNTIF($I$12:$I$47,"T2S3")</f>
        <v>-0.19271286169029878</v>
      </c>
      <c r="BA9" s="66">
        <f>SUMIF($I$12:$I$47,"T2S3",BA12:BA47)/COUNTIF($I$12:$I$47,"T2S3")</f>
        <v>0.14963445550999943</v>
      </c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</row>
    <row r="10" spans="1:78" s="77" customFormat="1" ht="12.75" customHeight="1">
      <c r="A10" s="425" t="s">
        <v>181</v>
      </c>
      <c r="B10" s="425" t="s">
        <v>180</v>
      </c>
      <c r="C10" s="425" t="s">
        <v>182</v>
      </c>
      <c r="D10" s="426" t="s">
        <v>183</v>
      </c>
      <c r="E10" s="425" t="s">
        <v>13</v>
      </c>
      <c r="F10" s="425" t="s">
        <v>14</v>
      </c>
      <c r="G10" s="425" t="s">
        <v>15</v>
      </c>
      <c r="H10" s="425" t="s">
        <v>16</v>
      </c>
      <c r="I10" s="424" t="s">
        <v>17</v>
      </c>
      <c r="J10" s="424"/>
      <c r="K10" s="424"/>
      <c r="L10" s="426" t="s">
        <v>95</v>
      </c>
      <c r="M10" s="424" t="s">
        <v>18</v>
      </c>
      <c r="N10" s="424"/>
      <c r="O10" s="424"/>
      <c r="P10" s="424"/>
      <c r="Q10" s="424"/>
      <c r="R10" s="424"/>
      <c r="S10" s="424"/>
      <c r="T10" s="424"/>
      <c r="U10" s="424"/>
      <c r="V10" s="424"/>
      <c r="W10" s="424" t="s">
        <v>31</v>
      </c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 t="s">
        <v>30</v>
      </c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 t="s">
        <v>19</v>
      </c>
      <c r="AZ10" s="424"/>
      <c r="BA10" s="424"/>
      <c r="BB10" s="424"/>
      <c r="BC10" s="424"/>
      <c r="BD10" s="424"/>
      <c r="BE10" s="424"/>
      <c r="BF10" s="424"/>
      <c r="BG10" s="424"/>
      <c r="BH10" s="424"/>
      <c r="BI10" s="424"/>
      <c r="BJ10" s="424"/>
      <c r="BK10" s="424"/>
      <c r="BL10" s="424"/>
      <c r="BM10" s="92"/>
      <c r="BN10" s="92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</row>
    <row r="11" spans="1:78" s="77" customFormat="1" ht="12.75" customHeight="1">
      <c r="A11" s="425"/>
      <c r="B11" s="425"/>
      <c r="C11" s="425"/>
      <c r="D11" s="426"/>
      <c r="E11" s="425"/>
      <c r="F11" s="425"/>
      <c r="G11" s="425"/>
      <c r="H11" s="425"/>
      <c r="I11" s="330" t="s">
        <v>20</v>
      </c>
      <c r="J11" s="330" t="s">
        <v>165</v>
      </c>
      <c r="K11" s="330" t="s">
        <v>21</v>
      </c>
      <c r="L11" s="426"/>
      <c r="M11" s="330" t="s">
        <v>186</v>
      </c>
      <c r="N11" s="330" t="s">
        <v>187</v>
      </c>
      <c r="O11" s="330" t="s">
        <v>188</v>
      </c>
      <c r="P11" s="330" t="s">
        <v>189</v>
      </c>
      <c r="Q11" s="330" t="s">
        <v>190</v>
      </c>
      <c r="R11" s="330" t="s">
        <v>191</v>
      </c>
      <c r="S11" s="330" t="s">
        <v>192</v>
      </c>
      <c r="T11" s="330" t="s">
        <v>193</v>
      </c>
      <c r="U11" s="330" t="s">
        <v>194</v>
      </c>
      <c r="V11" s="330" t="s">
        <v>185</v>
      </c>
      <c r="W11" s="330" t="s">
        <v>3</v>
      </c>
      <c r="X11" s="330" t="s">
        <v>22</v>
      </c>
      <c r="Y11" s="330" t="s">
        <v>23</v>
      </c>
      <c r="Z11" s="330" t="s">
        <v>24</v>
      </c>
      <c r="AA11" s="330" t="s">
        <v>25</v>
      </c>
      <c r="AB11" s="330" t="s">
        <v>26</v>
      </c>
      <c r="AC11" s="330" t="s">
        <v>27</v>
      </c>
      <c r="AD11" s="330" t="s">
        <v>90</v>
      </c>
      <c r="AE11" s="330" t="s">
        <v>91</v>
      </c>
      <c r="AF11" s="330" t="s">
        <v>184</v>
      </c>
      <c r="AG11" s="330" t="s">
        <v>28</v>
      </c>
      <c r="AH11" s="330" t="s">
        <v>29</v>
      </c>
      <c r="AI11" s="330" t="s">
        <v>92</v>
      </c>
      <c r="AJ11" s="330" t="s">
        <v>93</v>
      </c>
      <c r="AK11" s="330" t="s">
        <v>3</v>
      </c>
      <c r="AL11" s="330" t="s">
        <v>22</v>
      </c>
      <c r="AM11" s="330" t="s">
        <v>23</v>
      </c>
      <c r="AN11" s="330" t="s">
        <v>24</v>
      </c>
      <c r="AO11" s="330" t="s">
        <v>25</v>
      </c>
      <c r="AP11" s="330" t="s">
        <v>26</v>
      </c>
      <c r="AQ11" s="330" t="s">
        <v>27</v>
      </c>
      <c r="AR11" s="330" t="s">
        <v>90</v>
      </c>
      <c r="AS11" s="330" t="s">
        <v>91</v>
      </c>
      <c r="AT11" s="330" t="s">
        <v>184</v>
      </c>
      <c r="AU11" s="330" t="s">
        <v>28</v>
      </c>
      <c r="AV11" s="330" t="s">
        <v>29</v>
      </c>
      <c r="AW11" s="330" t="s">
        <v>92</v>
      </c>
      <c r="AX11" s="330" t="s">
        <v>93</v>
      </c>
      <c r="AY11" s="330" t="s">
        <v>3</v>
      </c>
      <c r="AZ11" s="330" t="s">
        <v>22</v>
      </c>
      <c r="BA11" s="330" t="s">
        <v>23</v>
      </c>
      <c r="BB11" s="330" t="s">
        <v>24</v>
      </c>
      <c r="BC11" s="330" t="s">
        <v>25</v>
      </c>
      <c r="BD11" s="330" t="s">
        <v>26</v>
      </c>
      <c r="BE11" s="330" t="s">
        <v>27</v>
      </c>
      <c r="BF11" s="330" t="s">
        <v>90</v>
      </c>
      <c r="BG11" s="330" t="s">
        <v>91</v>
      </c>
      <c r="BH11" s="330" t="s">
        <v>184</v>
      </c>
      <c r="BI11" s="330" t="s">
        <v>28</v>
      </c>
      <c r="BJ11" s="330" t="s">
        <v>29</v>
      </c>
      <c r="BK11" s="330" t="s">
        <v>92</v>
      </c>
      <c r="BL11" s="330" t="s">
        <v>93</v>
      </c>
      <c r="BM11" s="93"/>
      <c r="BN11" s="94"/>
      <c r="BO11" s="94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</row>
    <row r="12" spans="1:78" s="89" customFormat="1" ht="11.25">
      <c r="A12" s="312" t="s">
        <v>211</v>
      </c>
      <c r="B12" s="313" t="s">
        <v>246</v>
      </c>
      <c r="C12" s="314"/>
      <c r="D12" s="315">
        <v>0.38263888888888892</v>
      </c>
      <c r="E12" s="316">
        <v>66.421800000000005</v>
      </c>
      <c r="F12" s="317"/>
      <c r="G12" s="317"/>
      <c r="H12" s="312"/>
      <c r="I12" s="313" t="s">
        <v>94</v>
      </c>
      <c r="J12" s="318">
        <f>IF(ISERROR(VLOOKUP(I12,Max_Load_France!$B$2:$C$102,2,FALSE)/1000),"",VLOOKUP(I12,Max_Load_France!$B$2:$C$102,2,FALSE)/1000)</f>
        <v>40</v>
      </c>
      <c r="K12" s="319"/>
      <c r="L12" s="320">
        <f t="shared" ref="L12:L47" si="0">W12/J12</f>
        <v>0.87750000000000006</v>
      </c>
      <c r="M12" s="321">
        <f>IF(VLOOKUP($I12,Max_Load_France!$B$2:$M$102,3,FALSE)="","",VLOOKUP($I12,Max_Load_France!$B$2:$M$102,3,FALSE))</f>
        <v>0</v>
      </c>
      <c r="N12" s="321">
        <f>IF(VLOOKUP($I12,Max_Load_France!$B$2:$M$102,4,FALSE)="","",VLOOKUP($I12,Max_Load_France!$B$2:$M$102,4,FALSE))</f>
        <v>0</v>
      </c>
      <c r="O12" s="321">
        <f>IF(VLOOKUP($I12,Max_Load_France!$B$2:$M$102,5,FALSE)="","",VLOOKUP($I12,Max_Load_France!$B$2:$M$102,5,FALSE))</f>
        <v>1</v>
      </c>
      <c r="P12" s="321">
        <f>IF(VLOOKUP($I12,Max_Load_France!$B$2:$M$102,6,FALSE)="","",VLOOKUP($I12,Max_Load_France!$B$2:$M$102,6,FALSE))</f>
        <v>1</v>
      </c>
      <c r="Q12" s="321">
        <f>IF(VLOOKUP($I12,Max_Load_France!$B$2:$M$102,7,FALSE)="","",VLOOKUP($I12,Max_Load_France!$B$2:$M$102,7,FALSE))</f>
        <v>1</v>
      </c>
      <c r="R12" s="321" t="str">
        <f>IF(VLOOKUP($I12,Max_Load_France!$B$2:$M$102,8,FALSE)="","",VLOOKUP($I12,Max_Load_France!$B$2:$M$102,8,FALSE))</f>
        <v/>
      </c>
      <c r="S12" s="321" t="str">
        <f>IF(VLOOKUP($I12,Max_Load_France!$B$2:$M$102,9,FALSE)="","",VLOOKUP($I12,Max_Load_France!$B$2:$M$102,9,FALSE))</f>
        <v/>
      </c>
      <c r="T12" s="321" t="str">
        <f>IF(VLOOKUP($I12,Max_Load_France!$B$2:$M$102,10,FALSE)="","",VLOOKUP($I12,Max_Load_France!$B$2:$M$102,10,FALSE))</f>
        <v/>
      </c>
      <c r="U12" s="321" t="str">
        <f>IF(VLOOKUP($I12,Max_Load_France!$B$2:$M$102,11,FALSE)="","",VLOOKUP($I12,Max_Load_France!$B$2:$M$102,11,FALSE))</f>
        <v/>
      </c>
      <c r="V12" s="312">
        <v>5</v>
      </c>
      <c r="W12" s="322">
        <f>SUM($X12:$AF12)</f>
        <v>35.1</v>
      </c>
      <c r="X12" s="323">
        <v>6.7</v>
      </c>
      <c r="Y12" s="323">
        <v>9.6</v>
      </c>
      <c r="Z12" s="323">
        <v>6.4</v>
      </c>
      <c r="AA12" s="323">
        <v>6.2</v>
      </c>
      <c r="AB12" s="323">
        <v>6.2</v>
      </c>
      <c r="AC12" s="324"/>
      <c r="AD12" s="324"/>
      <c r="AE12" s="324"/>
      <c r="AF12" s="324"/>
      <c r="AG12" s="325">
        <f>IF(SUMIF($M12:$U12,"=1",$X12:$AF12)=0,"",SUMIF($M12:$U12,"=1",$X12:$AF12))</f>
        <v>18.8</v>
      </c>
      <c r="AH12" s="325" t="str">
        <f>IF(SUMIF($M12:$U12,"=2",$X12:$AF12)=0,"",SUMIF($M12:$U12,"=2",$X12:$AF12))</f>
        <v/>
      </c>
      <c r="AI12" s="325" t="str">
        <f>IF(SUMIF($M12:$U12,"=3",$X12:$AF12)=0,"",SUMIF($M12:$U12,"=3",$X12:$AF12))</f>
        <v/>
      </c>
      <c r="AJ12" s="325" t="str">
        <f>IF(SUMIF($M12:$U12,"=4",$X12:$AF12)=0,"",SUMIF($M12:$U12,"=4",$X12:$AF12))</f>
        <v/>
      </c>
      <c r="AK12" s="326">
        <f t="shared" ref="AK12:AK17" si="1">SUM(AL12:AR12)</f>
        <v>34.923098878695207</v>
      </c>
      <c r="AL12" s="323">
        <v>5.8573598369011215</v>
      </c>
      <c r="AM12" s="323">
        <v>11.508766564729866</v>
      </c>
      <c r="AN12" s="323">
        <v>5.8523241590214061</v>
      </c>
      <c r="AO12" s="323">
        <v>5.8523241590214061</v>
      </c>
      <c r="AP12" s="323">
        <v>5.8523241590214061</v>
      </c>
      <c r="AQ12" s="324"/>
      <c r="AR12" s="324"/>
      <c r="AS12" s="324"/>
      <c r="AT12" s="324"/>
      <c r="AU12" s="325">
        <f>IF(SUMIF($M12:$U12,"=1",$AL12:$AT12)=0,"",SUMIF($M12:$U12,"=1",$AL12:$AT12))</f>
        <v>17.556972477064217</v>
      </c>
      <c r="AV12" s="325" t="str">
        <f>IF(SUMIF($M12:$U12,"=2",$AL12:$AT12)=0,"",SUMIF($M12:$U12,"=2",$AL12:$AT12))</f>
        <v/>
      </c>
      <c r="AW12" s="325" t="str">
        <f>IF(SUMIF($M12:$U12,"=3",$AL12:$AT12)=0,"",SUMIF($M12:$U12,"=3",$AL12:$AT12))</f>
        <v/>
      </c>
      <c r="AX12" s="325" t="str">
        <f>IF(SUMIF($M12:$U12,"=4",$AL12:$AT12)=0,"",SUMIF($M12:$U12,"=4",$AL12:$AT12))</f>
        <v/>
      </c>
      <c r="AY12" s="327">
        <f t="shared" ref="AY12:BH27" si="2">IF(W12&gt;0,(AK12-W12)/W12,"")</f>
        <v>-5.039917985891585E-3</v>
      </c>
      <c r="AZ12" s="327">
        <f t="shared" si="2"/>
        <v>-0.12576718852222069</v>
      </c>
      <c r="BA12" s="327">
        <f t="shared" si="2"/>
        <v>0.19882985049269442</v>
      </c>
      <c r="BB12" s="327">
        <f t="shared" si="2"/>
        <v>-8.5574350152905349E-2</v>
      </c>
      <c r="BC12" s="327">
        <f t="shared" si="2"/>
        <v>-5.6076748544934524E-2</v>
      </c>
      <c r="BD12" s="327">
        <f t="shared" si="2"/>
        <v>-5.6076748544934524E-2</v>
      </c>
      <c r="BE12" s="327" t="str">
        <f t="shared" si="2"/>
        <v/>
      </c>
      <c r="BF12" s="327" t="str">
        <f t="shared" si="2"/>
        <v/>
      </c>
      <c r="BG12" s="327" t="str">
        <f t="shared" si="2"/>
        <v/>
      </c>
      <c r="BH12" s="327" t="str">
        <f t="shared" si="2"/>
        <v/>
      </c>
      <c r="BI12" s="327">
        <f>IF(AG12&lt;&gt;"",(AU12-AG12)/AG12,"")</f>
        <v>-6.611848526254166E-2</v>
      </c>
      <c r="BJ12" s="327" t="str">
        <f>IF(AH12&lt;&gt;"",(AV12-AH12)/AH12,"")</f>
        <v/>
      </c>
      <c r="BK12" s="328" t="str">
        <f>IF(AI12&lt;&gt;"",(AW12-AI12)/AI12,"")</f>
        <v/>
      </c>
      <c r="BL12" s="329" t="str">
        <f>IF(AJ12&lt;&gt;"",(AX12-AJ12)/AJ12,"")</f>
        <v/>
      </c>
      <c r="BM12" s="76"/>
      <c r="BN12" s="94"/>
      <c r="BO12" s="94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</row>
    <row r="13" spans="1:78" s="89" customFormat="1" ht="11.25">
      <c r="A13" s="289" t="s">
        <v>212</v>
      </c>
      <c r="B13" s="290" t="s">
        <v>247</v>
      </c>
      <c r="C13" s="291"/>
      <c r="D13" s="292">
        <v>0.38541666666666669</v>
      </c>
      <c r="E13" s="293">
        <v>77.201999999999998</v>
      </c>
      <c r="F13" s="294"/>
      <c r="G13" s="294"/>
      <c r="H13" s="289"/>
      <c r="I13" s="290" t="s">
        <v>124</v>
      </c>
      <c r="J13" s="295">
        <f>IF(ISERROR(VLOOKUP(I13,Max_Load_France!$B$2:$C$102,2,FALSE)/1000),"",VLOOKUP(I13,Max_Load_France!$B$2:$C$102,2,FALSE)/1000)</f>
        <v>40</v>
      </c>
      <c r="K13" s="296"/>
      <c r="L13" s="297">
        <f t="shared" si="0"/>
        <v>0.36249999999999999</v>
      </c>
      <c r="M13" s="298">
        <f>IF(VLOOKUP($I13,Max_Load_France!$B$2:$M$102,3,FALSE)="","",VLOOKUP($I13,Max_Load_France!$B$2:$M$102,3,FALSE))</f>
        <v>0</v>
      </c>
      <c r="N13" s="298">
        <f>IF(VLOOKUP($I13,Max_Load_France!$B$2:$M$102,4,FALSE)="","",VLOOKUP($I13,Max_Load_France!$B$2:$M$102,4,FALSE))</f>
        <v>0</v>
      </c>
      <c r="O13" s="298">
        <f>IF(VLOOKUP($I13,Max_Load_France!$B$2:$M$102,5,FALSE)="","",VLOOKUP($I13,Max_Load_France!$B$2:$M$102,5,FALSE))</f>
        <v>0</v>
      </c>
      <c r="P13" s="298">
        <f>IF(VLOOKUP($I13,Max_Load_France!$B$2:$M$102,6,FALSE)="","",VLOOKUP($I13,Max_Load_France!$B$2:$M$102,6,FALSE))</f>
        <v>1</v>
      </c>
      <c r="Q13" s="298">
        <f>IF(VLOOKUP($I13,Max_Load_France!$B$2:$M$102,7,FALSE)="","",VLOOKUP($I13,Max_Load_France!$B$2:$M$102,7,FALSE))</f>
        <v>1</v>
      </c>
      <c r="R13" s="298" t="str">
        <f>IF(VLOOKUP($I13,Max_Load_France!$B$2:$M$102,8,FALSE)="","",VLOOKUP($I13,Max_Load_France!$B$2:$M$102,8,FALSE))</f>
        <v/>
      </c>
      <c r="S13" s="298" t="str">
        <f>IF(VLOOKUP($I13,Max_Load_France!$B$2:$M$102,9,FALSE)="","",VLOOKUP($I13,Max_Load_France!$B$2:$M$102,9,FALSE))</f>
        <v/>
      </c>
      <c r="T13" s="298" t="str">
        <f>IF(VLOOKUP($I13,Max_Load_France!$B$2:$M$102,10,FALSE)="","",VLOOKUP($I13,Max_Load_France!$B$2:$M$102,10,FALSE))</f>
        <v/>
      </c>
      <c r="U13" s="298" t="str">
        <f>IF(VLOOKUP($I13,Max_Load_France!$B$2:$M$102,11,FALSE)="","",VLOOKUP($I13,Max_Load_France!$B$2:$M$102,11,FALSE))</f>
        <v/>
      </c>
      <c r="V13" s="289">
        <v>5</v>
      </c>
      <c r="W13" s="299">
        <f t="shared" ref="W13:W47" si="3">SUM($X13:$AF13)</f>
        <v>14.5</v>
      </c>
      <c r="X13" s="300">
        <v>5.6</v>
      </c>
      <c r="Y13" s="300">
        <v>3.1</v>
      </c>
      <c r="Z13" s="300">
        <v>1.9</v>
      </c>
      <c r="AA13" s="300">
        <v>2</v>
      </c>
      <c r="AB13" s="300">
        <v>1.9</v>
      </c>
      <c r="AC13" s="301"/>
      <c r="AD13" s="301"/>
      <c r="AE13" s="301"/>
      <c r="AF13" s="301"/>
      <c r="AG13" s="302">
        <f t="shared" ref="AG13:AG47" si="4">IF(SUMIF($M13:$U13,"=1",$X13:$AF13)=0,"",SUMIF($M13:$U13,"=1",$X13:$AF13))</f>
        <v>3.9</v>
      </c>
      <c r="AH13" s="302" t="str">
        <f t="shared" ref="AH13:AH47" si="5">IF(SUMIF($M13:$U13,"=2",$X13:$AF13)=0,"",SUMIF($M13:$U13,"=2",$X13:$AF13))</f>
        <v/>
      </c>
      <c r="AI13" s="302" t="str">
        <f t="shared" ref="AI13:AI40" si="6">IF(SUMIF($M13:$U13,"=3",$X13:$AF13)=0,"",SUMIF($M13:$U13,"=3",$X13:$AF13))</f>
        <v/>
      </c>
      <c r="AJ13" s="302" t="str">
        <f t="shared" ref="AJ13:AJ40" si="7">IF(SUMIF($M13:$U13,"=4",$X13:$AF13)=0,"",SUMIF($M13:$U13,"=4",$X13:$AF13))</f>
        <v/>
      </c>
      <c r="AK13" s="303">
        <f t="shared" si="1"/>
        <v>13.576972477064221</v>
      </c>
      <c r="AL13" s="300">
        <v>5.1031396534148827</v>
      </c>
      <c r="AM13" s="300">
        <v>3.8468603465851166</v>
      </c>
      <c r="AN13" s="300">
        <v>2.3134862385321098</v>
      </c>
      <c r="AO13" s="300">
        <v>2.3134862385321098</v>
      </c>
      <c r="AP13" s="300"/>
      <c r="AQ13" s="301"/>
      <c r="AR13" s="301"/>
      <c r="AS13" s="301"/>
      <c r="AT13" s="301"/>
      <c r="AU13" s="302">
        <f t="shared" ref="AU13:AU47" si="8">IF(SUMIF($M13:$U13,"=1",$AL13:$AT13)=0,"",SUMIF($M13:$U13,"=1",$AL13:$AT13))</f>
        <v>2.3134862385321098</v>
      </c>
      <c r="AV13" s="302" t="str">
        <f t="shared" ref="AV13:AV47" si="9">IF(SUMIF($M13:$U13,"=2",$AL13:$AT13)=0,"",SUMIF($M13:$U13,"=2",$AL13:$AT13))</f>
        <v/>
      </c>
      <c r="AW13" s="302" t="str">
        <f t="shared" ref="AW13:AW24" si="10">IF(SUMIF($M13:$U13,"=3",$AL13:$AT13)=0,"",SUMIF($M13:$U13,"=3",$AL13:$AT13))</f>
        <v/>
      </c>
      <c r="AX13" s="302" t="str">
        <f t="shared" ref="AX13:AX24" si="11">IF(SUMIF($M13:$U13,"=4",$AL13:$AT13)=0,"",SUMIF($M13:$U13,"=4",$AL13:$AT13))</f>
        <v/>
      </c>
      <c r="AY13" s="304">
        <f t="shared" si="2"/>
        <v>-6.3657070547295136E-2</v>
      </c>
      <c r="AZ13" s="304">
        <f t="shared" si="2"/>
        <v>-8.872506189019945E-2</v>
      </c>
      <c r="BA13" s="304">
        <f t="shared" si="2"/>
        <v>0.24092269244681175</v>
      </c>
      <c r="BB13" s="304">
        <f t="shared" si="2"/>
        <v>0.21762433606953152</v>
      </c>
      <c r="BC13" s="304">
        <f t="shared" si="2"/>
        <v>0.15674311926605489</v>
      </c>
      <c r="BD13" s="304"/>
      <c r="BE13" s="304" t="str">
        <f t="shared" si="2"/>
        <v/>
      </c>
      <c r="BF13" s="304" t="str">
        <f t="shared" si="2"/>
        <v/>
      </c>
      <c r="BG13" s="304" t="str">
        <f t="shared" si="2"/>
        <v/>
      </c>
      <c r="BH13" s="304" t="str">
        <f t="shared" si="2"/>
        <v/>
      </c>
      <c r="BI13" s="304">
        <f>IF(AG13&lt;&gt;"",(AU13-AG13)/AG13,"")</f>
        <v>-0.4067984003763821</v>
      </c>
      <c r="BJ13" s="304" t="str">
        <f t="shared" ref="BI13:BL28" si="12">IF(AH13&lt;&gt;"",(AV13-AH13)/AH13,"")</f>
        <v/>
      </c>
      <c r="BK13" s="288" t="str">
        <f t="shared" si="12"/>
        <v/>
      </c>
      <c r="BL13" s="136" t="str">
        <f t="shared" si="12"/>
        <v/>
      </c>
      <c r="BM13" s="76"/>
      <c r="BN13" s="94"/>
      <c r="BO13" s="94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</row>
    <row r="14" spans="1:78" s="89" customFormat="1" ht="11.25">
      <c r="A14" s="289" t="s">
        <v>213</v>
      </c>
      <c r="B14" s="290" t="s">
        <v>248</v>
      </c>
      <c r="C14" s="291"/>
      <c r="D14" s="292">
        <v>0.38958333333333334</v>
      </c>
      <c r="E14" s="293">
        <v>54.816480000000006</v>
      </c>
      <c r="F14" s="294"/>
      <c r="G14" s="294"/>
      <c r="H14" s="289"/>
      <c r="I14" s="290" t="s">
        <v>94</v>
      </c>
      <c r="J14" s="295">
        <f>IF(ISERROR(VLOOKUP(I14,Max_Load_France!$B$2:$C$102,2,FALSE)/1000),"",VLOOKUP(I14,Max_Load_France!$B$2:$C$102,2,FALSE)/1000)</f>
        <v>40</v>
      </c>
      <c r="K14" s="296"/>
      <c r="L14" s="297">
        <f t="shared" si="0"/>
        <v>1.05</v>
      </c>
      <c r="M14" s="298">
        <f>IF(VLOOKUP($I14,Max_Load_France!$B$2:$M$102,3,FALSE)="","",VLOOKUP($I14,Max_Load_France!$B$2:$M$102,3,FALSE))</f>
        <v>0</v>
      </c>
      <c r="N14" s="298">
        <f>IF(VLOOKUP($I14,Max_Load_France!$B$2:$M$102,4,FALSE)="","",VLOOKUP($I14,Max_Load_France!$B$2:$M$102,4,FALSE))</f>
        <v>0</v>
      </c>
      <c r="O14" s="298">
        <f>IF(VLOOKUP($I14,Max_Load_France!$B$2:$M$102,5,FALSE)="","",VLOOKUP($I14,Max_Load_France!$B$2:$M$102,5,FALSE))</f>
        <v>1</v>
      </c>
      <c r="P14" s="298">
        <f>IF(VLOOKUP($I14,Max_Load_France!$B$2:$M$102,6,FALSE)="","",VLOOKUP($I14,Max_Load_France!$B$2:$M$102,6,FALSE))</f>
        <v>1</v>
      </c>
      <c r="Q14" s="298">
        <f>IF(VLOOKUP($I14,Max_Load_France!$B$2:$M$102,7,FALSE)="","",VLOOKUP($I14,Max_Load_France!$B$2:$M$102,7,FALSE))</f>
        <v>1</v>
      </c>
      <c r="R14" s="298" t="str">
        <f>IF(VLOOKUP($I14,Max_Load_France!$B$2:$M$102,8,FALSE)="","",VLOOKUP($I14,Max_Load_France!$B$2:$M$102,8,FALSE))</f>
        <v/>
      </c>
      <c r="S14" s="298" t="str">
        <f>IF(VLOOKUP($I14,Max_Load_France!$B$2:$M$102,9,FALSE)="","",VLOOKUP($I14,Max_Load_France!$B$2:$M$102,9,FALSE))</f>
        <v/>
      </c>
      <c r="T14" s="298" t="str">
        <f>IF(VLOOKUP($I14,Max_Load_France!$B$2:$M$102,10,FALSE)="","",VLOOKUP($I14,Max_Load_France!$B$2:$M$102,10,FALSE))</f>
        <v/>
      </c>
      <c r="U14" s="298" t="str">
        <f>IF(VLOOKUP($I14,Max_Load_France!$B$2:$M$102,11,FALSE)="","",VLOOKUP($I14,Max_Load_France!$B$2:$M$102,11,FALSE))</f>
        <v/>
      </c>
      <c r="V14" s="289">
        <v>5</v>
      </c>
      <c r="W14" s="299">
        <f t="shared" si="3"/>
        <v>42</v>
      </c>
      <c r="X14" s="300">
        <v>7.5</v>
      </c>
      <c r="Y14" s="300">
        <v>13.8</v>
      </c>
      <c r="Z14" s="300">
        <v>7</v>
      </c>
      <c r="AA14" s="300">
        <v>6.9</v>
      </c>
      <c r="AB14" s="300">
        <v>6.8</v>
      </c>
      <c r="AC14" s="301"/>
      <c r="AD14" s="301"/>
      <c r="AE14" s="301"/>
      <c r="AF14" s="301"/>
      <c r="AG14" s="302">
        <f t="shared" si="4"/>
        <v>20.7</v>
      </c>
      <c r="AH14" s="302" t="str">
        <f t="shared" si="5"/>
        <v/>
      </c>
      <c r="AI14" s="302" t="str">
        <f t="shared" si="6"/>
        <v/>
      </c>
      <c r="AJ14" s="302" t="str">
        <f t="shared" si="7"/>
        <v/>
      </c>
      <c r="AK14" s="303">
        <f t="shared" si="1"/>
        <v>40.810703363914371</v>
      </c>
      <c r="AL14" s="300">
        <v>6.5009683995922529</v>
      </c>
      <c r="AM14" s="300">
        <v>14.2493374108053</v>
      </c>
      <c r="AN14" s="300">
        <v>6.6867991845056061</v>
      </c>
      <c r="AO14" s="300">
        <v>6.6867991845056061</v>
      </c>
      <c r="AP14" s="300">
        <v>6.6867991845056061</v>
      </c>
      <c r="AQ14" s="301"/>
      <c r="AR14" s="301"/>
      <c r="AS14" s="301"/>
      <c r="AT14" s="301"/>
      <c r="AU14" s="302">
        <f t="shared" si="8"/>
        <v>20.060397553516818</v>
      </c>
      <c r="AV14" s="302" t="str">
        <f t="shared" si="9"/>
        <v/>
      </c>
      <c r="AW14" s="302" t="str">
        <f t="shared" si="10"/>
        <v/>
      </c>
      <c r="AX14" s="302" t="str">
        <f t="shared" si="11"/>
        <v/>
      </c>
      <c r="AY14" s="304">
        <f t="shared" si="2"/>
        <v>-2.8316586573467362E-2</v>
      </c>
      <c r="AZ14" s="304">
        <f t="shared" si="2"/>
        <v>-0.13320421338769961</v>
      </c>
      <c r="BA14" s="304">
        <f t="shared" si="2"/>
        <v>3.2560681942412968E-2</v>
      </c>
      <c r="BB14" s="304">
        <f t="shared" si="2"/>
        <v>-4.4742973642056275E-2</v>
      </c>
      <c r="BC14" s="304">
        <f t="shared" si="2"/>
        <v>-3.0898668912231055E-2</v>
      </c>
      <c r="BD14" s="304">
        <f t="shared" si="2"/>
        <v>-1.6647178749175554E-2</v>
      </c>
      <c r="BE14" s="304" t="str">
        <f t="shared" si="2"/>
        <v/>
      </c>
      <c r="BF14" s="304" t="str">
        <f t="shared" si="2"/>
        <v/>
      </c>
      <c r="BG14" s="304" t="str">
        <f t="shared" si="2"/>
        <v/>
      </c>
      <c r="BH14" s="304" t="str">
        <f t="shared" si="2"/>
        <v/>
      </c>
      <c r="BI14" s="304">
        <f t="shared" si="12"/>
        <v>-3.0898668912230972E-2</v>
      </c>
      <c r="BJ14" s="304" t="str">
        <f t="shared" si="12"/>
        <v/>
      </c>
      <c r="BK14" s="288" t="str">
        <f t="shared" si="12"/>
        <v/>
      </c>
      <c r="BL14" s="136" t="str">
        <f t="shared" si="12"/>
        <v/>
      </c>
      <c r="BM14" s="76"/>
      <c r="BN14" s="94"/>
      <c r="BO14" s="94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</row>
    <row r="15" spans="1:78" s="89" customFormat="1" ht="11.25">
      <c r="A15" s="289" t="s">
        <v>214</v>
      </c>
      <c r="B15" s="298" t="s">
        <v>250</v>
      </c>
      <c r="C15" s="298"/>
      <c r="D15" s="292">
        <v>0.39374999999999999</v>
      </c>
      <c r="E15" s="293">
        <v>60.186239999999998</v>
      </c>
      <c r="F15" s="294"/>
      <c r="G15" s="294"/>
      <c r="H15" s="289"/>
      <c r="I15" s="290" t="s">
        <v>129</v>
      </c>
      <c r="J15" s="295">
        <f>IF(ISERROR(VLOOKUP(I15,Max_Load_France!$B$2:$C$102,2,FALSE)/1000),"",VLOOKUP(I15,Max_Load_France!$B$2:$C$102,2,FALSE)/1000)</f>
        <v>40</v>
      </c>
      <c r="K15" s="296"/>
      <c r="L15" s="297">
        <f t="shared" si="0"/>
        <v>0.72250000000000003</v>
      </c>
      <c r="M15" s="298">
        <f>IF(VLOOKUP($I15,Max_Load_France!$B$2:$M$102,3,FALSE)="","",VLOOKUP($I15,Max_Load_France!$B$2:$M$102,3,FALSE))</f>
        <v>0</v>
      </c>
      <c r="N15" s="298">
        <f>IF(VLOOKUP($I15,Max_Load_France!$B$2:$M$102,4,FALSE)="","",VLOOKUP($I15,Max_Load_France!$B$2:$M$102,4,FALSE))</f>
        <v>1</v>
      </c>
      <c r="O15" s="298">
        <f>IF(VLOOKUP($I15,Max_Load_France!$B$2:$M$102,5,FALSE)="","",VLOOKUP($I15,Max_Load_France!$B$2:$M$102,5,FALSE))</f>
        <v>1</v>
      </c>
      <c r="P15" s="298">
        <f>IF(VLOOKUP($I15,Max_Load_France!$B$2:$M$102,6,FALSE)="","",VLOOKUP($I15,Max_Load_France!$B$2:$M$102,6,FALSE))</f>
        <v>2</v>
      </c>
      <c r="Q15" s="298">
        <f>IF(VLOOKUP($I15,Max_Load_France!$B$2:$M$102,7,FALSE)="","",VLOOKUP($I15,Max_Load_France!$B$2:$M$102,7,FALSE))</f>
        <v>2</v>
      </c>
      <c r="R15" s="298" t="str">
        <f>IF(VLOOKUP($I15,Max_Load_France!$B$2:$M$102,8,FALSE)="","",VLOOKUP($I15,Max_Load_France!$B$2:$M$102,8,FALSE))</f>
        <v/>
      </c>
      <c r="S15" s="298" t="str">
        <f>IF(VLOOKUP($I15,Max_Load_France!$B$2:$M$102,9,FALSE)="","",VLOOKUP($I15,Max_Load_France!$B$2:$M$102,9,FALSE))</f>
        <v/>
      </c>
      <c r="T15" s="298" t="str">
        <f>IF(VLOOKUP($I15,Max_Load_France!$B$2:$M$102,10,FALSE)="","",VLOOKUP($I15,Max_Load_France!$B$2:$M$102,10,FALSE))</f>
        <v/>
      </c>
      <c r="U15" s="298" t="str">
        <f>IF(VLOOKUP($I15,Max_Load_France!$B$2:$M$102,11,FALSE)="","",VLOOKUP($I15,Max_Load_France!$B$2:$M$102,11,FALSE))</f>
        <v/>
      </c>
      <c r="V15" s="289">
        <v>5</v>
      </c>
      <c r="W15" s="299">
        <f t="shared" si="3"/>
        <v>28.900000000000002</v>
      </c>
      <c r="X15" s="300">
        <v>6</v>
      </c>
      <c r="Y15" s="300">
        <v>8.1999999999999993</v>
      </c>
      <c r="Z15" s="300">
        <v>4.9000000000000004</v>
      </c>
      <c r="AA15" s="300">
        <v>4.8</v>
      </c>
      <c r="AB15" s="300">
        <v>5</v>
      </c>
      <c r="AC15" s="301"/>
      <c r="AD15" s="301"/>
      <c r="AE15" s="301"/>
      <c r="AF15" s="301"/>
      <c r="AG15" s="302">
        <f t="shared" si="4"/>
        <v>13.1</v>
      </c>
      <c r="AH15" s="302">
        <f t="shared" si="5"/>
        <v>9.8000000000000007</v>
      </c>
      <c r="AI15" s="302" t="str">
        <f t="shared" si="6"/>
        <v/>
      </c>
      <c r="AJ15" s="302" t="str">
        <f t="shared" si="7"/>
        <v/>
      </c>
      <c r="AK15" s="303">
        <f t="shared" si="1"/>
        <v>29.125147808358815</v>
      </c>
      <c r="AL15" s="300">
        <v>4.7935779816513762</v>
      </c>
      <c r="AM15" s="300">
        <v>10.047716615698267</v>
      </c>
      <c r="AN15" s="300">
        <v>4.7612844036697242</v>
      </c>
      <c r="AO15" s="300">
        <v>4.7612844036697242</v>
      </c>
      <c r="AP15" s="300">
        <v>4.7612844036697242</v>
      </c>
      <c r="AQ15" s="301"/>
      <c r="AR15" s="301"/>
      <c r="AS15" s="301"/>
      <c r="AT15" s="301"/>
      <c r="AU15" s="302">
        <f t="shared" si="8"/>
        <v>14.80900101936799</v>
      </c>
      <c r="AV15" s="302">
        <f t="shared" si="9"/>
        <v>9.5225688073394483</v>
      </c>
      <c r="AW15" s="302" t="str">
        <f t="shared" si="10"/>
        <v/>
      </c>
      <c r="AX15" s="302" t="str">
        <f t="shared" si="11"/>
        <v/>
      </c>
      <c r="AY15" s="304">
        <f t="shared" si="2"/>
        <v>7.7905816041111599E-3</v>
      </c>
      <c r="AZ15" s="304">
        <f t="shared" si="2"/>
        <v>-0.20107033639143732</v>
      </c>
      <c r="BA15" s="304">
        <f t="shared" si="2"/>
        <v>0.22533129459734974</v>
      </c>
      <c r="BB15" s="304">
        <f t="shared" si="2"/>
        <v>-2.8309305373525752E-2</v>
      </c>
      <c r="BC15" s="304">
        <f t="shared" si="2"/>
        <v>-8.0657492354740956E-3</v>
      </c>
      <c r="BD15" s="304">
        <f t="shared" si="2"/>
        <v>-4.7743119266055165E-2</v>
      </c>
      <c r="BE15" s="304" t="str">
        <f t="shared" si="2"/>
        <v/>
      </c>
      <c r="BF15" s="304" t="str">
        <f t="shared" si="2"/>
        <v/>
      </c>
      <c r="BG15" s="304" t="str">
        <f t="shared" si="2"/>
        <v/>
      </c>
      <c r="BH15" s="304" t="str">
        <f t="shared" si="2"/>
        <v/>
      </c>
      <c r="BI15" s="304">
        <f t="shared" si="12"/>
        <v>0.13045809308152601</v>
      </c>
      <c r="BJ15" s="304">
        <f t="shared" si="12"/>
        <v>-2.8309305373525752E-2</v>
      </c>
      <c r="BK15" s="288" t="str">
        <f t="shared" si="12"/>
        <v/>
      </c>
      <c r="BL15" s="136" t="str">
        <f t="shared" si="12"/>
        <v/>
      </c>
      <c r="BM15" s="76"/>
      <c r="BN15" s="94"/>
      <c r="BO15" s="94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</row>
    <row r="16" spans="1:78" s="89" customFormat="1" ht="11.25">
      <c r="A16" s="289" t="s">
        <v>215</v>
      </c>
      <c r="B16" s="290" t="s">
        <v>249</v>
      </c>
      <c r="C16" s="291"/>
      <c r="D16" s="292">
        <v>0.39652777777777781</v>
      </c>
      <c r="E16" s="293">
        <v>58.747320000000002</v>
      </c>
      <c r="F16" s="294"/>
      <c r="G16" s="294"/>
      <c r="H16" s="289"/>
      <c r="I16" s="290" t="s">
        <v>94</v>
      </c>
      <c r="J16" s="295">
        <f>IF(ISERROR(VLOOKUP(I16,Max_Load_France!$B$2:$C$102,2,FALSE)/1000),"",VLOOKUP(I16,Max_Load_France!$B$2:$C$102,2,FALSE)/1000)</f>
        <v>40</v>
      </c>
      <c r="K16" s="296"/>
      <c r="L16" s="297">
        <f t="shared" si="0"/>
        <v>0.36499999999999994</v>
      </c>
      <c r="M16" s="298">
        <f>IF(VLOOKUP($I16,Max_Load_France!$B$2:$M$102,3,FALSE)="","",VLOOKUP($I16,Max_Load_France!$B$2:$M$102,3,FALSE))</f>
        <v>0</v>
      </c>
      <c r="N16" s="298">
        <f>IF(VLOOKUP($I16,Max_Load_France!$B$2:$M$102,4,FALSE)="","",VLOOKUP($I16,Max_Load_France!$B$2:$M$102,4,FALSE))</f>
        <v>0</v>
      </c>
      <c r="O16" s="298">
        <f>IF(VLOOKUP($I16,Max_Load_France!$B$2:$M$102,5,FALSE)="","",VLOOKUP($I16,Max_Load_France!$B$2:$M$102,5,FALSE))</f>
        <v>1</v>
      </c>
      <c r="P16" s="298">
        <f>IF(VLOOKUP($I16,Max_Load_France!$B$2:$M$102,6,FALSE)="","",VLOOKUP($I16,Max_Load_France!$B$2:$M$102,6,FALSE))</f>
        <v>1</v>
      </c>
      <c r="Q16" s="298">
        <f>IF(VLOOKUP($I16,Max_Load_France!$B$2:$M$102,7,FALSE)="","",VLOOKUP($I16,Max_Load_France!$B$2:$M$102,7,FALSE))</f>
        <v>1</v>
      </c>
      <c r="R16" s="298" t="str">
        <f>IF(VLOOKUP($I16,Max_Load_France!$B$2:$M$102,8,FALSE)="","",VLOOKUP($I16,Max_Load_France!$B$2:$M$102,8,FALSE))</f>
        <v/>
      </c>
      <c r="S16" s="298" t="str">
        <f>IF(VLOOKUP($I16,Max_Load_France!$B$2:$M$102,9,FALSE)="","",VLOOKUP($I16,Max_Load_France!$B$2:$M$102,9,FALSE))</f>
        <v/>
      </c>
      <c r="T16" s="298" t="str">
        <f>IF(VLOOKUP($I16,Max_Load_France!$B$2:$M$102,10,FALSE)="","",VLOOKUP($I16,Max_Load_France!$B$2:$M$102,10,FALSE))</f>
        <v/>
      </c>
      <c r="U16" s="298" t="str">
        <f>IF(VLOOKUP($I16,Max_Load_France!$B$2:$M$102,11,FALSE)="","",VLOOKUP($I16,Max_Load_France!$B$2:$M$102,11,FALSE))</f>
        <v/>
      </c>
      <c r="V16" s="289">
        <v>5</v>
      </c>
      <c r="W16" s="299">
        <f t="shared" si="3"/>
        <v>14.599999999999998</v>
      </c>
      <c r="X16" s="300">
        <v>4.5999999999999996</v>
      </c>
      <c r="Y16" s="300">
        <v>3.8</v>
      </c>
      <c r="Z16" s="300">
        <v>2.1</v>
      </c>
      <c r="AA16" s="300">
        <v>2.1</v>
      </c>
      <c r="AB16" s="300">
        <v>2</v>
      </c>
      <c r="AC16" s="301"/>
      <c r="AD16" s="301"/>
      <c r="AE16" s="301"/>
      <c r="AF16" s="301"/>
      <c r="AG16" s="302">
        <f t="shared" si="4"/>
        <v>6.2</v>
      </c>
      <c r="AH16" s="302" t="str">
        <f t="shared" si="5"/>
        <v/>
      </c>
      <c r="AI16" s="302" t="str">
        <f t="shared" si="6"/>
        <v/>
      </c>
      <c r="AJ16" s="302" t="str">
        <f t="shared" si="7"/>
        <v/>
      </c>
      <c r="AK16" s="303">
        <f t="shared" si="1"/>
        <v>16.125667686034657</v>
      </c>
      <c r="AL16" s="300">
        <v>5.0462385321100918</v>
      </c>
      <c r="AM16" s="300">
        <v>4.9170438328236488</v>
      </c>
      <c r="AN16" s="300">
        <v>2.0541284403669722</v>
      </c>
      <c r="AO16" s="300">
        <v>2.0541284403669722</v>
      </c>
      <c r="AP16" s="300">
        <v>2.0541284403669722</v>
      </c>
      <c r="AQ16" s="301"/>
      <c r="AR16" s="301"/>
      <c r="AS16" s="301"/>
      <c r="AT16" s="301"/>
      <c r="AU16" s="302">
        <f t="shared" si="8"/>
        <v>6.162385321100917</v>
      </c>
      <c r="AV16" s="302" t="str">
        <f t="shared" si="9"/>
        <v/>
      </c>
      <c r="AW16" s="302" t="str">
        <f t="shared" si="10"/>
        <v/>
      </c>
      <c r="AX16" s="302" t="str">
        <f t="shared" si="11"/>
        <v/>
      </c>
      <c r="AY16" s="304">
        <f t="shared" si="2"/>
        <v>0.10449778671470267</v>
      </c>
      <c r="AZ16" s="304">
        <f t="shared" si="2"/>
        <v>9.7008376545672209E-2</v>
      </c>
      <c r="BA16" s="304">
        <f>IF(Y16&gt;0,(AM16-Y16)/Y16,"")</f>
        <v>0.29395890337464448</v>
      </c>
      <c r="BB16" s="304">
        <f t="shared" si="2"/>
        <v>-2.1843599825251386E-2</v>
      </c>
      <c r="BC16" s="304">
        <f t="shared" si="2"/>
        <v>-2.1843599825251386E-2</v>
      </c>
      <c r="BD16" s="304">
        <f t="shared" si="2"/>
        <v>2.7064220183486087E-2</v>
      </c>
      <c r="BE16" s="304" t="str">
        <f t="shared" si="2"/>
        <v/>
      </c>
      <c r="BF16" s="304" t="str">
        <f t="shared" si="2"/>
        <v/>
      </c>
      <c r="BG16" s="304" t="str">
        <f t="shared" si="2"/>
        <v/>
      </c>
      <c r="BH16" s="304" t="str">
        <f t="shared" si="2"/>
        <v/>
      </c>
      <c r="BI16" s="304">
        <f t="shared" si="12"/>
        <v>-6.066883693400517E-3</v>
      </c>
      <c r="BJ16" s="304" t="str">
        <f t="shared" si="12"/>
        <v/>
      </c>
      <c r="BK16" s="288" t="str">
        <f t="shared" si="12"/>
        <v/>
      </c>
      <c r="BL16" s="136" t="str">
        <f t="shared" si="12"/>
        <v/>
      </c>
      <c r="BM16" s="76"/>
      <c r="BN16" s="94"/>
      <c r="BO16" s="94"/>
      <c r="BP16" s="76"/>
      <c r="BQ16" s="76"/>
      <c r="BR16" s="76"/>
      <c r="BS16" s="70"/>
      <c r="BT16" s="76"/>
      <c r="BU16" s="76"/>
      <c r="BV16" s="76"/>
      <c r="BW16" s="76"/>
      <c r="BX16" s="76"/>
      <c r="BY16" s="76"/>
      <c r="BZ16" s="76"/>
    </row>
    <row r="17" spans="1:78" s="89" customFormat="1" ht="11.25">
      <c r="A17" s="289" t="s">
        <v>216</v>
      </c>
      <c r="B17" s="290" t="s">
        <v>251</v>
      </c>
      <c r="C17" s="291"/>
      <c r="D17" s="292">
        <v>0.39999999999999997</v>
      </c>
      <c r="E17" s="293">
        <v>61.18524</v>
      </c>
      <c r="F17" s="294"/>
      <c r="G17" s="294"/>
      <c r="H17" s="289"/>
      <c r="I17" s="290" t="s">
        <v>139</v>
      </c>
      <c r="J17" s="295">
        <f>IF(ISERROR(VLOOKUP(I17,Max_Load_France!$B$2:$C$102,2,FALSE)/1000),"",VLOOKUP(I17,Max_Load_France!$B$2:$C$102,2,FALSE)/1000)</f>
        <v>40</v>
      </c>
      <c r="K17" s="296"/>
      <c r="L17" s="297">
        <f t="shared" si="0"/>
        <v>1.0074999999999998</v>
      </c>
      <c r="M17" s="298">
        <f>IF(VLOOKUP($I17,Max_Load_France!$B$2:$M$102,3,FALSE)="","",VLOOKUP($I17,Max_Load_France!$B$2:$M$102,3,FALSE))</f>
        <v>0</v>
      </c>
      <c r="N17" s="298">
        <f>IF(VLOOKUP($I17,Max_Load_France!$B$2:$M$102,4,FALSE)="","",VLOOKUP($I17,Max_Load_France!$B$2:$M$102,4,FALSE))</f>
        <v>1</v>
      </c>
      <c r="O17" s="298">
        <f>IF(VLOOKUP($I17,Max_Load_France!$B$2:$M$102,5,FALSE)="","",VLOOKUP($I17,Max_Load_France!$B$2:$M$102,5,FALSE))</f>
        <v>1</v>
      </c>
      <c r="P17" s="298">
        <f>IF(VLOOKUP($I17,Max_Load_France!$B$2:$M$102,6,FALSE)="","",VLOOKUP($I17,Max_Load_France!$B$2:$M$102,6,FALSE))</f>
        <v>0</v>
      </c>
      <c r="Q17" s="298">
        <f>IF(VLOOKUP($I17,Max_Load_France!$B$2:$M$102,7,FALSE)="","",VLOOKUP($I17,Max_Load_France!$B$2:$M$102,7,FALSE))</f>
        <v>2</v>
      </c>
      <c r="R17" s="298">
        <f>IF(VLOOKUP($I17,Max_Load_France!$B$2:$M$102,8,FALSE)="","",VLOOKUP($I17,Max_Load_France!$B$2:$M$102,8,FALSE))</f>
        <v>2</v>
      </c>
      <c r="S17" s="298" t="str">
        <f>IF(VLOOKUP($I17,Max_Load_France!$B$2:$M$102,9,FALSE)="","",VLOOKUP($I17,Max_Load_France!$B$2:$M$102,9,FALSE))</f>
        <v/>
      </c>
      <c r="T17" s="298" t="str">
        <f>IF(VLOOKUP($I17,Max_Load_France!$B$2:$M$102,10,FALSE)="","",VLOOKUP($I17,Max_Load_France!$B$2:$M$102,10,FALSE))</f>
        <v/>
      </c>
      <c r="U17" s="298" t="str">
        <f>IF(VLOOKUP($I17,Max_Load_France!$B$2:$M$102,11,FALSE)="","",VLOOKUP($I17,Max_Load_France!$B$2:$M$102,11,FALSE))</f>
        <v/>
      </c>
      <c r="V17" s="289">
        <v>6</v>
      </c>
      <c r="W17" s="299">
        <f t="shared" si="3"/>
        <v>40.299999999999997</v>
      </c>
      <c r="X17" s="300">
        <v>7</v>
      </c>
      <c r="Y17" s="300">
        <v>12.6</v>
      </c>
      <c r="Z17" s="300">
        <v>7</v>
      </c>
      <c r="AA17" s="300">
        <v>6.9</v>
      </c>
      <c r="AB17" s="300">
        <v>3</v>
      </c>
      <c r="AC17" s="301">
        <v>3.8</v>
      </c>
      <c r="AD17" s="301"/>
      <c r="AE17" s="301"/>
      <c r="AF17" s="301"/>
      <c r="AG17" s="302">
        <f t="shared" si="4"/>
        <v>19.600000000000001</v>
      </c>
      <c r="AH17" s="302">
        <f t="shared" si="5"/>
        <v>6.8</v>
      </c>
      <c r="AI17" s="302" t="str">
        <f t="shared" si="6"/>
        <v/>
      </c>
      <c r="AJ17" s="302" t="str">
        <f t="shared" si="7"/>
        <v/>
      </c>
      <c r="AK17" s="303">
        <f t="shared" si="1"/>
        <v>39.341712538226304</v>
      </c>
      <c r="AL17" s="300">
        <v>5.2474821610601428</v>
      </c>
      <c r="AM17" s="300">
        <v>14.838532110091743</v>
      </c>
      <c r="AN17" s="300">
        <v>6.9461875637104988</v>
      </c>
      <c r="AO17" s="300">
        <v>6.9461875637104988</v>
      </c>
      <c r="AP17" s="300">
        <v>2.6816615698267072</v>
      </c>
      <c r="AQ17" s="301">
        <v>2.6816615698267072</v>
      </c>
      <c r="AR17" s="301"/>
      <c r="AS17" s="301"/>
      <c r="AT17" s="301"/>
      <c r="AU17" s="302">
        <f t="shared" si="8"/>
        <v>21.784719673802243</v>
      </c>
      <c r="AV17" s="302">
        <f t="shared" si="9"/>
        <v>5.3633231396534145</v>
      </c>
      <c r="AW17" s="302" t="str">
        <f t="shared" si="10"/>
        <v/>
      </c>
      <c r="AX17" s="302" t="str">
        <f t="shared" si="11"/>
        <v/>
      </c>
      <c r="AY17" s="304">
        <f t="shared" si="2"/>
        <v>-2.3778845205302566E-2</v>
      </c>
      <c r="AZ17" s="304">
        <f t="shared" si="2"/>
        <v>-0.25035969127712249</v>
      </c>
      <c r="BA17" s="304">
        <f t="shared" si="2"/>
        <v>0.17766127857870978</v>
      </c>
      <c r="BB17" s="304">
        <f t="shared" si="2"/>
        <v>-7.6874908985001666E-3</v>
      </c>
      <c r="BC17" s="304">
        <f t="shared" si="2"/>
        <v>6.6938498131157214E-3</v>
      </c>
      <c r="BD17" s="304">
        <f t="shared" si="2"/>
        <v>-0.10611281005776425</v>
      </c>
      <c r="BE17" s="304">
        <f t="shared" si="2"/>
        <v>-0.29429958688770858</v>
      </c>
      <c r="BF17" s="304" t="str">
        <f t="shared" si="2"/>
        <v/>
      </c>
      <c r="BG17" s="304" t="str">
        <f t="shared" si="2"/>
        <v/>
      </c>
      <c r="BH17" s="304" t="str">
        <f t="shared" si="2"/>
        <v/>
      </c>
      <c r="BI17" s="304">
        <f t="shared" si="12"/>
        <v>0.11146528947970621</v>
      </c>
      <c r="BJ17" s="304">
        <f t="shared" si="12"/>
        <v>-0.21127600887449785</v>
      </c>
      <c r="BK17" s="288" t="str">
        <f t="shared" si="12"/>
        <v/>
      </c>
      <c r="BL17" s="136" t="str">
        <f t="shared" si="12"/>
        <v/>
      </c>
      <c r="BM17" s="76"/>
      <c r="BN17" s="94"/>
      <c r="BO17" s="94"/>
      <c r="BP17" s="76"/>
      <c r="BQ17" s="76"/>
      <c r="BR17" s="76"/>
      <c r="BS17" s="70"/>
      <c r="BT17" s="76"/>
      <c r="BU17" s="76"/>
      <c r="BV17" s="76"/>
      <c r="BW17" s="76"/>
      <c r="BX17" s="76"/>
      <c r="BY17" s="76"/>
      <c r="BZ17" s="76"/>
    </row>
    <row r="18" spans="1:78" s="89" customFormat="1" ht="11.25">
      <c r="A18" s="289" t="s">
        <v>217</v>
      </c>
      <c r="B18" s="290" t="s">
        <v>252</v>
      </c>
      <c r="C18" s="291"/>
      <c r="D18" s="292">
        <v>0.40416666666666662</v>
      </c>
      <c r="E18" s="293">
        <v>71.9298</v>
      </c>
      <c r="F18" s="294"/>
      <c r="G18" s="294"/>
      <c r="H18" s="289"/>
      <c r="I18" s="290" t="s">
        <v>130</v>
      </c>
      <c r="J18" s="295">
        <f>IF(ISERROR(VLOOKUP(I18,Max_Load_France!$B$2:$C$102,2,FALSE)/1000),"",VLOOKUP(I18,Max_Load_France!$B$2:$C$102,2,FALSE)/1000)</f>
        <v>40</v>
      </c>
      <c r="K18" s="296"/>
      <c r="L18" s="297">
        <f t="shared" si="0"/>
        <v>0.52500000000000002</v>
      </c>
      <c r="M18" s="298">
        <f>IF(VLOOKUP($I18,Max_Load_France!$B$2:$M$102,3,FALSE)="","",VLOOKUP($I18,Max_Load_France!$B$2:$M$102,3,FALSE))</f>
        <v>0</v>
      </c>
      <c r="N18" s="298">
        <f>IF(VLOOKUP($I18,Max_Load_France!$B$2:$M$102,4,FALSE)="","",VLOOKUP($I18,Max_Load_France!$B$2:$M$102,4,FALSE))</f>
        <v>1</v>
      </c>
      <c r="O18" s="298">
        <f>IF(VLOOKUP($I18,Max_Load_France!$B$2:$M$102,5,FALSE)="","",VLOOKUP($I18,Max_Load_France!$B$2:$M$102,5,FALSE))</f>
        <v>1</v>
      </c>
      <c r="P18" s="298">
        <f>IF(VLOOKUP($I18,Max_Load_France!$B$2:$M$102,6,FALSE)="","",VLOOKUP($I18,Max_Load_France!$B$2:$M$102,6,FALSE))</f>
        <v>2</v>
      </c>
      <c r="Q18" s="298">
        <f>IF(VLOOKUP($I18,Max_Load_France!$B$2:$M$102,7,FALSE)="","",VLOOKUP($I18,Max_Load_France!$B$2:$M$102,7,FALSE))</f>
        <v>2</v>
      </c>
      <c r="R18" s="298" t="str">
        <f>IF(VLOOKUP($I18,Max_Load_France!$B$2:$M$102,8,FALSE)="","",VLOOKUP($I18,Max_Load_France!$B$2:$M$102,8,FALSE))</f>
        <v/>
      </c>
      <c r="S18" s="298" t="str">
        <f>IF(VLOOKUP($I18,Max_Load_France!$B$2:$M$102,9,FALSE)="","",VLOOKUP($I18,Max_Load_France!$B$2:$M$102,9,FALSE))</f>
        <v/>
      </c>
      <c r="T18" s="298" t="str">
        <f>IF(VLOOKUP($I18,Max_Load_France!$B$2:$M$102,10,FALSE)="","",VLOOKUP($I18,Max_Load_France!$B$2:$M$102,10,FALSE))</f>
        <v/>
      </c>
      <c r="U18" s="298" t="str">
        <f>IF(VLOOKUP($I18,Max_Load_France!$B$2:$M$102,11,FALSE)="","",VLOOKUP($I18,Max_Load_France!$B$2:$M$102,11,FALSE))</f>
        <v/>
      </c>
      <c r="V18" s="289">
        <v>5</v>
      </c>
      <c r="W18" s="299">
        <f t="shared" si="3"/>
        <v>21</v>
      </c>
      <c r="X18" s="300">
        <v>5.0999999999999996</v>
      </c>
      <c r="Y18" s="300">
        <v>5.9</v>
      </c>
      <c r="Z18" s="300">
        <v>5.7</v>
      </c>
      <c r="AA18" s="300">
        <v>2.2000000000000002</v>
      </c>
      <c r="AB18" s="300">
        <v>2.1</v>
      </c>
      <c r="AC18" s="301"/>
      <c r="AD18" s="301"/>
      <c r="AE18" s="301"/>
      <c r="AF18" s="301"/>
      <c r="AG18" s="302">
        <f t="shared" si="4"/>
        <v>11.600000000000001</v>
      </c>
      <c r="AH18" s="302">
        <f t="shared" si="5"/>
        <v>4.3000000000000007</v>
      </c>
      <c r="AI18" s="302" t="str">
        <f t="shared" si="6"/>
        <v/>
      </c>
      <c r="AJ18" s="302" t="str">
        <f t="shared" si="7"/>
        <v/>
      </c>
      <c r="AK18" s="303">
        <f t="shared" ref="AK18:AK47" si="13">SUM(AL18:AR18)</f>
        <v>21.066207951070339</v>
      </c>
      <c r="AL18" s="300">
        <v>4.2650050968399587</v>
      </c>
      <c r="AM18" s="300">
        <v>6.4942609582059116</v>
      </c>
      <c r="AN18" s="300">
        <v>6.4942609582059116</v>
      </c>
      <c r="AO18" s="300">
        <v>1.9063404689092762</v>
      </c>
      <c r="AP18" s="300">
        <v>1.9063404689092762</v>
      </c>
      <c r="AQ18" s="301"/>
      <c r="AR18" s="301"/>
      <c r="AS18" s="301"/>
      <c r="AT18" s="301"/>
      <c r="AU18" s="302">
        <f t="shared" si="8"/>
        <v>12.988521916411823</v>
      </c>
      <c r="AV18" s="302">
        <f t="shared" si="9"/>
        <v>3.8126809378185524</v>
      </c>
      <c r="AW18" s="302" t="str">
        <f t="shared" si="10"/>
        <v/>
      </c>
      <c r="AX18" s="302" t="str">
        <f t="shared" si="11"/>
        <v/>
      </c>
      <c r="AY18" s="304">
        <f t="shared" si="2"/>
        <v>3.1527595747780609E-3</v>
      </c>
      <c r="AZ18" s="304">
        <f t="shared" si="2"/>
        <v>-0.16372449081569432</v>
      </c>
      <c r="BA18" s="304">
        <f t="shared" si="2"/>
        <v>0.10072219630608666</v>
      </c>
      <c r="BB18" s="304">
        <f t="shared" si="2"/>
        <v>0.13934402775542307</v>
      </c>
      <c r="BC18" s="304">
        <f t="shared" si="2"/>
        <v>-0.13348160504123815</v>
      </c>
      <c r="BD18" s="304">
        <f t="shared" si="2"/>
        <v>-9.2218824328916121E-2</v>
      </c>
      <c r="BE18" s="304" t="str">
        <f t="shared" si="2"/>
        <v/>
      </c>
      <c r="BF18" s="304" t="str">
        <f t="shared" si="2"/>
        <v/>
      </c>
      <c r="BG18" s="304" t="str">
        <f t="shared" si="2"/>
        <v/>
      </c>
      <c r="BH18" s="304" t="str">
        <f t="shared" si="2"/>
        <v/>
      </c>
      <c r="BI18" s="304">
        <f t="shared" si="12"/>
        <v>0.11970016520791567</v>
      </c>
      <c r="BJ18" s="304">
        <f t="shared" si="12"/>
        <v>-0.1133300144608019</v>
      </c>
      <c r="BK18" s="288" t="str">
        <f t="shared" si="12"/>
        <v/>
      </c>
      <c r="BL18" s="136" t="str">
        <f t="shared" si="12"/>
        <v/>
      </c>
      <c r="BM18" s="76"/>
      <c r="BN18" s="94"/>
      <c r="BO18" s="94"/>
      <c r="BP18" s="76"/>
      <c r="BQ18" s="76"/>
      <c r="BR18" s="76"/>
      <c r="BS18" s="76"/>
      <c r="BT18" s="76"/>
      <c r="BU18" s="76"/>
      <c r="BV18" s="76"/>
      <c r="BW18" s="76"/>
      <c r="BX18" s="76"/>
      <c r="BY18" s="76"/>
      <c r="BZ18" s="76"/>
    </row>
    <row r="19" spans="1:78" s="89" customFormat="1" ht="11.25">
      <c r="A19" s="289" t="s">
        <v>218</v>
      </c>
      <c r="B19" s="290" t="s">
        <v>253</v>
      </c>
      <c r="C19" s="291"/>
      <c r="D19" s="292">
        <v>0.41736111111111113</v>
      </c>
      <c r="E19" s="293">
        <v>64.111320000000006</v>
      </c>
      <c r="F19" s="294"/>
      <c r="G19" s="294"/>
      <c r="H19" s="289"/>
      <c r="I19" s="290" t="s">
        <v>94</v>
      </c>
      <c r="J19" s="295">
        <f>IF(ISERROR(VLOOKUP(I19,Max_Load_France!$B$2:$C$102,2,FALSE)/1000),"",VLOOKUP(I19,Max_Load_France!$B$2:$C$102,2,FALSE)/1000)</f>
        <v>40</v>
      </c>
      <c r="K19" s="296"/>
      <c r="L19" s="297">
        <f t="shared" si="0"/>
        <v>1.0299999999999998</v>
      </c>
      <c r="M19" s="298">
        <f>IF(VLOOKUP($I19,Max_Load_France!$B$2:$M$102,3,FALSE)="","",VLOOKUP($I19,Max_Load_France!$B$2:$M$102,3,FALSE))</f>
        <v>0</v>
      </c>
      <c r="N19" s="298">
        <f>IF(VLOOKUP($I19,Max_Load_France!$B$2:$M$102,4,FALSE)="","",VLOOKUP($I19,Max_Load_France!$B$2:$M$102,4,FALSE))</f>
        <v>0</v>
      </c>
      <c r="O19" s="298">
        <f>IF(VLOOKUP($I19,Max_Load_France!$B$2:$M$102,5,FALSE)="","",VLOOKUP($I19,Max_Load_France!$B$2:$M$102,5,FALSE))</f>
        <v>1</v>
      </c>
      <c r="P19" s="298">
        <f>IF(VLOOKUP($I19,Max_Load_France!$B$2:$M$102,6,FALSE)="","",VLOOKUP($I19,Max_Load_France!$B$2:$M$102,6,FALSE))</f>
        <v>1</v>
      </c>
      <c r="Q19" s="298">
        <f>IF(VLOOKUP($I19,Max_Load_France!$B$2:$M$102,7,FALSE)="","",VLOOKUP($I19,Max_Load_France!$B$2:$M$102,7,FALSE))</f>
        <v>1</v>
      </c>
      <c r="R19" s="298" t="str">
        <f>IF(VLOOKUP($I19,Max_Load_France!$B$2:$M$102,8,FALSE)="","",VLOOKUP($I19,Max_Load_France!$B$2:$M$102,8,FALSE))</f>
        <v/>
      </c>
      <c r="S19" s="298" t="str">
        <f>IF(VLOOKUP($I19,Max_Load_France!$B$2:$M$102,9,FALSE)="","",VLOOKUP($I19,Max_Load_France!$B$2:$M$102,9,FALSE))</f>
        <v/>
      </c>
      <c r="T19" s="298" t="str">
        <f>IF(VLOOKUP($I19,Max_Load_France!$B$2:$M$102,10,FALSE)="","",VLOOKUP($I19,Max_Load_France!$B$2:$M$102,10,FALSE))</f>
        <v/>
      </c>
      <c r="U19" s="298" t="str">
        <f>IF(VLOOKUP($I19,Max_Load_France!$B$2:$M$102,11,FALSE)="","",VLOOKUP($I19,Max_Load_France!$B$2:$M$102,11,FALSE))</f>
        <v/>
      </c>
      <c r="V19" s="289">
        <v>5</v>
      </c>
      <c r="W19" s="299">
        <f t="shared" si="3"/>
        <v>41.199999999999996</v>
      </c>
      <c r="X19" s="300">
        <v>7.1</v>
      </c>
      <c r="Y19" s="300">
        <v>15</v>
      </c>
      <c r="Z19" s="300">
        <v>6.4</v>
      </c>
      <c r="AA19" s="300">
        <v>6.3</v>
      </c>
      <c r="AB19" s="300">
        <v>6.4</v>
      </c>
      <c r="AC19" s="301"/>
      <c r="AD19" s="301"/>
      <c r="AE19" s="301"/>
      <c r="AF19" s="301"/>
      <c r="AG19" s="302">
        <f t="shared" si="4"/>
        <v>19.100000000000001</v>
      </c>
      <c r="AH19" s="302" t="str">
        <f t="shared" si="5"/>
        <v/>
      </c>
      <c r="AI19" s="302" t="str">
        <f t="shared" si="6"/>
        <v/>
      </c>
      <c r="AJ19" s="302" t="str">
        <f t="shared" si="7"/>
        <v/>
      </c>
      <c r="AK19" s="303">
        <f t="shared" si="13"/>
        <v>39.948960244648312</v>
      </c>
      <c r="AL19" s="300">
        <v>5.0019673802242606</v>
      </c>
      <c r="AM19" s="300">
        <v>16.748827726809377</v>
      </c>
      <c r="AN19" s="300">
        <v>6.0660550458715594</v>
      </c>
      <c r="AO19" s="300">
        <v>6.0660550458715594</v>
      </c>
      <c r="AP19" s="300">
        <v>6.0660550458715594</v>
      </c>
      <c r="AQ19" s="301"/>
      <c r="AR19" s="301"/>
      <c r="AS19" s="301"/>
      <c r="AT19" s="301"/>
      <c r="AU19" s="302">
        <f t="shared" si="8"/>
        <v>18.19816513761468</v>
      </c>
      <c r="AV19" s="302" t="str">
        <f t="shared" si="9"/>
        <v/>
      </c>
      <c r="AW19" s="302" t="str">
        <f t="shared" si="10"/>
        <v/>
      </c>
      <c r="AX19" s="302" t="str">
        <f t="shared" si="11"/>
        <v/>
      </c>
      <c r="AY19" s="304">
        <f t="shared" si="2"/>
        <v>-3.0365042605623397E-2</v>
      </c>
      <c r="AZ19" s="304">
        <f t="shared" si="2"/>
        <v>-0.29549755208109002</v>
      </c>
      <c r="BA19" s="304">
        <f t="shared" si="2"/>
        <v>0.11658851512062517</v>
      </c>
      <c r="BB19" s="304">
        <f t="shared" si="2"/>
        <v>-5.2178899082568897E-2</v>
      </c>
      <c r="BC19" s="304">
        <f t="shared" si="2"/>
        <v>-3.713411970292705E-2</v>
      </c>
      <c r="BD19" s="304">
        <f t="shared" si="2"/>
        <v>-5.2178899082568897E-2</v>
      </c>
      <c r="BE19" s="304" t="str">
        <f t="shared" si="2"/>
        <v/>
      </c>
      <c r="BF19" s="304" t="str">
        <f t="shared" si="2"/>
        <v/>
      </c>
      <c r="BG19" s="304" t="str">
        <f t="shared" si="2"/>
        <v/>
      </c>
      <c r="BH19" s="304" t="str">
        <f t="shared" si="2"/>
        <v/>
      </c>
      <c r="BI19" s="304">
        <f t="shared" si="12"/>
        <v>-4.7216484941639859E-2</v>
      </c>
      <c r="BJ19" s="304" t="str">
        <f t="shared" si="12"/>
        <v/>
      </c>
      <c r="BK19" s="288" t="str">
        <f t="shared" si="12"/>
        <v/>
      </c>
      <c r="BL19" s="136" t="str">
        <f t="shared" si="12"/>
        <v/>
      </c>
      <c r="BM19" s="76"/>
      <c r="BN19" s="94"/>
      <c r="BO19" s="94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</row>
    <row r="20" spans="1:78" s="89" customFormat="1" ht="11.25">
      <c r="A20" s="289" t="s">
        <v>219</v>
      </c>
      <c r="B20" s="290" t="s">
        <v>254</v>
      </c>
      <c r="C20" s="291"/>
      <c r="D20" s="292">
        <v>0.4284722222222222</v>
      </c>
      <c r="E20" s="293">
        <v>57.825719999999997</v>
      </c>
      <c r="F20" s="294"/>
      <c r="G20" s="294"/>
      <c r="H20" s="289"/>
      <c r="I20" s="290" t="s">
        <v>94</v>
      </c>
      <c r="J20" s="295">
        <f>IF(ISERROR(VLOOKUP(I20,Max_Load_France!$B$2:$C$102,2,FALSE)/1000),"",VLOOKUP(I20,Max_Load_France!$B$2:$C$102,2,FALSE)/1000)</f>
        <v>40</v>
      </c>
      <c r="K20" s="296"/>
      <c r="L20" s="297">
        <f t="shared" si="0"/>
        <v>0.99250000000000005</v>
      </c>
      <c r="M20" s="298">
        <f>IF(VLOOKUP($I20,Max_Load_France!$B$2:$M$102,3,FALSE)="","",VLOOKUP($I20,Max_Load_France!$B$2:$M$102,3,FALSE))</f>
        <v>0</v>
      </c>
      <c r="N20" s="298">
        <f>IF(VLOOKUP($I20,Max_Load_France!$B$2:$M$102,4,FALSE)="","",VLOOKUP($I20,Max_Load_France!$B$2:$M$102,4,FALSE))</f>
        <v>0</v>
      </c>
      <c r="O20" s="298">
        <f>IF(VLOOKUP($I20,Max_Load_France!$B$2:$M$102,5,FALSE)="","",VLOOKUP($I20,Max_Load_France!$B$2:$M$102,5,FALSE))</f>
        <v>1</v>
      </c>
      <c r="P20" s="298">
        <f>IF(VLOOKUP($I20,Max_Load_France!$B$2:$M$102,6,FALSE)="","",VLOOKUP($I20,Max_Load_France!$B$2:$M$102,6,FALSE))</f>
        <v>1</v>
      </c>
      <c r="Q20" s="298">
        <f>IF(VLOOKUP($I20,Max_Load_France!$B$2:$M$102,7,FALSE)="","",VLOOKUP($I20,Max_Load_France!$B$2:$M$102,7,FALSE))</f>
        <v>1</v>
      </c>
      <c r="R20" s="298" t="str">
        <f>IF(VLOOKUP($I20,Max_Load_France!$B$2:$M$102,8,FALSE)="","",VLOOKUP($I20,Max_Load_France!$B$2:$M$102,8,FALSE))</f>
        <v/>
      </c>
      <c r="S20" s="298" t="str">
        <f>IF(VLOOKUP($I20,Max_Load_France!$B$2:$M$102,9,FALSE)="","",VLOOKUP($I20,Max_Load_France!$B$2:$M$102,9,FALSE))</f>
        <v/>
      </c>
      <c r="T20" s="298" t="str">
        <f>IF(VLOOKUP($I20,Max_Load_France!$B$2:$M$102,10,FALSE)="","",VLOOKUP($I20,Max_Load_France!$B$2:$M$102,10,FALSE))</f>
        <v/>
      </c>
      <c r="U20" s="298" t="str">
        <f>IF(VLOOKUP($I20,Max_Load_France!$B$2:$M$102,11,FALSE)="","",VLOOKUP($I20,Max_Load_France!$B$2:$M$102,11,FALSE))</f>
        <v/>
      </c>
      <c r="V20" s="289">
        <v>5</v>
      </c>
      <c r="W20" s="299">
        <f t="shared" si="3"/>
        <v>39.700000000000003</v>
      </c>
      <c r="X20" s="300">
        <v>7.4</v>
      </c>
      <c r="Y20" s="300">
        <v>14.8</v>
      </c>
      <c r="Z20" s="300">
        <v>5.0999999999999996</v>
      </c>
      <c r="AA20" s="300">
        <v>6</v>
      </c>
      <c r="AB20" s="300">
        <v>6.4</v>
      </c>
      <c r="AC20" s="301"/>
      <c r="AD20" s="301"/>
      <c r="AE20" s="301"/>
      <c r="AF20" s="301"/>
      <c r="AG20" s="302">
        <f t="shared" si="4"/>
        <v>17.5</v>
      </c>
      <c r="AH20" s="302" t="str">
        <f t="shared" si="5"/>
        <v/>
      </c>
      <c r="AI20" s="302" t="str">
        <f t="shared" si="6"/>
        <v/>
      </c>
      <c r="AJ20" s="302" t="str">
        <f t="shared" si="7"/>
        <v/>
      </c>
      <c r="AK20" s="303">
        <f t="shared" si="13"/>
        <v>35.208481141692147</v>
      </c>
      <c r="AL20" s="300">
        <v>5.5492354740061165</v>
      </c>
      <c r="AM20" s="300">
        <v>15.4217125382263</v>
      </c>
      <c r="AN20" s="300">
        <v>7.1187665647298672</v>
      </c>
      <c r="AO20" s="300">
        <v>7.1187665647298672</v>
      </c>
      <c r="AP20" s="300"/>
      <c r="AQ20" s="301"/>
      <c r="AR20" s="301"/>
      <c r="AS20" s="301"/>
      <c r="AT20" s="301"/>
      <c r="AU20" s="302">
        <f t="shared" si="8"/>
        <v>14.237533129459734</v>
      </c>
      <c r="AV20" s="302" t="str">
        <f t="shared" si="9"/>
        <v/>
      </c>
      <c r="AW20" s="302" t="str">
        <f t="shared" si="10"/>
        <v/>
      </c>
      <c r="AX20" s="302" t="str">
        <f t="shared" si="11"/>
        <v/>
      </c>
      <c r="AY20" s="304">
        <f t="shared" si="2"/>
        <v>-0.11313649517148251</v>
      </c>
      <c r="AZ20" s="304">
        <f t="shared" si="2"/>
        <v>-0.25010331432349781</v>
      </c>
      <c r="BA20" s="304">
        <f t="shared" si="2"/>
        <v>4.200760393420943E-2</v>
      </c>
      <c r="BB20" s="304">
        <f>IF(Z20&gt;0,(AN20-Z20)/Z20,"")</f>
        <v>0.39583658131958188</v>
      </c>
      <c r="BC20" s="304">
        <f t="shared" si="2"/>
        <v>0.18646109412164455</v>
      </c>
      <c r="BD20" s="304"/>
      <c r="BE20" s="304" t="str">
        <f t="shared" si="2"/>
        <v/>
      </c>
      <c r="BF20" s="304" t="str">
        <f t="shared" si="2"/>
        <v/>
      </c>
      <c r="BG20" s="304" t="str">
        <f t="shared" si="2"/>
        <v/>
      </c>
      <c r="BH20" s="304" t="str">
        <f t="shared" si="2"/>
        <v/>
      </c>
      <c r="BI20" s="304">
        <f t="shared" si="12"/>
        <v>-0.1864266783165866</v>
      </c>
      <c r="BJ20" s="304" t="str">
        <f t="shared" si="12"/>
        <v/>
      </c>
      <c r="BK20" s="288" t="str">
        <f t="shared" si="12"/>
        <v/>
      </c>
      <c r="BL20" s="136" t="str">
        <f t="shared" si="12"/>
        <v/>
      </c>
      <c r="BM20" s="76"/>
      <c r="BN20" s="94"/>
      <c r="BO20" s="94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</row>
    <row r="21" spans="1:78" s="89" customFormat="1" ht="11.25">
      <c r="A21" s="289" t="s">
        <v>220</v>
      </c>
      <c r="B21" s="290" t="s">
        <v>255</v>
      </c>
      <c r="C21" s="291"/>
      <c r="D21" s="292">
        <v>0.44027777777777777</v>
      </c>
      <c r="E21" s="293">
        <v>54.411839999999998</v>
      </c>
      <c r="F21" s="294"/>
      <c r="G21" s="294"/>
      <c r="H21" s="289"/>
      <c r="I21" s="290" t="s">
        <v>94</v>
      </c>
      <c r="J21" s="295">
        <f>IF(ISERROR(VLOOKUP(I21,Max_Load_France!$B$2:$C$102,2,FALSE)/1000),"",VLOOKUP(I21,Max_Load_France!$B$2:$C$102,2,FALSE)/1000)</f>
        <v>40</v>
      </c>
      <c r="K21" s="296"/>
      <c r="L21" s="297">
        <f t="shared" si="0"/>
        <v>0.89499999999999991</v>
      </c>
      <c r="M21" s="298">
        <f>IF(VLOOKUP($I21,Max_Load_France!$B$2:$M$102,3,FALSE)="","",VLOOKUP($I21,Max_Load_France!$B$2:$M$102,3,FALSE))</f>
        <v>0</v>
      </c>
      <c r="N21" s="298">
        <f>IF(VLOOKUP($I21,Max_Load_France!$B$2:$M$102,4,FALSE)="","",VLOOKUP($I21,Max_Load_France!$B$2:$M$102,4,FALSE))</f>
        <v>0</v>
      </c>
      <c r="O21" s="298">
        <f>IF(VLOOKUP($I21,Max_Load_France!$B$2:$M$102,5,FALSE)="","",VLOOKUP($I21,Max_Load_France!$B$2:$M$102,5,FALSE))</f>
        <v>1</v>
      </c>
      <c r="P21" s="298">
        <f>IF(VLOOKUP($I21,Max_Load_France!$B$2:$M$102,6,FALSE)="","",VLOOKUP($I21,Max_Load_France!$B$2:$M$102,6,FALSE))</f>
        <v>1</v>
      </c>
      <c r="Q21" s="298">
        <f>IF(VLOOKUP($I21,Max_Load_France!$B$2:$M$102,7,FALSE)="","",VLOOKUP($I21,Max_Load_France!$B$2:$M$102,7,FALSE))</f>
        <v>1</v>
      </c>
      <c r="R21" s="298" t="str">
        <f>IF(VLOOKUP($I21,Max_Load_France!$B$2:$M$102,8,FALSE)="","",VLOOKUP($I21,Max_Load_France!$B$2:$M$102,8,FALSE))</f>
        <v/>
      </c>
      <c r="S21" s="298" t="str">
        <f>IF(VLOOKUP($I21,Max_Load_France!$B$2:$M$102,9,FALSE)="","",VLOOKUP($I21,Max_Load_France!$B$2:$M$102,9,FALSE))</f>
        <v/>
      </c>
      <c r="T21" s="298" t="str">
        <f>IF(VLOOKUP($I21,Max_Load_France!$B$2:$M$102,10,FALSE)="","",VLOOKUP($I21,Max_Load_France!$B$2:$M$102,10,FALSE))</f>
        <v/>
      </c>
      <c r="U21" s="298" t="str">
        <f>IF(VLOOKUP($I21,Max_Load_France!$B$2:$M$102,11,FALSE)="","",VLOOKUP($I21,Max_Load_France!$B$2:$M$102,11,FALSE))</f>
        <v/>
      </c>
      <c r="V21" s="289">
        <v>5</v>
      </c>
      <c r="W21" s="299">
        <f t="shared" si="3"/>
        <v>35.799999999999997</v>
      </c>
      <c r="X21" s="300">
        <v>7.1</v>
      </c>
      <c r="Y21" s="300">
        <v>9.5</v>
      </c>
      <c r="Z21" s="300">
        <v>6.7</v>
      </c>
      <c r="AA21" s="300">
        <v>6.2</v>
      </c>
      <c r="AB21" s="300">
        <v>6.3</v>
      </c>
      <c r="AC21" s="301"/>
      <c r="AD21" s="301"/>
      <c r="AE21" s="301"/>
      <c r="AF21" s="301"/>
      <c r="AG21" s="302">
        <f t="shared" si="4"/>
        <v>19.2</v>
      </c>
      <c r="AH21" s="302" t="str">
        <f t="shared" si="5"/>
        <v/>
      </c>
      <c r="AI21" s="302" t="str">
        <f t="shared" si="6"/>
        <v/>
      </c>
      <c r="AJ21" s="302" t="str">
        <f t="shared" si="7"/>
        <v/>
      </c>
      <c r="AK21" s="303">
        <f t="shared" si="13"/>
        <v>38.799153924566767</v>
      </c>
      <c r="AL21" s="300">
        <v>5.5922528032619772</v>
      </c>
      <c r="AM21" s="300">
        <v>12.360142711518858</v>
      </c>
      <c r="AN21" s="300">
        <v>6.9489194699286436</v>
      </c>
      <c r="AO21" s="300">
        <v>6.9489194699286436</v>
      </c>
      <c r="AP21" s="300">
        <v>6.9489194699286436</v>
      </c>
      <c r="AQ21" s="301"/>
      <c r="AR21" s="301"/>
      <c r="AS21" s="301"/>
      <c r="AT21" s="301"/>
      <c r="AU21" s="302">
        <f t="shared" si="8"/>
        <v>20.846758409785931</v>
      </c>
      <c r="AV21" s="302" t="str">
        <f t="shared" si="9"/>
        <v/>
      </c>
      <c r="AW21" s="302" t="str">
        <f t="shared" si="10"/>
        <v/>
      </c>
      <c r="AX21" s="302" t="str">
        <f t="shared" si="11"/>
        <v/>
      </c>
      <c r="AY21" s="304">
        <f t="shared" si="2"/>
        <v>8.3775249289574569E-2</v>
      </c>
      <c r="AZ21" s="304">
        <f t="shared" si="2"/>
        <v>-0.21235876010394683</v>
      </c>
      <c r="BA21" s="304">
        <f>IF(Y21&gt;0,(AM21-Y21)/Y21,"")</f>
        <v>0.30106765384409029</v>
      </c>
      <c r="BB21" s="304">
        <f t="shared" si="2"/>
        <v>3.7152159690842304E-2</v>
      </c>
      <c r="BC21" s="304">
        <f t="shared" si="2"/>
        <v>0.12079346289171668</v>
      </c>
      <c r="BD21" s="304">
        <f t="shared" si="2"/>
        <v>0.1030030904648641</v>
      </c>
      <c r="BE21" s="304" t="str">
        <f t="shared" si="2"/>
        <v/>
      </c>
      <c r="BF21" s="304" t="str">
        <f t="shared" si="2"/>
        <v/>
      </c>
      <c r="BG21" s="304" t="str">
        <f t="shared" si="2"/>
        <v/>
      </c>
      <c r="BH21" s="304" t="str">
        <f t="shared" si="2"/>
        <v/>
      </c>
      <c r="BI21" s="304">
        <f t="shared" si="12"/>
        <v>8.5768667176350608E-2</v>
      </c>
      <c r="BJ21" s="304" t="str">
        <f t="shared" si="12"/>
        <v/>
      </c>
      <c r="BK21" s="288" t="str">
        <f t="shared" si="12"/>
        <v/>
      </c>
      <c r="BL21" s="136" t="str">
        <f t="shared" si="12"/>
        <v/>
      </c>
      <c r="BM21" s="76"/>
      <c r="BN21" s="94"/>
      <c r="BO21" s="94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</row>
    <row r="22" spans="1:78" s="89" customFormat="1" ht="11.25">
      <c r="A22" s="289" t="s">
        <v>221</v>
      </c>
      <c r="B22" s="290" t="s">
        <v>256</v>
      </c>
      <c r="C22" s="291"/>
      <c r="D22" s="292">
        <v>0.44722222222222219</v>
      </c>
      <c r="E22" s="293">
        <v>55.434600000000003</v>
      </c>
      <c r="F22" s="294"/>
      <c r="G22" s="294"/>
      <c r="H22" s="289"/>
      <c r="I22" s="290" t="s">
        <v>94</v>
      </c>
      <c r="J22" s="295">
        <f>IF(ISERROR(VLOOKUP(I22,Max_Load_France!$B$2:$C$102,2,FALSE)/1000),"",VLOOKUP(I22,Max_Load_France!$B$2:$C$102,2,FALSE)/1000)</f>
        <v>40</v>
      </c>
      <c r="K22" s="296"/>
      <c r="L22" s="297">
        <f t="shared" si="0"/>
        <v>1.0325</v>
      </c>
      <c r="M22" s="298">
        <f>IF(VLOOKUP($I22,Max_Load_France!$B$2:$M$102,3,FALSE)="","",VLOOKUP($I22,Max_Load_France!$B$2:$M$102,3,FALSE))</f>
        <v>0</v>
      </c>
      <c r="N22" s="298">
        <f>IF(VLOOKUP($I22,Max_Load_France!$B$2:$M$102,4,FALSE)="","",VLOOKUP($I22,Max_Load_France!$B$2:$M$102,4,FALSE))</f>
        <v>0</v>
      </c>
      <c r="O22" s="298">
        <f>IF(VLOOKUP($I22,Max_Load_France!$B$2:$M$102,5,FALSE)="","",VLOOKUP($I22,Max_Load_France!$B$2:$M$102,5,FALSE))</f>
        <v>1</v>
      </c>
      <c r="P22" s="298">
        <f>IF(VLOOKUP($I22,Max_Load_France!$B$2:$M$102,6,FALSE)="","",VLOOKUP($I22,Max_Load_France!$B$2:$M$102,6,FALSE))</f>
        <v>1</v>
      </c>
      <c r="Q22" s="298">
        <f>IF(VLOOKUP($I22,Max_Load_France!$B$2:$M$102,7,FALSE)="","",VLOOKUP($I22,Max_Load_France!$B$2:$M$102,7,FALSE))</f>
        <v>1</v>
      </c>
      <c r="R22" s="298" t="str">
        <f>IF(VLOOKUP($I22,Max_Load_France!$B$2:$M$102,8,FALSE)="","",VLOOKUP($I22,Max_Load_France!$B$2:$M$102,8,FALSE))</f>
        <v/>
      </c>
      <c r="S22" s="298" t="str">
        <f>IF(VLOOKUP($I22,Max_Load_France!$B$2:$M$102,9,FALSE)="","",VLOOKUP($I22,Max_Load_France!$B$2:$M$102,9,FALSE))</f>
        <v/>
      </c>
      <c r="T22" s="298" t="str">
        <f>IF(VLOOKUP($I22,Max_Load_France!$B$2:$M$102,10,FALSE)="","",VLOOKUP($I22,Max_Load_France!$B$2:$M$102,10,FALSE))</f>
        <v/>
      </c>
      <c r="U22" s="298" t="str">
        <f>IF(VLOOKUP($I22,Max_Load_France!$B$2:$M$102,11,FALSE)="","",VLOOKUP($I22,Max_Load_France!$B$2:$M$102,11,FALSE))</f>
        <v/>
      </c>
      <c r="V22" s="289">
        <v>5</v>
      </c>
      <c r="W22" s="299">
        <f t="shared" si="3"/>
        <v>41.3</v>
      </c>
      <c r="X22" s="300">
        <v>8.3000000000000007</v>
      </c>
      <c r="Y22" s="300">
        <v>11.4</v>
      </c>
      <c r="Z22" s="300">
        <v>7.2</v>
      </c>
      <c r="AA22" s="300">
        <v>7.1</v>
      </c>
      <c r="AB22" s="300">
        <v>7.3</v>
      </c>
      <c r="AC22" s="301"/>
      <c r="AD22" s="301"/>
      <c r="AE22" s="301"/>
      <c r="AF22" s="301"/>
      <c r="AG22" s="302">
        <f t="shared" si="4"/>
        <v>21.6</v>
      </c>
      <c r="AH22" s="302" t="str">
        <f t="shared" si="5"/>
        <v/>
      </c>
      <c r="AI22" s="302" t="str">
        <f t="shared" si="6"/>
        <v/>
      </c>
      <c r="AJ22" s="302" t="str">
        <f t="shared" si="7"/>
        <v/>
      </c>
      <c r="AK22" s="303">
        <f t="shared" si="13"/>
        <v>40.613272171253826</v>
      </c>
      <c r="AL22" s="300">
        <v>6.657043832823649</v>
      </c>
      <c r="AM22" s="300">
        <v>13.399898063200816</v>
      </c>
      <c r="AN22" s="300">
        <v>6.8521100917431186</v>
      </c>
      <c r="AO22" s="300">
        <v>6.8521100917431186</v>
      </c>
      <c r="AP22" s="300">
        <v>6.8521100917431186</v>
      </c>
      <c r="AQ22" s="301"/>
      <c r="AR22" s="301"/>
      <c r="AS22" s="301"/>
      <c r="AT22" s="301"/>
      <c r="AU22" s="302">
        <f t="shared" si="8"/>
        <v>20.556330275229357</v>
      </c>
      <c r="AV22" s="302" t="str">
        <f t="shared" si="9"/>
        <v/>
      </c>
      <c r="AW22" s="302" t="str">
        <f t="shared" si="10"/>
        <v/>
      </c>
      <c r="AX22" s="302" t="str">
        <f t="shared" si="11"/>
        <v/>
      </c>
      <c r="AY22" s="304">
        <f t="shared" si="2"/>
        <v>-1.6627792463587691E-2</v>
      </c>
      <c r="AZ22" s="304">
        <f t="shared" si="2"/>
        <v>-0.1979465261658255</v>
      </c>
      <c r="BA22" s="304">
        <f t="shared" si="2"/>
        <v>0.17542965466673818</v>
      </c>
      <c r="BB22" s="304">
        <f t="shared" si="2"/>
        <v>-4.8318042813455774E-2</v>
      </c>
      <c r="BC22" s="304">
        <f t="shared" si="2"/>
        <v>-3.4914071585476207E-2</v>
      </c>
      <c r="BD22" s="304">
        <f t="shared" si="2"/>
        <v>-6.1354781952997435E-2</v>
      </c>
      <c r="BE22" s="304" t="str">
        <f t="shared" si="2"/>
        <v/>
      </c>
      <c r="BF22" s="304" t="str">
        <f t="shared" si="2"/>
        <v/>
      </c>
      <c r="BG22" s="304" t="str">
        <f t="shared" si="2"/>
        <v/>
      </c>
      <c r="BH22" s="304" t="str">
        <f t="shared" si="2"/>
        <v/>
      </c>
      <c r="BI22" s="304">
        <f t="shared" si="12"/>
        <v>-4.8318042813455774E-2</v>
      </c>
      <c r="BJ22" s="304" t="str">
        <f t="shared" si="12"/>
        <v/>
      </c>
      <c r="BK22" s="288" t="str">
        <f t="shared" si="12"/>
        <v/>
      </c>
      <c r="BL22" s="136" t="str">
        <f t="shared" si="12"/>
        <v/>
      </c>
      <c r="BM22" s="76"/>
      <c r="BN22" s="94"/>
      <c r="BO22" s="94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</row>
    <row r="23" spans="1:78" s="89" customFormat="1" ht="11.25">
      <c r="A23" s="289" t="s">
        <v>222</v>
      </c>
      <c r="B23" s="290" t="s">
        <v>257</v>
      </c>
      <c r="C23" s="291"/>
      <c r="D23" s="292">
        <v>0.45347222222222222</v>
      </c>
      <c r="E23" s="293">
        <v>67.331519999999998</v>
      </c>
      <c r="F23" s="294"/>
      <c r="G23" s="294"/>
      <c r="H23" s="289"/>
      <c r="I23" s="290" t="s">
        <v>94</v>
      </c>
      <c r="J23" s="295">
        <f>IF(ISERROR(VLOOKUP(I23,Max_Load_France!$B$2:$C$102,2,FALSE)/1000),"",VLOOKUP(I23,Max_Load_France!$B$2:$C$102,2,FALSE)/1000)</f>
        <v>40</v>
      </c>
      <c r="K23" s="296"/>
      <c r="L23" s="297">
        <f t="shared" si="0"/>
        <v>0.93</v>
      </c>
      <c r="M23" s="298">
        <f>IF(VLOOKUP($I23,Max_Load_France!$B$2:$M$102,3,FALSE)="","",VLOOKUP($I23,Max_Load_France!$B$2:$M$102,3,FALSE))</f>
        <v>0</v>
      </c>
      <c r="N23" s="298">
        <f>IF(VLOOKUP($I23,Max_Load_France!$B$2:$M$102,4,FALSE)="","",VLOOKUP($I23,Max_Load_France!$B$2:$M$102,4,FALSE))</f>
        <v>0</v>
      </c>
      <c r="O23" s="298">
        <f>IF(VLOOKUP($I23,Max_Load_France!$B$2:$M$102,5,FALSE)="","",VLOOKUP($I23,Max_Load_France!$B$2:$M$102,5,FALSE))</f>
        <v>1</v>
      </c>
      <c r="P23" s="298">
        <f>IF(VLOOKUP($I23,Max_Load_France!$B$2:$M$102,6,FALSE)="","",VLOOKUP($I23,Max_Load_France!$B$2:$M$102,6,FALSE))</f>
        <v>1</v>
      </c>
      <c r="Q23" s="298">
        <f>IF(VLOOKUP($I23,Max_Load_France!$B$2:$M$102,7,FALSE)="","",VLOOKUP($I23,Max_Load_France!$B$2:$M$102,7,FALSE))</f>
        <v>1</v>
      </c>
      <c r="R23" s="298" t="str">
        <f>IF(VLOOKUP($I23,Max_Load_France!$B$2:$M$102,8,FALSE)="","",VLOOKUP($I23,Max_Load_France!$B$2:$M$102,8,FALSE))</f>
        <v/>
      </c>
      <c r="S23" s="298" t="str">
        <f>IF(VLOOKUP($I23,Max_Load_France!$B$2:$M$102,9,FALSE)="","",VLOOKUP($I23,Max_Load_France!$B$2:$M$102,9,FALSE))</f>
        <v/>
      </c>
      <c r="T23" s="298" t="str">
        <f>IF(VLOOKUP($I23,Max_Load_France!$B$2:$M$102,10,FALSE)="","",VLOOKUP($I23,Max_Load_France!$B$2:$M$102,10,FALSE))</f>
        <v/>
      </c>
      <c r="U23" s="298" t="str">
        <f>IF(VLOOKUP($I23,Max_Load_France!$B$2:$M$102,11,FALSE)="","",VLOOKUP($I23,Max_Load_France!$B$2:$M$102,11,FALSE))</f>
        <v/>
      </c>
      <c r="V23" s="289">
        <v>5</v>
      </c>
      <c r="W23" s="299">
        <f t="shared" si="3"/>
        <v>37.200000000000003</v>
      </c>
      <c r="X23" s="300">
        <v>8.1999999999999993</v>
      </c>
      <c r="Y23" s="300">
        <v>13.2</v>
      </c>
      <c r="Z23" s="300">
        <v>5.0999999999999996</v>
      </c>
      <c r="AA23" s="300">
        <v>5.3</v>
      </c>
      <c r="AB23" s="300">
        <v>5.4</v>
      </c>
      <c r="AC23" s="301"/>
      <c r="AD23" s="301"/>
      <c r="AE23" s="301"/>
      <c r="AF23" s="301"/>
      <c r="AG23" s="302">
        <f t="shared" si="4"/>
        <v>15.799999999999999</v>
      </c>
      <c r="AH23" s="302" t="str">
        <f t="shared" si="5"/>
        <v/>
      </c>
      <c r="AI23" s="302" t="str">
        <f t="shared" si="6"/>
        <v/>
      </c>
      <c r="AJ23" s="302" t="str">
        <f t="shared" si="7"/>
        <v/>
      </c>
      <c r="AK23" s="303">
        <f t="shared" si="13"/>
        <v>35.477451580020386</v>
      </c>
      <c r="AL23" s="300">
        <v>5.8530275229357791</v>
      </c>
      <c r="AM23" s="300">
        <v>14.891029561671761</v>
      </c>
      <c r="AN23" s="300">
        <v>4.9111314984709473</v>
      </c>
      <c r="AO23" s="300">
        <v>4.9111314984709473</v>
      </c>
      <c r="AP23" s="300">
        <v>4.9111314984709473</v>
      </c>
      <c r="AQ23" s="301"/>
      <c r="AR23" s="301"/>
      <c r="AS23" s="301"/>
      <c r="AT23" s="301"/>
      <c r="AU23" s="302">
        <f t="shared" si="8"/>
        <v>14.733394495412842</v>
      </c>
      <c r="AV23" s="302" t="str">
        <f t="shared" si="9"/>
        <v/>
      </c>
      <c r="AW23" s="302" t="str">
        <f t="shared" si="10"/>
        <v/>
      </c>
      <c r="AX23" s="302" t="str">
        <f t="shared" si="11"/>
        <v/>
      </c>
      <c r="AY23" s="304">
        <f t="shared" si="2"/>
        <v>-4.6305065053215508E-2</v>
      </c>
      <c r="AZ23" s="304">
        <f t="shared" si="2"/>
        <v>-0.28621615573953907</v>
      </c>
      <c r="BA23" s="304">
        <f t="shared" si="2"/>
        <v>0.12810830012664864</v>
      </c>
      <c r="BB23" s="304">
        <f t="shared" si="2"/>
        <v>-3.7033039515500459E-2</v>
      </c>
      <c r="BC23" s="304">
        <f t="shared" si="2"/>
        <v>-7.3371415382840102E-2</v>
      </c>
      <c r="BD23" s="304">
        <f t="shared" si="2"/>
        <v>-9.0531203986861666E-2</v>
      </c>
      <c r="BE23" s="304" t="str">
        <f t="shared" si="2"/>
        <v/>
      </c>
      <c r="BF23" s="304" t="str">
        <f t="shared" si="2"/>
        <v/>
      </c>
      <c r="BG23" s="304" t="str">
        <f t="shared" si="2"/>
        <v/>
      </c>
      <c r="BH23" s="304" t="str">
        <f t="shared" si="2"/>
        <v/>
      </c>
      <c r="BI23" s="304">
        <f t="shared" si="12"/>
        <v>-6.7506677505516269E-2</v>
      </c>
      <c r="BJ23" s="304" t="str">
        <f t="shared" si="12"/>
        <v/>
      </c>
      <c r="BK23" s="288" t="str">
        <f t="shared" si="12"/>
        <v/>
      </c>
      <c r="BL23" s="136" t="str">
        <f t="shared" si="12"/>
        <v/>
      </c>
      <c r="BM23" s="76"/>
      <c r="BN23" s="70"/>
      <c r="BO23" s="70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</row>
    <row r="24" spans="1:78" s="89" customFormat="1" ht="11.25">
      <c r="A24" s="289" t="s">
        <v>282</v>
      </c>
      <c r="B24" s="290" t="s">
        <v>258</v>
      </c>
      <c r="C24" s="291"/>
      <c r="D24" s="292">
        <v>0.47638888888888892</v>
      </c>
      <c r="E24" s="293">
        <v>40</v>
      </c>
      <c r="F24" s="294"/>
      <c r="G24" s="294"/>
      <c r="H24" s="289"/>
      <c r="I24" s="290" t="s">
        <v>94</v>
      </c>
      <c r="J24" s="295">
        <f>IF(ISERROR(VLOOKUP(I24,Max_Load_France!$B$2:$C$102,2,FALSE)/1000),"",VLOOKUP(I24,Max_Load_France!$B$2:$C$102,2,FALSE)/1000)</f>
        <v>40</v>
      </c>
      <c r="K24" s="296"/>
      <c r="L24" s="297">
        <f t="shared" si="0"/>
        <v>1.115</v>
      </c>
      <c r="M24" s="298">
        <f>IF(VLOOKUP($I24,Max_Load_France!$B$2:$M$102,3,FALSE)="","",VLOOKUP($I24,Max_Load_France!$B$2:$M$102,3,FALSE))</f>
        <v>0</v>
      </c>
      <c r="N24" s="298">
        <f>IF(VLOOKUP($I24,Max_Load_France!$B$2:$M$102,4,FALSE)="","",VLOOKUP($I24,Max_Load_France!$B$2:$M$102,4,FALSE))</f>
        <v>0</v>
      </c>
      <c r="O24" s="298">
        <f>IF(VLOOKUP($I24,Max_Load_France!$B$2:$M$102,5,FALSE)="","",VLOOKUP($I24,Max_Load_France!$B$2:$M$102,5,FALSE))</f>
        <v>1</v>
      </c>
      <c r="P24" s="298">
        <f>IF(VLOOKUP($I24,Max_Load_France!$B$2:$M$102,6,FALSE)="","",VLOOKUP($I24,Max_Load_France!$B$2:$M$102,6,FALSE))</f>
        <v>1</v>
      </c>
      <c r="Q24" s="298">
        <f>IF(VLOOKUP($I24,Max_Load_France!$B$2:$M$102,7,FALSE)="","",VLOOKUP($I24,Max_Load_France!$B$2:$M$102,7,FALSE))</f>
        <v>1</v>
      </c>
      <c r="R24" s="298" t="str">
        <f>IF(VLOOKUP($I24,Max_Load_France!$B$2:$M$102,8,FALSE)="","",VLOOKUP($I24,Max_Load_France!$B$2:$M$102,8,FALSE))</f>
        <v/>
      </c>
      <c r="S24" s="298" t="str">
        <f>IF(VLOOKUP($I24,Max_Load_France!$B$2:$M$102,9,FALSE)="","",VLOOKUP($I24,Max_Load_France!$B$2:$M$102,9,FALSE))</f>
        <v/>
      </c>
      <c r="T24" s="298" t="str">
        <f>IF(VLOOKUP($I24,Max_Load_France!$B$2:$M$102,10,FALSE)="","",VLOOKUP($I24,Max_Load_France!$B$2:$M$102,10,FALSE))</f>
        <v/>
      </c>
      <c r="U24" s="298" t="str">
        <f>IF(VLOOKUP($I24,Max_Load_France!$B$2:$M$102,11,FALSE)="","",VLOOKUP($I24,Max_Load_France!$B$2:$M$102,11,FALSE))</f>
        <v/>
      </c>
      <c r="V24" s="289">
        <v>5</v>
      </c>
      <c r="W24" s="299">
        <f t="shared" si="3"/>
        <v>44.6</v>
      </c>
      <c r="X24" s="300">
        <v>6.3</v>
      </c>
      <c r="Y24" s="300">
        <v>12</v>
      </c>
      <c r="Z24" s="300">
        <v>8.9</v>
      </c>
      <c r="AA24" s="300">
        <v>8.5</v>
      </c>
      <c r="AB24" s="300">
        <v>8.9</v>
      </c>
      <c r="AC24" s="301"/>
      <c r="AD24" s="301"/>
      <c r="AE24" s="301"/>
      <c r="AF24" s="301"/>
      <c r="AG24" s="302">
        <f t="shared" si="4"/>
        <v>26.299999999999997</v>
      </c>
      <c r="AH24" s="302" t="str">
        <f t="shared" si="5"/>
        <v/>
      </c>
      <c r="AI24" s="302" t="str">
        <f t="shared" si="6"/>
        <v/>
      </c>
      <c r="AJ24" s="302" t="str">
        <f t="shared" si="7"/>
        <v/>
      </c>
      <c r="AK24" s="303">
        <f t="shared" si="13"/>
        <v>41.73601427115188</v>
      </c>
      <c r="AL24" s="300">
        <v>4.3636595310907236</v>
      </c>
      <c r="AM24" s="300">
        <v>13.732110091743117</v>
      </c>
      <c r="AN24" s="300">
        <v>7.8800815494393479</v>
      </c>
      <c r="AO24" s="300">
        <v>7.8800815494393479</v>
      </c>
      <c r="AP24" s="300">
        <v>7.8800815494393479</v>
      </c>
      <c r="AQ24" s="301"/>
      <c r="AR24" s="301"/>
      <c r="AS24" s="301"/>
      <c r="AT24" s="301"/>
      <c r="AU24" s="302">
        <f t="shared" si="8"/>
        <v>23.640244648318046</v>
      </c>
      <c r="AV24" s="302" t="str">
        <f t="shared" si="9"/>
        <v/>
      </c>
      <c r="AW24" s="302" t="str">
        <f t="shared" si="10"/>
        <v/>
      </c>
      <c r="AX24" s="302" t="str">
        <f t="shared" si="11"/>
        <v/>
      </c>
      <c r="AY24" s="304">
        <f t="shared" si="2"/>
        <v>-6.4214926655787458E-2</v>
      </c>
      <c r="AZ24" s="304">
        <f t="shared" si="2"/>
        <v>-0.3073556299855994</v>
      </c>
      <c r="BA24" s="304">
        <f t="shared" si="2"/>
        <v>0.14434250764525972</v>
      </c>
      <c r="BB24" s="304">
        <f t="shared" si="2"/>
        <v>-0.11459757871468004</v>
      </c>
      <c r="BC24" s="304">
        <f t="shared" si="2"/>
        <v>-7.2931582418900243E-2</v>
      </c>
      <c r="BD24" s="304">
        <f t="shared" si="2"/>
        <v>-0.11459757871468004</v>
      </c>
      <c r="BE24" s="304" t="str">
        <f t="shared" si="2"/>
        <v/>
      </c>
      <c r="BF24" s="304" t="str">
        <f t="shared" si="2"/>
        <v/>
      </c>
      <c r="BG24" s="304" t="str">
        <f t="shared" si="2"/>
        <v/>
      </c>
      <c r="BH24" s="304" t="str">
        <f t="shared" si="2"/>
        <v/>
      </c>
      <c r="BI24" s="304">
        <f t="shared" si="12"/>
        <v>-0.10113138219323012</v>
      </c>
      <c r="BJ24" s="304" t="str">
        <f t="shared" si="12"/>
        <v/>
      </c>
      <c r="BK24" s="288" t="str">
        <f t="shared" si="12"/>
        <v/>
      </c>
      <c r="BL24" s="136" t="str">
        <f t="shared" si="12"/>
        <v/>
      </c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</row>
    <row r="25" spans="1:78" s="85" customFormat="1" ht="11.25">
      <c r="A25" s="289" t="s">
        <v>223</v>
      </c>
      <c r="B25" s="295" t="s">
        <v>259</v>
      </c>
      <c r="C25" s="305"/>
      <c r="D25" s="292">
        <v>0.60347222222222219</v>
      </c>
      <c r="E25" s="293">
        <v>56.713680000000004</v>
      </c>
      <c r="F25" s="298"/>
      <c r="G25" s="298"/>
      <c r="H25" s="298"/>
      <c r="I25" s="290" t="s">
        <v>94</v>
      </c>
      <c r="J25" s="295">
        <f>IF(ISERROR(VLOOKUP(I25,Max_Load_France!$B$2:$C$102,2,FALSE)/1000),"",VLOOKUP(I25,Max_Load_France!$B$2:$C$102,2,FALSE)/1000)</f>
        <v>40</v>
      </c>
      <c r="K25" s="296"/>
      <c r="L25" s="297">
        <f t="shared" si="0"/>
        <v>1.0349999999999999</v>
      </c>
      <c r="M25" s="298">
        <f>IF(VLOOKUP($I25,Max_Load_France!$B$2:$M$102,3,FALSE)="","",VLOOKUP($I25,Max_Load_France!$B$2:$M$102,3,FALSE))</f>
        <v>0</v>
      </c>
      <c r="N25" s="298">
        <f>IF(VLOOKUP($I25,Max_Load_France!$B$2:$M$102,4,FALSE)="","",VLOOKUP($I25,Max_Load_France!$B$2:$M$102,4,FALSE))</f>
        <v>0</v>
      </c>
      <c r="O25" s="298">
        <f>IF(VLOOKUP($I25,Max_Load_France!$B$2:$M$102,5,FALSE)="","",VLOOKUP($I25,Max_Load_France!$B$2:$M$102,5,FALSE))</f>
        <v>1</v>
      </c>
      <c r="P25" s="298">
        <f>IF(VLOOKUP($I25,Max_Load_France!$B$2:$M$102,6,FALSE)="","",VLOOKUP($I25,Max_Load_France!$B$2:$M$102,6,FALSE))</f>
        <v>1</v>
      </c>
      <c r="Q25" s="298">
        <f>IF(VLOOKUP($I25,Max_Load_France!$B$2:$M$102,7,FALSE)="","",VLOOKUP($I25,Max_Load_France!$B$2:$M$102,7,FALSE))</f>
        <v>1</v>
      </c>
      <c r="R25" s="298" t="str">
        <f>IF(VLOOKUP($I25,Max_Load_France!$B$2:$M$102,8,FALSE)="","",VLOOKUP($I25,Max_Load_France!$B$2:$M$102,8,FALSE))</f>
        <v/>
      </c>
      <c r="S25" s="298" t="str">
        <f>IF(VLOOKUP($I25,Max_Load_France!$B$2:$M$102,9,FALSE)="","",VLOOKUP($I25,Max_Load_France!$B$2:$M$102,9,FALSE))</f>
        <v/>
      </c>
      <c r="T25" s="298" t="str">
        <f>IF(VLOOKUP($I25,Max_Load_France!$B$2:$M$102,10,FALSE)="","",VLOOKUP($I25,Max_Load_France!$B$2:$M$102,10,FALSE))</f>
        <v/>
      </c>
      <c r="U25" s="298" t="str">
        <f>IF(VLOOKUP($I25,Max_Load_France!$B$2:$M$102,11,FALSE)="","",VLOOKUP($I25,Max_Load_France!$B$2:$M$102,11,FALSE))</f>
        <v/>
      </c>
      <c r="V25" s="289">
        <v>5</v>
      </c>
      <c r="W25" s="299">
        <f t="shared" si="3"/>
        <v>41.4</v>
      </c>
      <c r="X25" s="300">
        <v>6.5</v>
      </c>
      <c r="Y25" s="300">
        <v>9.3000000000000007</v>
      </c>
      <c r="Z25" s="300">
        <v>8.5</v>
      </c>
      <c r="AA25" s="300">
        <v>8.6</v>
      </c>
      <c r="AB25" s="300">
        <v>8.5</v>
      </c>
      <c r="AC25" s="301"/>
      <c r="AD25" s="301"/>
      <c r="AE25" s="301"/>
      <c r="AF25" s="301"/>
      <c r="AG25" s="302">
        <f t="shared" si="4"/>
        <v>25.6</v>
      </c>
      <c r="AH25" s="302" t="str">
        <f t="shared" si="5"/>
        <v/>
      </c>
      <c r="AI25" s="302" t="str">
        <f t="shared" si="6"/>
        <v/>
      </c>
      <c r="AJ25" s="302" t="str">
        <f t="shared" si="7"/>
        <v/>
      </c>
      <c r="AK25" s="303">
        <f t="shared" si="13"/>
        <v>43.600662589194691</v>
      </c>
      <c r="AL25" s="300">
        <v>6.3708868501529041</v>
      </c>
      <c r="AM25" s="300">
        <v>10.322528032619775</v>
      </c>
      <c r="AN25" s="300">
        <v>8.9690825688073392</v>
      </c>
      <c r="AO25" s="300">
        <v>8.9690825688073392</v>
      </c>
      <c r="AP25" s="300">
        <v>8.9690825688073392</v>
      </c>
      <c r="AQ25" s="301"/>
      <c r="AR25" s="301"/>
      <c r="AS25" s="301"/>
      <c r="AT25" s="301"/>
      <c r="AU25" s="302">
        <f t="shared" si="8"/>
        <v>26.907247706422019</v>
      </c>
      <c r="AV25" s="302" t="str">
        <f t="shared" si="9"/>
        <v/>
      </c>
      <c r="AW25" s="302"/>
      <c r="AX25" s="302"/>
      <c r="AY25" s="304">
        <f t="shared" si="2"/>
        <v>5.3156101188277599E-2</v>
      </c>
      <c r="AZ25" s="304">
        <f t="shared" si="2"/>
        <v>-1.9863561514937827E-2</v>
      </c>
      <c r="BA25" s="304">
        <f t="shared" si="2"/>
        <v>0.10994925081933062</v>
      </c>
      <c r="BB25" s="304">
        <f t="shared" si="2"/>
        <v>5.518618456556932E-2</v>
      </c>
      <c r="BC25" s="304">
        <f t="shared" si="2"/>
        <v>4.29165777682953E-2</v>
      </c>
      <c r="BD25" s="304">
        <f t="shared" si="2"/>
        <v>5.518618456556932E-2</v>
      </c>
      <c r="BE25" s="304" t="str">
        <f t="shared" si="2"/>
        <v/>
      </c>
      <c r="BF25" s="304" t="str">
        <f t="shared" si="2"/>
        <v/>
      </c>
      <c r="BG25" s="304" t="str">
        <f t="shared" si="2"/>
        <v/>
      </c>
      <c r="BH25" s="304" t="str">
        <f t="shared" si="2"/>
        <v/>
      </c>
      <c r="BI25" s="304">
        <f t="shared" si="12"/>
        <v>5.106436353211008E-2</v>
      </c>
      <c r="BJ25" s="304" t="str">
        <f t="shared" si="12"/>
        <v/>
      </c>
      <c r="BK25" s="288" t="str">
        <f t="shared" si="12"/>
        <v/>
      </c>
      <c r="BL25" s="136" t="str">
        <f t="shared" si="12"/>
        <v/>
      </c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</row>
    <row r="26" spans="1:78" s="85" customFormat="1" ht="11.25">
      <c r="A26" s="289" t="s">
        <v>224</v>
      </c>
      <c r="B26" s="295" t="s">
        <v>260</v>
      </c>
      <c r="C26" s="305"/>
      <c r="D26" s="292">
        <v>0.61249999999999993</v>
      </c>
      <c r="E26" s="306">
        <v>41.420159999999996</v>
      </c>
      <c r="F26" s="298"/>
      <c r="G26" s="298"/>
      <c r="H26" s="298"/>
      <c r="I26" s="290" t="s">
        <v>129</v>
      </c>
      <c r="J26" s="295">
        <f>IF(ISERROR(VLOOKUP(I26,Max_Load_France!$B$2:$C$102,2,FALSE)/1000),"",VLOOKUP(I26,Max_Load_France!$B$2:$C$102,2,FALSE)/1000)</f>
        <v>40</v>
      </c>
      <c r="K26" s="296"/>
      <c r="L26" s="297">
        <f t="shared" si="0"/>
        <v>1.0574999999999999</v>
      </c>
      <c r="M26" s="298">
        <f>IF(VLOOKUP($I26,Max_Load_France!$B$2:$M$102,3,FALSE)="","",VLOOKUP($I26,Max_Load_France!$B$2:$M$102,3,FALSE))</f>
        <v>0</v>
      </c>
      <c r="N26" s="298">
        <f>IF(VLOOKUP($I26,Max_Load_France!$B$2:$M$102,4,FALSE)="","",VLOOKUP($I26,Max_Load_France!$B$2:$M$102,4,FALSE))</f>
        <v>1</v>
      </c>
      <c r="O26" s="298">
        <f>IF(VLOOKUP($I26,Max_Load_France!$B$2:$M$102,5,FALSE)="","",VLOOKUP($I26,Max_Load_France!$B$2:$M$102,5,FALSE))</f>
        <v>1</v>
      </c>
      <c r="P26" s="298">
        <f>IF(VLOOKUP($I26,Max_Load_France!$B$2:$M$102,6,FALSE)="","",VLOOKUP($I26,Max_Load_France!$B$2:$M$102,6,FALSE))</f>
        <v>2</v>
      </c>
      <c r="Q26" s="298">
        <f>IF(VLOOKUP($I26,Max_Load_France!$B$2:$M$102,7,FALSE)="","",VLOOKUP($I26,Max_Load_France!$B$2:$M$102,7,FALSE))</f>
        <v>2</v>
      </c>
      <c r="R26" s="298" t="str">
        <f>IF(VLOOKUP($I26,Max_Load_France!$B$2:$M$102,8,FALSE)="","",VLOOKUP($I26,Max_Load_France!$B$2:$M$102,8,FALSE))</f>
        <v/>
      </c>
      <c r="S26" s="298" t="str">
        <f>IF(VLOOKUP($I26,Max_Load_France!$B$2:$M$102,9,FALSE)="","",VLOOKUP($I26,Max_Load_France!$B$2:$M$102,9,FALSE))</f>
        <v/>
      </c>
      <c r="T26" s="298" t="str">
        <f>IF(VLOOKUP($I26,Max_Load_France!$B$2:$M$102,10,FALSE)="","",VLOOKUP($I26,Max_Load_France!$B$2:$M$102,10,FALSE))</f>
        <v/>
      </c>
      <c r="U26" s="298" t="str">
        <f>IF(VLOOKUP($I26,Max_Load_France!$B$2:$M$102,11,FALSE)="","",VLOOKUP($I26,Max_Load_France!$B$2:$M$102,11,FALSE))</f>
        <v/>
      </c>
      <c r="V26" s="289">
        <v>5</v>
      </c>
      <c r="W26" s="299">
        <f t="shared" si="3"/>
        <v>42.3</v>
      </c>
      <c r="X26" s="300">
        <v>5.9</v>
      </c>
      <c r="Y26" s="300">
        <v>7.5</v>
      </c>
      <c r="Z26" s="300">
        <v>7.3</v>
      </c>
      <c r="AA26" s="300">
        <v>10.8</v>
      </c>
      <c r="AB26" s="300">
        <v>10.8</v>
      </c>
      <c r="AC26" s="301"/>
      <c r="AD26" s="301"/>
      <c r="AE26" s="301"/>
      <c r="AF26" s="301"/>
      <c r="AG26" s="302">
        <f t="shared" si="4"/>
        <v>14.8</v>
      </c>
      <c r="AH26" s="302">
        <f t="shared" si="5"/>
        <v>21.6</v>
      </c>
      <c r="AI26" s="302" t="str">
        <f t="shared" si="6"/>
        <v/>
      </c>
      <c r="AJ26" s="302" t="str">
        <f t="shared" si="7"/>
        <v/>
      </c>
      <c r="AK26" s="303">
        <f t="shared" si="13"/>
        <v>43.617747196738023</v>
      </c>
      <c r="AL26" s="300">
        <v>5.7370336391437302</v>
      </c>
      <c r="AM26" s="300">
        <v>7.7416819571865432</v>
      </c>
      <c r="AN26" s="300">
        <v>7.7416819571865432</v>
      </c>
      <c r="AO26" s="300">
        <v>11.1986748216106</v>
      </c>
      <c r="AP26" s="300">
        <v>11.1986748216106</v>
      </c>
      <c r="AQ26" s="301"/>
      <c r="AR26" s="301"/>
      <c r="AS26" s="301"/>
      <c r="AT26" s="301"/>
      <c r="AU26" s="302">
        <f t="shared" si="8"/>
        <v>15.483363914373086</v>
      </c>
      <c r="AV26" s="302">
        <f t="shared" si="9"/>
        <v>22.397349643221201</v>
      </c>
      <c r="AW26" s="302"/>
      <c r="AX26" s="302"/>
      <c r="AY26" s="304">
        <f t="shared" si="2"/>
        <v>3.1152415998534886E-2</v>
      </c>
      <c r="AZ26" s="304">
        <f t="shared" si="2"/>
        <v>-2.7621417094283073E-2</v>
      </c>
      <c r="BA26" s="304">
        <f t="shared" si="2"/>
        <v>3.2224260958205755E-2</v>
      </c>
      <c r="BB26" s="304">
        <f t="shared" si="2"/>
        <v>6.0504377696786758E-2</v>
      </c>
      <c r="BC26" s="304">
        <f t="shared" si="2"/>
        <v>3.6914335334314791E-2</v>
      </c>
      <c r="BD26" s="304">
        <f t="shared" si="2"/>
        <v>3.6914335334314791E-2</v>
      </c>
      <c r="BE26" s="304" t="str">
        <f t="shared" si="2"/>
        <v/>
      </c>
      <c r="BF26" s="304" t="str">
        <f t="shared" si="2"/>
        <v/>
      </c>
      <c r="BG26" s="304" t="str">
        <f t="shared" si="2"/>
        <v/>
      </c>
      <c r="BH26" s="304" t="str">
        <f t="shared" si="2"/>
        <v/>
      </c>
      <c r="BI26" s="304">
        <f t="shared" si="12"/>
        <v>4.6173237457640917E-2</v>
      </c>
      <c r="BJ26" s="304">
        <f t="shared" si="12"/>
        <v>3.6914335334314791E-2</v>
      </c>
      <c r="BK26" s="288" t="str">
        <f t="shared" si="12"/>
        <v/>
      </c>
      <c r="BL26" s="136" t="str">
        <f t="shared" si="12"/>
        <v/>
      </c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</row>
    <row r="27" spans="1:78" s="76" customFormat="1" ht="11.25">
      <c r="A27" s="289" t="s">
        <v>225</v>
      </c>
      <c r="B27" s="295" t="s">
        <v>261</v>
      </c>
      <c r="C27" s="305"/>
      <c r="D27" s="292">
        <v>0.61736111111111114</v>
      </c>
      <c r="E27" s="306">
        <v>67.025520000000014</v>
      </c>
      <c r="F27" s="298"/>
      <c r="G27" s="298"/>
      <c r="H27" s="298"/>
      <c r="I27" s="290" t="s">
        <v>94</v>
      </c>
      <c r="J27" s="295">
        <f>IF(ISERROR(VLOOKUP(I27,Max_Load_France!$B$2:$C$102,2,FALSE)/1000),"",VLOOKUP(I27,Max_Load_France!$B$2:$C$102,2,FALSE)/1000)</f>
        <v>40</v>
      </c>
      <c r="K27" s="296"/>
      <c r="L27" s="297">
        <f t="shared" si="0"/>
        <v>0.86999999999999988</v>
      </c>
      <c r="M27" s="298">
        <f>IF(VLOOKUP($I27,Max_Load_France!$B$2:$M$102,3,FALSE)="","",VLOOKUP($I27,Max_Load_France!$B$2:$M$102,3,FALSE))</f>
        <v>0</v>
      </c>
      <c r="N27" s="298">
        <f>IF(VLOOKUP($I27,Max_Load_France!$B$2:$M$102,4,FALSE)="","",VLOOKUP($I27,Max_Load_France!$B$2:$M$102,4,FALSE))</f>
        <v>0</v>
      </c>
      <c r="O27" s="298">
        <f>IF(VLOOKUP($I27,Max_Load_France!$B$2:$M$102,5,FALSE)="","",VLOOKUP($I27,Max_Load_France!$B$2:$M$102,5,FALSE))</f>
        <v>1</v>
      </c>
      <c r="P27" s="298">
        <f>IF(VLOOKUP($I27,Max_Load_France!$B$2:$M$102,6,FALSE)="","",VLOOKUP($I27,Max_Load_France!$B$2:$M$102,6,FALSE))</f>
        <v>1</v>
      </c>
      <c r="Q27" s="298">
        <f>IF(VLOOKUP($I27,Max_Load_France!$B$2:$M$102,7,FALSE)="","",VLOOKUP($I27,Max_Load_France!$B$2:$M$102,7,FALSE))</f>
        <v>1</v>
      </c>
      <c r="R27" s="298" t="str">
        <f>IF(VLOOKUP($I27,Max_Load_France!$B$2:$M$102,8,FALSE)="","",VLOOKUP($I27,Max_Load_France!$B$2:$M$102,8,FALSE))</f>
        <v/>
      </c>
      <c r="S27" s="298" t="str">
        <f>IF(VLOOKUP($I27,Max_Load_France!$B$2:$M$102,9,FALSE)="","",VLOOKUP($I27,Max_Load_France!$B$2:$M$102,9,FALSE))</f>
        <v/>
      </c>
      <c r="T27" s="298" t="str">
        <f>IF(VLOOKUP($I27,Max_Load_France!$B$2:$M$102,10,FALSE)="","",VLOOKUP($I27,Max_Load_France!$B$2:$M$102,10,FALSE))</f>
        <v/>
      </c>
      <c r="U27" s="298" t="str">
        <f>IF(VLOOKUP($I27,Max_Load_France!$B$2:$M$102,11,FALSE)="","",VLOOKUP($I27,Max_Load_France!$B$2:$M$102,11,FALSE))</f>
        <v/>
      </c>
      <c r="V27" s="289">
        <v>5</v>
      </c>
      <c r="W27" s="299">
        <f t="shared" si="3"/>
        <v>34.799999999999997</v>
      </c>
      <c r="X27" s="300">
        <v>7.1</v>
      </c>
      <c r="Y27" s="300">
        <v>10</v>
      </c>
      <c r="Z27" s="300">
        <v>5.9</v>
      </c>
      <c r="AA27" s="300">
        <v>6</v>
      </c>
      <c r="AB27" s="300">
        <v>5.8</v>
      </c>
      <c r="AC27" s="301"/>
      <c r="AD27" s="301"/>
      <c r="AE27" s="301"/>
      <c r="AF27" s="301"/>
      <c r="AG27" s="302">
        <f t="shared" si="4"/>
        <v>17.7</v>
      </c>
      <c r="AH27" s="302" t="str">
        <f t="shared" si="5"/>
        <v/>
      </c>
      <c r="AI27" s="302" t="str">
        <f t="shared" si="6"/>
        <v/>
      </c>
      <c r="AJ27" s="302" t="str">
        <f t="shared" si="7"/>
        <v/>
      </c>
      <c r="AK27" s="303">
        <f t="shared" si="13"/>
        <v>34.81245667686035</v>
      </c>
      <c r="AL27" s="300">
        <v>5.319510703363914</v>
      </c>
      <c r="AM27" s="300">
        <v>11.945973496432211</v>
      </c>
      <c r="AN27" s="300">
        <v>5.8489908256880732</v>
      </c>
      <c r="AO27" s="300">
        <v>5.8489908256880732</v>
      </c>
      <c r="AP27" s="300">
        <v>5.8489908256880732</v>
      </c>
      <c r="AQ27" s="301"/>
      <c r="AR27" s="301"/>
      <c r="AS27" s="301"/>
      <c r="AT27" s="301"/>
      <c r="AU27" s="302">
        <f t="shared" si="8"/>
        <v>17.546972477064219</v>
      </c>
      <c r="AV27" s="302" t="str">
        <f t="shared" si="9"/>
        <v/>
      </c>
      <c r="AW27" s="302"/>
      <c r="AX27" s="302"/>
      <c r="AY27" s="304">
        <f t="shared" si="2"/>
        <v>3.5795048449289947E-4</v>
      </c>
      <c r="AZ27" s="304">
        <f t="shared" si="2"/>
        <v>-0.25077314037127968</v>
      </c>
      <c r="BA27" s="304">
        <f t="shared" si="2"/>
        <v>0.19459734964322112</v>
      </c>
      <c r="BB27" s="304">
        <f t="shared" si="2"/>
        <v>-8.6456227647334228E-3</v>
      </c>
      <c r="BC27" s="304">
        <f t="shared" si="2"/>
        <v>-2.5168195718654474E-2</v>
      </c>
      <c r="BD27" s="304">
        <f t="shared" si="2"/>
        <v>8.4466940841505748E-3</v>
      </c>
      <c r="BE27" s="304" t="str">
        <f t="shared" si="2"/>
        <v/>
      </c>
      <c r="BF27" s="304" t="str">
        <f t="shared" si="2"/>
        <v/>
      </c>
      <c r="BG27" s="304" t="str">
        <f t="shared" si="2"/>
        <v/>
      </c>
      <c r="BH27" s="304" t="str">
        <f t="shared" si="2"/>
        <v/>
      </c>
      <c r="BI27" s="304">
        <f t="shared" si="12"/>
        <v>-8.6456227647333239E-3</v>
      </c>
      <c r="BJ27" s="304" t="str">
        <f t="shared" si="12"/>
        <v/>
      </c>
      <c r="BK27" s="288" t="str">
        <f t="shared" si="12"/>
        <v/>
      </c>
      <c r="BL27" s="136" t="str">
        <f t="shared" si="12"/>
        <v/>
      </c>
    </row>
    <row r="28" spans="1:78" s="85" customFormat="1" ht="11.25">
      <c r="A28" s="289" t="s">
        <v>226</v>
      </c>
      <c r="B28" s="295" t="s">
        <v>262</v>
      </c>
      <c r="C28" s="305"/>
      <c r="D28" s="292">
        <v>0.61944444444444446</v>
      </c>
      <c r="E28" s="306">
        <v>43.49736</v>
      </c>
      <c r="F28" s="298"/>
      <c r="G28" s="298"/>
      <c r="H28" s="298"/>
      <c r="I28" s="290" t="s">
        <v>94</v>
      </c>
      <c r="J28" s="295">
        <f>IF(ISERROR(VLOOKUP(I28,Max_Load_France!$B$2:$C$102,2,FALSE)/1000),"",VLOOKUP(I28,Max_Load_France!$B$2:$C$102,2,FALSE)/1000)</f>
        <v>40</v>
      </c>
      <c r="K28" s="296"/>
      <c r="L28" s="297">
        <f t="shared" si="0"/>
        <v>0.97499999999999998</v>
      </c>
      <c r="M28" s="298">
        <f>IF(VLOOKUP($I28,Max_Load_France!$B$2:$M$102,3,FALSE)="","",VLOOKUP($I28,Max_Load_France!$B$2:$M$102,3,FALSE))</f>
        <v>0</v>
      </c>
      <c r="N28" s="298">
        <f>IF(VLOOKUP($I28,Max_Load_France!$B$2:$M$102,4,FALSE)="","",VLOOKUP($I28,Max_Load_France!$B$2:$M$102,4,FALSE))</f>
        <v>0</v>
      </c>
      <c r="O28" s="298">
        <f>IF(VLOOKUP($I28,Max_Load_France!$B$2:$M$102,5,FALSE)="","",VLOOKUP($I28,Max_Load_France!$B$2:$M$102,5,FALSE))</f>
        <v>1</v>
      </c>
      <c r="P28" s="298">
        <f>IF(VLOOKUP($I28,Max_Load_France!$B$2:$M$102,6,FALSE)="","",VLOOKUP($I28,Max_Load_France!$B$2:$M$102,6,FALSE))</f>
        <v>1</v>
      </c>
      <c r="Q28" s="298">
        <f>IF(VLOOKUP($I28,Max_Load_France!$B$2:$M$102,7,FALSE)="","",VLOOKUP($I28,Max_Load_France!$B$2:$M$102,7,FALSE))</f>
        <v>1</v>
      </c>
      <c r="R28" s="298" t="str">
        <f>IF(VLOOKUP($I28,Max_Load_France!$B$2:$M$102,8,FALSE)="","",VLOOKUP($I28,Max_Load_France!$B$2:$M$102,8,FALSE))</f>
        <v/>
      </c>
      <c r="S28" s="298" t="str">
        <f>IF(VLOOKUP($I28,Max_Load_France!$B$2:$M$102,9,FALSE)="","",VLOOKUP($I28,Max_Load_France!$B$2:$M$102,9,FALSE))</f>
        <v/>
      </c>
      <c r="T28" s="298" t="str">
        <f>IF(VLOOKUP($I28,Max_Load_France!$B$2:$M$102,10,FALSE)="","",VLOOKUP($I28,Max_Load_France!$B$2:$M$102,10,FALSE))</f>
        <v/>
      </c>
      <c r="U28" s="298" t="str">
        <f>IF(VLOOKUP($I28,Max_Load_France!$B$2:$M$102,11,FALSE)="","",VLOOKUP($I28,Max_Load_France!$B$2:$M$102,11,FALSE))</f>
        <v/>
      </c>
      <c r="V28" s="289">
        <v>5</v>
      </c>
      <c r="W28" s="299">
        <f t="shared" si="3"/>
        <v>39</v>
      </c>
      <c r="X28" s="300">
        <v>6.9</v>
      </c>
      <c r="Y28" s="300">
        <v>12.2</v>
      </c>
      <c r="Z28" s="300">
        <v>6.1</v>
      </c>
      <c r="AA28" s="300">
        <v>6.4</v>
      </c>
      <c r="AB28" s="300">
        <v>7.4</v>
      </c>
      <c r="AC28" s="301"/>
      <c r="AD28" s="301"/>
      <c r="AE28" s="301"/>
      <c r="AF28" s="301"/>
      <c r="AG28" s="302">
        <f t="shared" si="4"/>
        <v>19.899999999999999</v>
      </c>
      <c r="AH28" s="302" t="str">
        <f t="shared" si="5"/>
        <v/>
      </c>
      <c r="AI28" s="302" t="str">
        <f t="shared" si="6"/>
        <v/>
      </c>
      <c r="AJ28" s="302" t="str">
        <f t="shared" si="7"/>
        <v/>
      </c>
      <c r="AK28" s="303">
        <f t="shared" si="13"/>
        <v>35.588888888888889</v>
      </c>
      <c r="AL28" s="300">
        <v>5.209215086646279</v>
      </c>
      <c r="AM28" s="300">
        <v>12.521202854230376</v>
      </c>
      <c r="AN28" s="300">
        <v>5.95282364933741</v>
      </c>
      <c r="AO28" s="300">
        <v>5.95282364933741</v>
      </c>
      <c r="AP28" s="300">
        <v>5.95282364933741</v>
      </c>
      <c r="AQ28" s="301"/>
      <c r="AR28" s="301"/>
      <c r="AS28" s="301"/>
      <c r="AT28" s="301"/>
      <c r="AU28" s="302">
        <f t="shared" si="8"/>
        <v>17.858470948012229</v>
      </c>
      <c r="AV28" s="302" t="str">
        <f t="shared" si="9"/>
        <v/>
      </c>
      <c r="AW28" s="302"/>
      <c r="AX28" s="302"/>
      <c r="AY28" s="304">
        <f>IF(W28&gt;0,(AK28-W28)/W28,"")</f>
        <v>-8.7464387464387477E-2</v>
      </c>
      <c r="AZ28" s="304">
        <f>IF(X28&gt;0,(AL28-X28)/X28,"")</f>
        <v>-0.24504129179039438</v>
      </c>
      <c r="BA28" s="304">
        <f t="shared" ref="AY28:BH47" si="14">IF(Y28&gt;0,(AM28-Y28)/Y28,"")</f>
        <v>2.6328102805768579E-2</v>
      </c>
      <c r="BB28" s="304">
        <f t="shared" si="14"/>
        <v>-2.4127270600424525E-2</v>
      </c>
      <c r="BC28" s="304">
        <f t="shared" si="14"/>
        <v>-6.9871304791029737E-2</v>
      </c>
      <c r="BD28" s="304">
        <f t="shared" si="14"/>
        <v>-0.19556437171116084</v>
      </c>
      <c r="BE28" s="304" t="str">
        <f t="shared" si="14"/>
        <v/>
      </c>
      <c r="BF28" s="304" t="str">
        <f t="shared" si="14"/>
        <v/>
      </c>
      <c r="BG28" s="304" t="str">
        <f t="shared" si="14"/>
        <v/>
      </c>
      <c r="BH28" s="304" t="str">
        <f t="shared" si="14"/>
        <v/>
      </c>
      <c r="BI28" s="304">
        <f t="shared" si="12"/>
        <v>-0.10258939959737536</v>
      </c>
      <c r="BJ28" s="304" t="str">
        <f t="shared" si="12"/>
        <v/>
      </c>
      <c r="BK28" s="288" t="str">
        <f t="shared" si="12"/>
        <v/>
      </c>
      <c r="BL28" s="136" t="str">
        <f t="shared" si="12"/>
        <v/>
      </c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</row>
    <row r="29" spans="1:78" s="85" customFormat="1" ht="11.25">
      <c r="A29" s="289" t="s">
        <v>227</v>
      </c>
      <c r="B29" s="295" t="s">
        <v>263</v>
      </c>
      <c r="C29" s="305"/>
      <c r="D29" s="292">
        <v>0.62430555555555556</v>
      </c>
      <c r="E29" s="306">
        <v>43.755479999999999</v>
      </c>
      <c r="F29" s="298"/>
      <c r="G29" s="298"/>
      <c r="H29" s="298"/>
      <c r="I29" s="290" t="s">
        <v>94</v>
      </c>
      <c r="J29" s="295">
        <f>IF(ISERROR(VLOOKUP(I29,Max_Load_France!$B$2:$C$102,2,FALSE)/1000),"",VLOOKUP(I29,Max_Load_France!$B$2:$C$102,2,FALSE)/1000)</f>
        <v>40</v>
      </c>
      <c r="K29" s="296"/>
      <c r="L29" s="297">
        <f t="shared" si="0"/>
        <v>1.0450000000000002</v>
      </c>
      <c r="M29" s="298">
        <f>IF(VLOOKUP($I29,Max_Load_France!$B$2:$M$102,3,FALSE)="","",VLOOKUP($I29,Max_Load_France!$B$2:$M$102,3,FALSE))</f>
        <v>0</v>
      </c>
      <c r="N29" s="298">
        <f>IF(VLOOKUP($I29,Max_Load_France!$B$2:$M$102,4,FALSE)="","",VLOOKUP($I29,Max_Load_France!$B$2:$M$102,4,FALSE))</f>
        <v>0</v>
      </c>
      <c r="O29" s="298">
        <f>IF(VLOOKUP($I29,Max_Load_France!$B$2:$M$102,5,FALSE)="","",VLOOKUP($I29,Max_Load_France!$B$2:$M$102,5,FALSE))</f>
        <v>1</v>
      </c>
      <c r="P29" s="298">
        <f>IF(VLOOKUP($I29,Max_Load_France!$B$2:$M$102,6,FALSE)="","",VLOOKUP($I29,Max_Load_France!$B$2:$M$102,6,FALSE))</f>
        <v>1</v>
      </c>
      <c r="Q29" s="298">
        <f>IF(VLOOKUP($I29,Max_Load_France!$B$2:$M$102,7,FALSE)="","",VLOOKUP($I29,Max_Load_France!$B$2:$M$102,7,FALSE))</f>
        <v>1</v>
      </c>
      <c r="R29" s="298" t="str">
        <f>IF(VLOOKUP($I29,Max_Load_France!$B$2:$M$102,8,FALSE)="","",VLOOKUP($I29,Max_Load_France!$B$2:$M$102,8,FALSE))</f>
        <v/>
      </c>
      <c r="S29" s="298" t="str">
        <f>IF(VLOOKUP($I29,Max_Load_France!$B$2:$M$102,9,FALSE)="","",VLOOKUP($I29,Max_Load_France!$B$2:$M$102,9,FALSE))</f>
        <v/>
      </c>
      <c r="T29" s="298" t="str">
        <f>IF(VLOOKUP($I29,Max_Load_France!$B$2:$M$102,10,FALSE)="","",VLOOKUP($I29,Max_Load_France!$B$2:$M$102,10,FALSE))</f>
        <v/>
      </c>
      <c r="U29" s="298" t="str">
        <f>IF(VLOOKUP($I29,Max_Load_France!$B$2:$M$102,11,FALSE)="","",VLOOKUP($I29,Max_Load_France!$B$2:$M$102,11,FALSE))</f>
        <v/>
      </c>
      <c r="V29" s="289">
        <v>5</v>
      </c>
      <c r="W29" s="299">
        <f t="shared" si="3"/>
        <v>41.800000000000004</v>
      </c>
      <c r="X29" s="300">
        <v>6.3</v>
      </c>
      <c r="Y29" s="300">
        <v>12.7</v>
      </c>
      <c r="Z29" s="300">
        <v>7.2</v>
      </c>
      <c r="AA29" s="300">
        <v>7.9</v>
      </c>
      <c r="AB29" s="300">
        <v>7.7</v>
      </c>
      <c r="AC29" s="301"/>
      <c r="AD29" s="301"/>
      <c r="AE29" s="301"/>
      <c r="AF29" s="301"/>
      <c r="AG29" s="302">
        <f t="shared" si="4"/>
        <v>22.8</v>
      </c>
      <c r="AH29" s="302" t="str">
        <f t="shared" si="5"/>
        <v/>
      </c>
      <c r="AI29" s="302" t="str">
        <f t="shared" si="6"/>
        <v/>
      </c>
      <c r="AJ29" s="302" t="str">
        <f t="shared" si="7"/>
        <v/>
      </c>
      <c r="AK29" s="303">
        <f t="shared" si="13"/>
        <v>40.37951070336392</v>
      </c>
      <c r="AL29" s="300">
        <v>5.4201427115188574</v>
      </c>
      <c r="AM29" s="300">
        <v>11.578695208970439</v>
      </c>
      <c r="AN29" s="300">
        <v>7.7935575942915394</v>
      </c>
      <c r="AO29" s="300">
        <v>7.7935575942915394</v>
      </c>
      <c r="AP29" s="300">
        <v>7.7935575942915394</v>
      </c>
      <c r="AQ29" s="301"/>
      <c r="AR29" s="301"/>
      <c r="AS29" s="301"/>
      <c r="AT29" s="301"/>
      <c r="AU29" s="302">
        <f t="shared" si="8"/>
        <v>23.380672782874619</v>
      </c>
      <c r="AV29" s="302" t="str">
        <f t="shared" si="9"/>
        <v/>
      </c>
      <c r="AW29" s="302"/>
      <c r="AX29" s="302"/>
      <c r="AY29" s="304">
        <f t="shared" si="14"/>
        <v>-3.3982997527179051E-2</v>
      </c>
      <c r="AZ29" s="304">
        <f t="shared" si="14"/>
        <v>-0.13965988706049881</v>
      </c>
      <c r="BA29" s="304">
        <f t="shared" si="14"/>
        <v>-8.829171582909924E-2</v>
      </c>
      <c r="BB29" s="304">
        <f t="shared" si="14"/>
        <v>8.2438554762713778E-2</v>
      </c>
      <c r="BC29" s="304">
        <f t="shared" si="14"/>
        <v>-1.3473722241577338E-2</v>
      </c>
      <c r="BD29" s="304">
        <f t="shared" si="14"/>
        <v>1.2150336920979117E-2</v>
      </c>
      <c r="BE29" s="304" t="str">
        <f t="shared" si="14"/>
        <v/>
      </c>
      <c r="BF29" s="304" t="str">
        <f t="shared" si="14"/>
        <v/>
      </c>
      <c r="BG29" s="304" t="str">
        <f t="shared" si="14"/>
        <v/>
      </c>
      <c r="BH29" s="304" t="str">
        <f t="shared" si="14"/>
        <v/>
      </c>
      <c r="BI29" s="304">
        <f t="shared" ref="BI29:BL47" si="15">IF(AG29&lt;&gt;"",(AU29-AG29)/AG29,"")</f>
        <v>2.5468104512044662E-2</v>
      </c>
      <c r="BJ29" s="304" t="str">
        <f t="shared" si="15"/>
        <v/>
      </c>
      <c r="BK29" s="288" t="str">
        <f t="shared" si="15"/>
        <v/>
      </c>
      <c r="BL29" s="136" t="str">
        <f t="shared" si="15"/>
        <v/>
      </c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</row>
    <row r="30" spans="1:78" s="85" customFormat="1" ht="11.25">
      <c r="A30" s="289" t="s">
        <v>228</v>
      </c>
      <c r="B30" s="295" t="s">
        <v>264</v>
      </c>
      <c r="C30" s="305"/>
      <c r="D30" s="307">
        <v>0.62708333333333333</v>
      </c>
      <c r="E30" s="306">
        <v>56.496600000000001</v>
      </c>
      <c r="F30" s="296"/>
      <c r="G30" s="296"/>
      <c r="H30" s="298"/>
      <c r="I30" s="290" t="s">
        <v>94</v>
      </c>
      <c r="J30" s="295">
        <f>IF(ISERROR(VLOOKUP(I30,Max_Load_France!$B$2:$C$102,2,FALSE)/1000),"",VLOOKUP(I30,Max_Load_France!$B$2:$C$102,2,FALSE)/1000)</f>
        <v>40</v>
      </c>
      <c r="K30" s="296"/>
      <c r="L30" s="297">
        <f t="shared" si="0"/>
        <v>1.0899999999999999</v>
      </c>
      <c r="M30" s="298">
        <f>IF(VLOOKUP($I30,Max_Load_France!$B$2:$M$102,3,FALSE)="","",VLOOKUP($I30,Max_Load_France!$B$2:$M$102,3,FALSE))</f>
        <v>0</v>
      </c>
      <c r="N30" s="298">
        <f>IF(VLOOKUP($I30,Max_Load_France!$B$2:$M$102,4,FALSE)="","",VLOOKUP($I30,Max_Load_France!$B$2:$M$102,4,FALSE))</f>
        <v>0</v>
      </c>
      <c r="O30" s="298">
        <f>IF(VLOOKUP($I30,Max_Load_France!$B$2:$M$102,5,FALSE)="","",VLOOKUP($I30,Max_Load_France!$B$2:$M$102,5,FALSE))</f>
        <v>1</v>
      </c>
      <c r="P30" s="298">
        <f>IF(VLOOKUP($I30,Max_Load_France!$B$2:$M$102,6,FALSE)="","",VLOOKUP($I30,Max_Load_France!$B$2:$M$102,6,FALSE))</f>
        <v>1</v>
      </c>
      <c r="Q30" s="298">
        <f>IF(VLOOKUP($I30,Max_Load_France!$B$2:$M$102,7,FALSE)="","",VLOOKUP($I30,Max_Load_France!$B$2:$M$102,7,FALSE))</f>
        <v>1</v>
      </c>
      <c r="R30" s="298" t="str">
        <f>IF(VLOOKUP($I30,Max_Load_France!$B$2:$M$102,8,FALSE)="","",VLOOKUP($I30,Max_Load_France!$B$2:$M$102,8,FALSE))</f>
        <v/>
      </c>
      <c r="S30" s="298" t="str">
        <f>IF(VLOOKUP($I30,Max_Load_France!$B$2:$M$102,9,FALSE)="","",VLOOKUP($I30,Max_Load_France!$B$2:$M$102,9,FALSE))</f>
        <v/>
      </c>
      <c r="T30" s="298" t="str">
        <f>IF(VLOOKUP($I30,Max_Load_France!$B$2:$M$102,10,FALSE)="","",VLOOKUP($I30,Max_Load_France!$B$2:$M$102,10,FALSE))</f>
        <v/>
      </c>
      <c r="U30" s="298" t="str">
        <f>IF(VLOOKUP($I30,Max_Load_France!$B$2:$M$102,11,FALSE)="","",VLOOKUP($I30,Max_Load_France!$B$2:$M$102,11,FALSE))</f>
        <v/>
      </c>
      <c r="V30" s="289">
        <v>5</v>
      </c>
      <c r="W30" s="299">
        <f t="shared" si="3"/>
        <v>43.599999999999994</v>
      </c>
      <c r="X30" s="308">
        <v>7.2</v>
      </c>
      <c r="Y30" s="308">
        <v>12.2</v>
      </c>
      <c r="Z30" s="308">
        <v>8.1999999999999993</v>
      </c>
      <c r="AA30" s="308">
        <v>8.1</v>
      </c>
      <c r="AB30" s="308">
        <v>7.9</v>
      </c>
      <c r="AC30" s="308"/>
      <c r="AD30" s="308"/>
      <c r="AE30" s="308"/>
      <c r="AF30" s="308"/>
      <c r="AG30" s="302">
        <f t="shared" si="4"/>
        <v>24.199999999999996</v>
      </c>
      <c r="AH30" s="302" t="str">
        <f t="shared" si="5"/>
        <v/>
      </c>
      <c r="AI30" s="302" t="str">
        <f t="shared" si="6"/>
        <v/>
      </c>
      <c r="AJ30" s="302" t="str">
        <f t="shared" si="7"/>
        <v/>
      </c>
      <c r="AK30" s="303">
        <f t="shared" si="13"/>
        <v>43.022242609582058</v>
      </c>
      <c r="AL30" s="309">
        <v>5.2378389398572889</v>
      </c>
      <c r="AM30" s="309">
        <v>14.30703363914373</v>
      </c>
      <c r="AN30" s="309">
        <v>7.8257900101936793</v>
      </c>
      <c r="AO30" s="309">
        <v>7.8257900101936793</v>
      </c>
      <c r="AP30" s="309">
        <v>7.8257900101936793</v>
      </c>
      <c r="AQ30" s="309"/>
      <c r="AR30" s="309"/>
      <c r="AS30" s="309"/>
      <c r="AT30" s="309"/>
      <c r="AU30" s="302">
        <f t="shared" si="8"/>
        <v>23.477370030581039</v>
      </c>
      <c r="AV30" s="302" t="str">
        <f t="shared" si="9"/>
        <v/>
      </c>
      <c r="AW30" s="302"/>
      <c r="AX30" s="302"/>
      <c r="AY30" s="304">
        <f t="shared" si="14"/>
        <v>-1.3251316293989367E-2</v>
      </c>
      <c r="AZ30" s="304">
        <f t="shared" si="14"/>
        <v>-0.27252236946426545</v>
      </c>
      <c r="BA30" s="304">
        <f t="shared" si="14"/>
        <v>0.17270767533965012</v>
      </c>
      <c r="BB30" s="304">
        <f t="shared" si="14"/>
        <v>-4.5635364610526835E-2</v>
      </c>
      <c r="BC30" s="304">
        <f t="shared" si="14"/>
        <v>-3.3853085161274124E-2</v>
      </c>
      <c r="BD30" s="304">
        <f t="shared" si="14"/>
        <v>-9.3936695957368473E-3</v>
      </c>
      <c r="BE30" s="304" t="str">
        <f t="shared" si="14"/>
        <v/>
      </c>
      <c r="BF30" s="304" t="str">
        <f t="shared" si="14"/>
        <v/>
      </c>
      <c r="BG30" s="304" t="str">
        <f t="shared" si="14"/>
        <v/>
      </c>
      <c r="BH30" s="304" t="str">
        <f t="shared" si="14"/>
        <v/>
      </c>
      <c r="BI30" s="304">
        <f t="shared" si="15"/>
        <v>-2.9860742537973439E-2</v>
      </c>
      <c r="BJ30" s="304" t="str">
        <f t="shared" si="15"/>
        <v/>
      </c>
      <c r="BK30" s="288" t="str">
        <f t="shared" si="15"/>
        <v/>
      </c>
      <c r="BL30" s="136" t="str">
        <f t="shared" si="15"/>
        <v/>
      </c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</row>
    <row r="31" spans="1:78" s="85" customFormat="1" ht="11.25">
      <c r="A31" s="289" t="s">
        <v>229</v>
      </c>
      <c r="B31" s="295" t="s">
        <v>265</v>
      </c>
      <c r="C31" s="305"/>
      <c r="D31" s="292">
        <v>0.62986111111111109</v>
      </c>
      <c r="E31" s="310">
        <v>59.698799999999999</v>
      </c>
      <c r="F31" s="298"/>
      <c r="G31" s="298"/>
      <c r="H31" s="298"/>
      <c r="I31" s="290" t="s">
        <v>94</v>
      </c>
      <c r="J31" s="295">
        <f>IF(ISERROR(VLOOKUP(I31,Max_Load_France!$B$2:$C$102,2,FALSE)/1000),"",VLOOKUP(I31,Max_Load_France!$B$2:$C$102,2,FALSE)/1000)</f>
        <v>40</v>
      </c>
      <c r="K31" s="296"/>
      <c r="L31" s="297">
        <f t="shared" si="0"/>
        <v>1.0024999999999999</v>
      </c>
      <c r="M31" s="298">
        <f>IF(VLOOKUP($I31,Max_Load_France!$B$2:$M$102,3,FALSE)="","",VLOOKUP($I31,Max_Load_France!$B$2:$M$102,3,FALSE))</f>
        <v>0</v>
      </c>
      <c r="N31" s="298">
        <f>IF(VLOOKUP($I31,Max_Load_France!$B$2:$M$102,4,FALSE)="","",VLOOKUP($I31,Max_Load_France!$B$2:$M$102,4,FALSE))</f>
        <v>0</v>
      </c>
      <c r="O31" s="298">
        <f>IF(VLOOKUP($I31,Max_Load_France!$B$2:$M$102,5,FALSE)="","",VLOOKUP($I31,Max_Load_France!$B$2:$M$102,5,FALSE))</f>
        <v>1</v>
      </c>
      <c r="P31" s="298">
        <f>IF(VLOOKUP($I31,Max_Load_France!$B$2:$M$102,6,FALSE)="","",VLOOKUP($I31,Max_Load_France!$B$2:$M$102,6,FALSE))</f>
        <v>1</v>
      </c>
      <c r="Q31" s="298">
        <f>IF(VLOOKUP($I31,Max_Load_France!$B$2:$M$102,7,FALSE)="","",VLOOKUP($I31,Max_Load_France!$B$2:$M$102,7,FALSE))</f>
        <v>1</v>
      </c>
      <c r="R31" s="298" t="str">
        <f>IF(VLOOKUP($I31,Max_Load_France!$B$2:$M$102,8,FALSE)="","",VLOOKUP($I31,Max_Load_France!$B$2:$M$102,8,FALSE))</f>
        <v/>
      </c>
      <c r="S31" s="298" t="str">
        <f>IF(VLOOKUP($I31,Max_Load_France!$B$2:$M$102,9,FALSE)="","",VLOOKUP($I31,Max_Load_France!$B$2:$M$102,9,FALSE))</f>
        <v/>
      </c>
      <c r="T31" s="298" t="str">
        <f>IF(VLOOKUP($I31,Max_Load_France!$B$2:$M$102,10,FALSE)="","",VLOOKUP($I31,Max_Load_France!$B$2:$M$102,10,FALSE))</f>
        <v/>
      </c>
      <c r="U31" s="298" t="str">
        <f>IF(VLOOKUP($I31,Max_Load_France!$B$2:$M$102,11,FALSE)="","",VLOOKUP($I31,Max_Load_France!$B$2:$M$102,11,FALSE))</f>
        <v/>
      </c>
      <c r="V31" s="289">
        <v>5</v>
      </c>
      <c r="W31" s="299">
        <f t="shared" si="3"/>
        <v>40.1</v>
      </c>
      <c r="X31" s="300">
        <v>6.7</v>
      </c>
      <c r="Y31" s="300">
        <v>10.199999999999999</v>
      </c>
      <c r="Z31" s="300">
        <v>7.8</v>
      </c>
      <c r="AA31" s="300">
        <v>7.7</v>
      </c>
      <c r="AB31" s="300">
        <v>7.7</v>
      </c>
      <c r="AC31" s="301"/>
      <c r="AD31" s="301"/>
      <c r="AE31" s="301"/>
      <c r="AF31" s="301"/>
      <c r="AG31" s="302">
        <f t="shared" si="4"/>
        <v>23.2</v>
      </c>
      <c r="AH31" s="302" t="str">
        <f t="shared" si="5"/>
        <v/>
      </c>
      <c r="AI31" s="302" t="str">
        <f t="shared" si="6"/>
        <v/>
      </c>
      <c r="AJ31" s="302" t="str">
        <f t="shared" si="7"/>
        <v/>
      </c>
      <c r="AK31" s="303">
        <f t="shared" si="13"/>
        <v>40.111396534148824</v>
      </c>
      <c r="AL31" s="300">
        <v>5.0366055045871558</v>
      </c>
      <c r="AM31" s="300">
        <v>12.416411824668705</v>
      </c>
      <c r="AN31" s="300">
        <v>7.552793068297655</v>
      </c>
      <c r="AO31" s="300">
        <v>7.552793068297655</v>
      </c>
      <c r="AP31" s="300">
        <v>7.552793068297655</v>
      </c>
      <c r="AQ31" s="301"/>
      <c r="AR31" s="301"/>
      <c r="AS31" s="301"/>
      <c r="AT31" s="301"/>
      <c r="AU31" s="302">
        <f t="shared" si="8"/>
        <v>22.658379204892967</v>
      </c>
      <c r="AV31" s="302" t="str">
        <f t="shared" si="9"/>
        <v/>
      </c>
      <c r="AW31" s="302"/>
      <c r="AX31" s="302"/>
      <c r="AY31" s="304">
        <f t="shared" si="14"/>
        <v>2.8420284660405157E-4</v>
      </c>
      <c r="AZ31" s="304">
        <f t="shared" si="14"/>
        <v>-0.24826783513624542</v>
      </c>
      <c r="BA31" s="304">
        <f t="shared" si="14"/>
        <v>0.2172952769283045</v>
      </c>
      <c r="BB31" s="304">
        <f t="shared" si="14"/>
        <v>-3.1693196372095493E-2</v>
      </c>
      <c r="BC31" s="304">
        <f t="shared" si="14"/>
        <v>-1.9117783337966911E-2</v>
      </c>
      <c r="BD31" s="304">
        <f t="shared" si="14"/>
        <v>-1.9117783337966911E-2</v>
      </c>
      <c r="BE31" s="304" t="str">
        <f t="shared" si="14"/>
        <v/>
      </c>
      <c r="BF31" s="304" t="str">
        <f t="shared" si="14"/>
        <v/>
      </c>
      <c r="BG31" s="304" t="str">
        <f t="shared" si="14"/>
        <v/>
      </c>
      <c r="BH31" s="304" t="str">
        <f t="shared" si="14"/>
        <v/>
      </c>
      <c r="BI31" s="304">
        <f t="shared" si="15"/>
        <v>-2.334572392702727E-2</v>
      </c>
      <c r="BJ31" s="304" t="str">
        <f t="shared" si="15"/>
        <v/>
      </c>
      <c r="BK31" s="288" t="str">
        <f t="shared" si="15"/>
        <v/>
      </c>
      <c r="BL31" s="136" t="str">
        <f t="shared" si="15"/>
        <v/>
      </c>
      <c r="BM31" s="76"/>
      <c r="BN31" s="76"/>
    </row>
    <row r="32" spans="1:78" s="85" customFormat="1" ht="11.25">
      <c r="A32" s="289" t="s">
        <v>230</v>
      </c>
      <c r="B32" s="295" t="s">
        <v>266</v>
      </c>
      <c r="C32" s="305"/>
      <c r="D32" s="292">
        <v>0.6381944444444444</v>
      </c>
      <c r="E32" s="306">
        <v>60.186239999999998</v>
      </c>
      <c r="F32" s="298"/>
      <c r="G32" s="298"/>
      <c r="H32" s="298"/>
      <c r="I32" s="290" t="s">
        <v>94</v>
      </c>
      <c r="J32" s="295">
        <f>IF(ISERROR(VLOOKUP(I32,Max_Load_France!$B$2:$C$102,2,FALSE)/1000),"",VLOOKUP(I32,Max_Load_France!$B$2:$C$102,2,FALSE)/1000)</f>
        <v>40</v>
      </c>
      <c r="K32" s="296"/>
      <c r="L32" s="297">
        <f t="shared" si="0"/>
        <v>0.79500000000000004</v>
      </c>
      <c r="M32" s="298">
        <f>IF(VLOOKUP($I32,Max_Load_France!$B$2:$M$102,3,FALSE)="","",VLOOKUP($I32,Max_Load_France!$B$2:$M$102,3,FALSE))</f>
        <v>0</v>
      </c>
      <c r="N32" s="298">
        <f>IF(VLOOKUP($I32,Max_Load_France!$B$2:$M$102,4,FALSE)="","",VLOOKUP($I32,Max_Load_France!$B$2:$M$102,4,FALSE))</f>
        <v>0</v>
      </c>
      <c r="O32" s="298">
        <f>IF(VLOOKUP($I32,Max_Load_France!$B$2:$M$102,5,FALSE)="","",VLOOKUP($I32,Max_Load_France!$B$2:$M$102,5,FALSE))</f>
        <v>1</v>
      </c>
      <c r="P32" s="298">
        <f>IF(VLOOKUP($I32,Max_Load_France!$B$2:$M$102,6,FALSE)="","",VLOOKUP($I32,Max_Load_France!$B$2:$M$102,6,FALSE))</f>
        <v>1</v>
      </c>
      <c r="Q32" s="298">
        <f>IF(VLOOKUP($I32,Max_Load_France!$B$2:$M$102,7,FALSE)="","",VLOOKUP($I32,Max_Load_France!$B$2:$M$102,7,FALSE))</f>
        <v>1</v>
      </c>
      <c r="R32" s="298" t="str">
        <f>IF(VLOOKUP($I32,Max_Load_France!$B$2:$M$102,8,FALSE)="","",VLOOKUP($I32,Max_Load_France!$B$2:$M$102,8,FALSE))</f>
        <v/>
      </c>
      <c r="S32" s="298" t="str">
        <f>IF(VLOOKUP($I32,Max_Load_France!$B$2:$M$102,9,FALSE)="","",VLOOKUP($I32,Max_Load_France!$B$2:$M$102,9,FALSE))</f>
        <v/>
      </c>
      <c r="T32" s="298" t="str">
        <f>IF(VLOOKUP($I32,Max_Load_France!$B$2:$M$102,10,FALSE)="","",VLOOKUP($I32,Max_Load_France!$B$2:$M$102,10,FALSE))</f>
        <v/>
      </c>
      <c r="U32" s="298" t="str">
        <f>IF(VLOOKUP($I32,Max_Load_France!$B$2:$M$102,11,FALSE)="","",VLOOKUP($I32,Max_Load_France!$B$2:$M$102,11,FALSE))</f>
        <v/>
      </c>
      <c r="V32" s="289">
        <v>5</v>
      </c>
      <c r="W32" s="299">
        <f t="shared" si="3"/>
        <v>31.8</v>
      </c>
      <c r="X32" s="300">
        <v>7.3</v>
      </c>
      <c r="Y32" s="300">
        <v>9.9</v>
      </c>
      <c r="Z32" s="300">
        <v>5</v>
      </c>
      <c r="AA32" s="300">
        <v>4.8</v>
      </c>
      <c r="AB32" s="300">
        <v>4.8</v>
      </c>
      <c r="AC32" s="301"/>
      <c r="AD32" s="301"/>
      <c r="AE32" s="301"/>
      <c r="AF32" s="301"/>
      <c r="AG32" s="302">
        <f t="shared" si="4"/>
        <v>14.600000000000001</v>
      </c>
      <c r="AH32" s="302" t="str">
        <f t="shared" si="5"/>
        <v/>
      </c>
      <c r="AI32" s="302" t="str">
        <f t="shared" si="6"/>
        <v/>
      </c>
      <c r="AJ32" s="302" t="str">
        <f t="shared" si="7"/>
        <v/>
      </c>
      <c r="AK32" s="303">
        <f t="shared" si="13"/>
        <v>31.402232415902137</v>
      </c>
      <c r="AL32" s="300">
        <v>6.0301630988786954</v>
      </c>
      <c r="AM32" s="300">
        <v>11.279408766564728</v>
      </c>
      <c r="AN32" s="300">
        <v>4.6975535168195712</v>
      </c>
      <c r="AO32" s="300">
        <v>4.6975535168195712</v>
      </c>
      <c r="AP32" s="300">
        <v>4.6975535168195712</v>
      </c>
      <c r="AQ32" s="301"/>
      <c r="AR32" s="300"/>
      <c r="AS32" s="301"/>
      <c r="AT32" s="301"/>
      <c r="AU32" s="302">
        <f t="shared" si="8"/>
        <v>14.092660550458714</v>
      </c>
      <c r="AV32" s="302" t="str">
        <f t="shared" si="9"/>
        <v/>
      </c>
      <c r="AW32" s="302"/>
      <c r="AX32" s="302"/>
      <c r="AY32" s="304">
        <f t="shared" si="14"/>
        <v>-1.2508414594272434E-2</v>
      </c>
      <c r="AZ32" s="304">
        <f t="shared" si="14"/>
        <v>-0.17395026042757594</v>
      </c>
      <c r="BA32" s="304">
        <f t="shared" si="14"/>
        <v>0.139334218844922</v>
      </c>
      <c r="BB32" s="304">
        <f t="shared" si="14"/>
        <v>-6.0489296636085751E-2</v>
      </c>
      <c r="BC32" s="304">
        <f t="shared" si="14"/>
        <v>-2.1343017329255958E-2</v>
      </c>
      <c r="BD32" s="304">
        <f t="shared" si="14"/>
        <v>-2.1343017329255958E-2</v>
      </c>
      <c r="BE32" s="304" t="str">
        <f t="shared" si="14"/>
        <v/>
      </c>
      <c r="BF32" s="304" t="str">
        <f t="shared" si="14"/>
        <v/>
      </c>
      <c r="BG32" s="304" t="str">
        <f t="shared" si="14"/>
        <v/>
      </c>
      <c r="BH32" s="304" t="str">
        <f t="shared" si="14"/>
        <v/>
      </c>
      <c r="BI32" s="304">
        <f t="shared" si="15"/>
        <v>-3.4749277365841623E-2</v>
      </c>
      <c r="BJ32" s="304" t="str">
        <f t="shared" si="15"/>
        <v/>
      </c>
      <c r="BK32" s="288" t="str">
        <f t="shared" si="15"/>
        <v/>
      </c>
      <c r="BL32" s="136" t="str">
        <f t="shared" si="15"/>
        <v/>
      </c>
      <c r="BM32" s="76"/>
      <c r="BN32" s="76"/>
    </row>
    <row r="33" spans="1:66" s="85" customFormat="1" ht="11.25">
      <c r="A33" s="289" t="s">
        <v>231</v>
      </c>
      <c r="B33" s="295" t="s">
        <v>267</v>
      </c>
      <c r="C33" s="305"/>
      <c r="D33" s="292">
        <v>0.64027777777777783</v>
      </c>
      <c r="E33" s="306">
        <v>77.201999999999998</v>
      </c>
      <c r="F33" s="298"/>
      <c r="G33" s="298"/>
      <c r="H33" s="298"/>
      <c r="I33" s="290" t="s">
        <v>94</v>
      </c>
      <c r="J33" s="295">
        <f>IF(ISERROR(VLOOKUP(I33,Max_Load_France!$B$2:$C$102,2,FALSE)/1000),"",VLOOKUP(I33,Max_Load_France!$B$2:$C$102,2,FALSE)/1000)</f>
        <v>40</v>
      </c>
      <c r="K33" s="296"/>
      <c r="L33" s="297">
        <f t="shared" si="0"/>
        <v>0.36</v>
      </c>
      <c r="M33" s="298">
        <f>IF(VLOOKUP($I33,Max_Load_France!$B$2:$M$102,3,FALSE)="","",VLOOKUP($I33,Max_Load_France!$B$2:$M$102,3,FALSE))</f>
        <v>0</v>
      </c>
      <c r="N33" s="298">
        <f>IF(VLOOKUP($I33,Max_Load_France!$B$2:$M$102,4,FALSE)="","",VLOOKUP($I33,Max_Load_France!$B$2:$M$102,4,FALSE))</f>
        <v>0</v>
      </c>
      <c r="O33" s="298">
        <f>IF(VLOOKUP($I33,Max_Load_France!$B$2:$M$102,5,FALSE)="","",VLOOKUP($I33,Max_Load_France!$B$2:$M$102,5,FALSE))</f>
        <v>1</v>
      </c>
      <c r="P33" s="298">
        <f>IF(VLOOKUP($I33,Max_Load_France!$B$2:$M$102,6,FALSE)="","",VLOOKUP($I33,Max_Load_France!$B$2:$M$102,6,FALSE))</f>
        <v>1</v>
      </c>
      <c r="Q33" s="298">
        <f>IF(VLOOKUP($I33,Max_Load_France!$B$2:$M$102,7,FALSE)="","",VLOOKUP($I33,Max_Load_France!$B$2:$M$102,7,FALSE))</f>
        <v>1</v>
      </c>
      <c r="R33" s="298" t="str">
        <f>IF(VLOOKUP($I33,Max_Load_France!$B$2:$M$102,8,FALSE)="","",VLOOKUP($I33,Max_Load_France!$B$2:$M$102,8,FALSE))</f>
        <v/>
      </c>
      <c r="S33" s="298" t="str">
        <f>IF(VLOOKUP($I33,Max_Load_France!$B$2:$M$102,9,FALSE)="","",VLOOKUP($I33,Max_Load_France!$B$2:$M$102,9,FALSE))</f>
        <v/>
      </c>
      <c r="T33" s="298" t="str">
        <f>IF(VLOOKUP($I33,Max_Load_France!$B$2:$M$102,10,FALSE)="","",VLOOKUP($I33,Max_Load_France!$B$2:$M$102,10,FALSE))</f>
        <v/>
      </c>
      <c r="U33" s="298" t="str">
        <f>IF(VLOOKUP($I33,Max_Load_France!$B$2:$M$102,11,FALSE)="","",VLOOKUP($I33,Max_Load_France!$B$2:$M$102,11,FALSE))</f>
        <v/>
      </c>
      <c r="V33" s="289">
        <v>5</v>
      </c>
      <c r="W33" s="299">
        <f t="shared" si="3"/>
        <v>14.399999999999999</v>
      </c>
      <c r="X33" s="300">
        <v>5.9</v>
      </c>
      <c r="Y33" s="300">
        <v>3.4</v>
      </c>
      <c r="Z33" s="300">
        <v>1.7</v>
      </c>
      <c r="AA33" s="300">
        <v>1.7</v>
      </c>
      <c r="AB33" s="300">
        <v>1.7</v>
      </c>
      <c r="AC33" s="301"/>
      <c r="AD33" s="301"/>
      <c r="AE33" s="301"/>
      <c r="AF33" s="301"/>
      <c r="AG33" s="302">
        <f t="shared" si="4"/>
        <v>5.0999999999999996</v>
      </c>
      <c r="AH33" s="302" t="str">
        <f t="shared" si="5"/>
        <v/>
      </c>
      <c r="AI33" s="302" t="str">
        <f t="shared" si="6"/>
        <v/>
      </c>
      <c r="AJ33" s="302" t="str">
        <f t="shared" si="7"/>
        <v/>
      </c>
      <c r="AK33" s="303">
        <f t="shared" si="13"/>
        <v>13.990417940876657</v>
      </c>
      <c r="AL33" s="300">
        <v>5.2712538226299692</v>
      </c>
      <c r="AM33" s="300">
        <v>4.4453211009174316</v>
      </c>
      <c r="AN33" s="300">
        <v>2.1369215086646278</v>
      </c>
      <c r="AO33" s="300">
        <v>2.1369215086646278</v>
      </c>
      <c r="AP33" s="300"/>
      <c r="AQ33" s="301"/>
      <c r="AR33" s="300"/>
      <c r="AS33" s="301"/>
      <c r="AT33" s="301"/>
      <c r="AU33" s="302">
        <f t="shared" si="8"/>
        <v>4.2738430173292556</v>
      </c>
      <c r="AV33" s="302" t="str">
        <f t="shared" si="9"/>
        <v/>
      </c>
      <c r="AW33" s="302"/>
      <c r="AX33" s="302"/>
      <c r="AY33" s="304">
        <f t="shared" si="14"/>
        <v>-2.8443198550232033E-2</v>
      </c>
      <c r="AZ33" s="304">
        <f t="shared" si="14"/>
        <v>-0.10656714870678494</v>
      </c>
      <c r="BA33" s="304">
        <f t="shared" si="14"/>
        <v>0.30744738262277405</v>
      </c>
      <c r="BB33" s="304">
        <f t="shared" si="14"/>
        <v>0.25701265215566343</v>
      </c>
      <c r="BC33" s="304">
        <f t="shared" si="14"/>
        <v>0.25701265215566343</v>
      </c>
      <c r="BD33" s="304"/>
      <c r="BE33" s="304" t="str">
        <f t="shared" si="14"/>
        <v/>
      </c>
      <c r="BF33" s="304" t="str">
        <f t="shared" si="14"/>
        <v/>
      </c>
      <c r="BG33" s="304" t="str">
        <f t="shared" si="14"/>
        <v/>
      </c>
      <c r="BH33" s="304" t="str">
        <f t="shared" si="14"/>
        <v/>
      </c>
      <c r="BI33" s="304">
        <f t="shared" si="15"/>
        <v>-0.16199156522955765</v>
      </c>
      <c r="BJ33" s="304" t="str">
        <f t="shared" si="15"/>
        <v/>
      </c>
      <c r="BK33" s="288" t="str">
        <f t="shared" si="15"/>
        <v/>
      </c>
      <c r="BL33" s="136" t="str">
        <f t="shared" si="15"/>
        <v/>
      </c>
      <c r="BM33" s="76"/>
      <c r="BN33" s="76"/>
    </row>
    <row r="34" spans="1:66" s="85" customFormat="1" ht="11.25">
      <c r="A34" s="289" t="s">
        <v>232</v>
      </c>
      <c r="B34" s="295" t="s">
        <v>268</v>
      </c>
      <c r="C34" s="305"/>
      <c r="D34" s="292">
        <v>0.64444444444444449</v>
      </c>
      <c r="E34" s="306">
        <v>63.833760000000005</v>
      </c>
      <c r="F34" s="298"/>
      <c r="G34" s="298"/>
      <c r="H34" s="298"/>
      <c r="I34" s="290" t="s">
        <v>94</v>
      </c>
      <c r="J34" s="295">
        <f>IF(ISERROR(VLOOKUP(I34,Max_Load_France!$B$2:$C$102,2,FALSE)/1000),"",VLOOKUP(I34,Max_Load_France!$B$2:$C$102,2,FALSE)/1000)</f>
        <v>40</v>
      </c>
      <c r="K34" s="296"/>
      <c r="L34" s="297">
        <f t="shared" si="0"/>
        <v>0.91249999999999998</v>
      </c>
      <c r="M34" s="298">
        <f>IF(VLOOKUP($I34,Max_Load_France!$B$2:$M$102,3,FALSE)="","",VLOOKUP($I34,Max_Load_France!$B$2:$M$102,3,FALSE))</f>
        <v>0</v>
      </c>
      <c r="N34" s="298">
        <f>IF(VLOOKUP($I34,Max_Load_France!$B$2:$M$102,4,FALSE)="","",VLOOKUP($I34,Max_Load_France!$B$2:$M$102,4,FALSE))</f>
        <v>0</v>
      </c>
      <c r="O34" s="298">
        <f>IF(VLOOKUP($I34,Max_Load_France!$B$2:$M$102,5,FALSE)="","",VLOOKUP($I34,Max_Load_France!$B$2:$M$102,5,FALSE))</f>
        <v>1</v>
      </c>
      <c r="P34" s="298">
        <f>IF(VLOOKUP($I34,Max_Load_France!$B$2:$M$102,6,FALSE)="","",VLOOKUP($I34,Max_Load_France!$B$2:$M$102,6,FALSE))</f>
        <v>1</v>
      </c>
      <c r="Q34" s="298">
        <f>IF(VLOOKUP($I34,Max_Load_France!$B$2:$M$102,7,FALSE)="","",VLOOKUP($I34,Max_Load_France!$B$2:$M$102,7,FALSE))</f>
        <v>1</v>
      </c>
      <c r="R34" s="298" t="str">
        <f>IF(VLOOKUP($I34,Max_Load_France!$B$2:$M$102,8,FALSE)="","",VLOOKUP($I34,Max_Load_France!$B$2:$M$102,8,FALSE))</f>
        <v/>
      </c>
      <c r="S34" s="298" t="str">
        <f>IF(VLOOKUP($I34,Max_Load_France!$B$2:$M$102,9,FALSE)="","",VLOOKUP($I34,Max_Load_France!$B$2:$M$102,9,FALSE))</f>
        <v/>
      </c>
      <c r="T34" s="298" t="str">
        <f>IF(VLOOKUP($I34,Max_Load_France!$B$2:$M$102,10,FALSE)="","",VLOOKUP($I34,Max_Load_France!$B$2:$M$102,10,FALSE))</f>
        <v/>
      </c>
      <c r="U34" s="298" t="str">
        <f>IF(VLOOKUP($I34,Max_Load_France!$B$2:$M$102,11,FALSE)="","",VLOOKUP($I34,Max_Load_France!$B$2:$M$102,11,FALSE))</f>
        <v/>
      </c>
      <c r="V34" s="289">
        <v>5</v>
      </c>
      <c r="W34" s="299">
        <f t="shared" si="3"/>
        <v>36.5</v>
      </c>
      <c r="X34" s="300">
        <v>6</v>
      </c>
      <c r="Y34" s="300">
        <v>10.7</v>
      </c>
      <c r="Z34" s="300">
        <v>6.6</v>
      </c>
      <c r="AA34" s="300">
        <v>6.6</v>
      </c>
      <c r="AB34" s="300">
        <v>6.6</v>
      </c>
      <c r="AC34" s="301"/>
      <c r="AD34" s="301"/>
      <c r="AE34" s="301"/>
      <c r="AF34" s="301"/>
      <c r="AG34" s="302">
        <f t="shared" si="4"/>
        <v>19.799999999999997</v>
      </c>
      <c r="AH34" s="302" t="str">
        <f t="shared" si="5"/>
        <v/>
      </c>
      <c r="AI34" s="302" t="str">
        <f t="shared" si="6"/>
        <v/>
      </c>
      <c r="AJ34" s="302" t="str">
        <f t="shared" si="7"/>
        <v/>
      </c>
      <c r="AK34" s="303">
        <f t="shared" si="13"/>
        <v>36.831518858307845</v>
      </c>
      <c r="AL34" s="300">
        <v>4.3043934760448526</v>
      </c>
      <c r="AM34" s="300">
        <v>12.393272171253823</v>
      </c>
      <c r="AN34" s="300">
        <v>6.7112844036697243</v>
      </c>
      <c r="AO34" s="300">
        <v>6.7112844036697243</v>
      </c>
      <c r="AP34" s="300">
        <v>6.7112844036697243</v>
      </c>
      <c r="AQ34" s="301"/>
      <c r="AR34" s="300"/>
      <c r="AS34" s="301"/>
      <c r="AT34" s="301"/>
      <c r="AU34" s="302">
        <f t="shared" si="8"/>
        <v>20.133853211009175</v>
      </c>
      <c r="AV34" s="302" t="str">
        <f t="shared" si="9"/>
        <v/>
      </c>
      <c r="AW34" s="302"/>
      <c r="AX34" s="302"/>
      <c r="AY34" s="304">
        <f t="shared" si="14"/>
        <v>9.0827084467902802E-3</v>
      </c>
      <c r="AZ34" s="304">
        <f t="shared" si="14"/>
        <v>-0.28260108732585792</v>
      </c>
      <c r="BA34" s="304">
        <f t="shared" si="14"/>
        <v>0.15824973563119851</v>
      </c>
      <c r="BB34" s="304">
        <f t="shared" si="14"/>
        <v>1.6861273283291622E-2</v>
      </c>
      <c r="BC34" s="304">
        <f t="shared" si="14"/>
        <v>1.6861273283291622E-2</v>
      </c>
      <c r="BD34" s="304">
        <f t="shared" si="14"/>
        <v>1.6861273283291622E-2</v>
      </c>
      <c r="BE34" s="304" t="str">
        <f t="shared" si="14"/>
        <v/>
      </c>
      <c r="BF34" s="304" t="str">
        <f t="shared" si="14"/>
        <v/>
      </c>
      <c r="BG34" s="304" t="str">
        <f t="shared" si="14"/>
        <v/>
      </c>
      <c r="BH34" s="304" t="str">
        <f t="shared" si="14"/>
        <v/>
      </c>
      <c r="BI34" s="304">
        <f t="shared" si="15"/>
        <v>1.6861273283291803E-2</v>
      </c>
      <c r="BJ34" s="304" t="str">
        <f t="shared" si="15"/>
        <v/>
      </c>
      <c r="BK34" s="288" t="str">
        <f t="shared" si="15"/>
        <v/>
      </c>
      <c r="BL34" s="136" t="str">
        <f t="shared" si="15"/>
        <v/>
      </c>
      <c r="BM34" s="76"/>
      <c r="BN34" s="76"/>
    </row>
    <row r="35" spans="1:66" s="89" customFormat="1" ht="11.25">
      <c r="A35" s="289" t="s">
        <v>233</v>
      </c>
      <c r="B35" s="295" t="s">
        <v>269</v>
      </c>
      <c r="C35" s="305"/>
      <c r="D35" s="292">
        <v>0.64652777777777781</v>
      </c>
      <c r="E35" s="306">
        <v>71.580600000000004</v>
      </c>
      <c r="F35" s="298"/>
      <c r="G35" s="298"/>
      <c r="H35" s="298"/>
      <c r="I35" s="290" t="s">
        <v>94</v>
      </c>
      <c r="J35" s="295">
        <f>IF(ISERROR(VLOOKUP(I35,Max_Load_France!$B$2:$C$102,2,FALSE)/1000),"",VLOOKUP(I35,Max_Load_France!$B$2:$C$102,2,FALSE)/1000)</f>
        <v>40</v>
      </c>
      <c r="K35" s="296"/>
      <c r="L35" s="297">
        <f t="shared" si="0"/>
        <v>0.72</v>
      </c>
      <c r="M35" s="298">
        <f>IF(VLOOKUP($I35,Max_Load_France!$B$2:$M$102,3,FALSE)="","",VLOOKUP($I35,Max_Load_France!$B$2:$M$102,3,FALSE))</f>
        <v>0</v>
      </c>
      <c r="N35" s="298">
        <f>IF(VLOOKUP($I35,Max_Load_France!$B$2:$M$102,4,FALSE)="","",VLOOKUP($I35,Max_Load_France!$B$2:$M$102,4,FALSE))</f>
        <v>0</v>
      </c>
      <c r="O35" s="298">
        <f>IF(VLOOKUP($I35,Max_Load_France!$B$2:$M$102,5,FALSE)="","",VLOOKUP($I35,Max_Load_France!$B$2:$M$102,5,FALSE))</f>
        <v>1</v>
      </c>
      <c r="P35" s="298">
        <f>IF(VLOOKUP($I35,Max_Load_France!$B$2:$M$102,6,FALSE)="","",VLOOKUP($I35,Max_Load_France!$B$2:$M$102,6,FALSE))</f>
        <v>1</v>
      </c>
      <c r="Q35" s="298">
        <f>IF(VLOOKUP($I35,Max_Load_France!$B$2:$M$102,7,FALSE)="","",VLOOKUP($I35,Max_Load_France!$B$2:$M$102,7,FALSE))</f>
        <v>1</v>
      </c>
      <c r="R35" s="298" t="str">
        <f>IF(VLOOKUP($I35,Max_Load_France!$B$2:$M$102,8,FALSE)="","",VLOOKUP($I35,Max_Load_France!$B$2:$M$102,8,FALSE))</f>
        <v/>
      </c>
      <c r="S35" s="298" t="str">
        <f>IF(VLOOKUP($I35,Max_Load_France!$B$2:$M$102,9,FALSE)="","",VLOOKUP($I35,Max_Load_France!$B$2:$M$102,9,FALSE))</f>
        <v/>
      </c>
      <c r="T35" s="298" t="str">
        <f>IF(VLOOKUP($I35,Max_Load_France!$B$2:$M$102,10,FALSE)="","",VLOOKUP($I35,Max_Load_France!$B$2:$M$102,10,FALSE))</f>
        <v/>
      </c>
      <c r="U35" s="298" t="str">
        <f>IF(VLOOKUP($I35,Max_Load_France!$B$2:$M$102,11,FALSE)="","",VLOOKUP($I35,Max_Load_France!$B$2:$M$102,11,FALSE))</f>
        <v/>
      </c>
      <c r="V35" s="289">
        <v>5</v>
      </c>
      <c r="W35" s="299">
        <f t="shared" si="3"/>
        <v>28.8</v>
      </c>
      <c r="X35" s="300">
        <v>7.3</v>
      </c>
      <c r="Y35" s="300">
        <v>11.7</v>
      </c>
      <c r="Z35" s="300">
        <v>3.3</v>
      </c>
      <c r="AA35" s="300">
        <v>3.3</v>
      </c>
      <c r="AB35" s="300">
        <v>3.2</v>
      </c>
      <c r="AC35" s="301"/>
      <c r="AD35" s="301"/>
      <c r="AE35" s="301"/>
      <c r="AF35" s="301"/>
      <c r="AG35" s="302">
        <f t="shared" si="4"/>
        <v>9.8000000000000007</v>
      </c>
      <c r="AH35" s="302" t="str">
        <f t="shared" si="5"/>
        <v/>
      </c>
      <c r="AI35" s="302" t="str">
        <f t="shared" si="6"/>
        <v/>
      </c>
      <c r="AJ35" s="302" t="str">
        <f t="shared" si="7"/>
        <v/>
      </c>
      <c r="AK35" s="303">
        <f t="shared" si="13"/>
        <v>30.904821610601427</v>
      </c>
      <c r="AL35" s="300">
        <v>6.1053720693170233</v>
      </c>
      <c r="AM35" s="300">
        <v>14.466666666666667</v>
      </c>
      <c r="AN35" s="300">
        <v>3.4442609582059127</v>
      </c>
      <c r="AO35" s="300">
        <v>3.4442609582059127</v>
      </c>
      <c r="AP35" s="300">
        <v>3.4442609582059127</v>
      </c>
      <c r="AQ35" s="301"/>
      <c r="AR35" s="300"/>
      <c r="AS35" s="301"/>
      <c r="AT35" s="301"/>
      <c r="AU35" s="302">
        <f t="shared" si="8"/>
        <v>10.332782874617738</v>
      </c>
      <c r="AV35" s="302" t="str">
        <f t="shared" si="9"/>
        <v/>
      </c>
      <c r="AW35" s="302"/>
      <c r="AX35" s="302"/>
      <c r="AY35" s="304">
        <f t="shared" si="14"/>
        <v>7.3084083701438415E-2</v>
      </c>
      <c r="AZ35" s="304">
        <f t="shared" si="14"/>
        <v>-0.16364766173739406</v>
      </c>
      <c r="BA35" s="304">
        <f t="shared" si="14"/>
        <v>0.23646723646723655</v>
      </c>
      <c r="BB35" s="304">
        <f t="shared" si="14"/>
        <v>4.3715441880579665E-2</v>
      </c>
      <c r="BC35" s="304">
        <f t="shared" si="14"/>
        <v>4.3715441880579665E-2</v>
      </c>
      <c r="BD35" s="304">
        <f t="shared" si="14"/>
        <v>7.6331549439347668E-2</v>
      </c>
      <c r="BE35" s="304" t="str">
        <f t="shared" si="14"/>
        <v/>
      </c>
      <c r="BF35" s="304" t="str">
        <f t="shared" si="14"/>
        <v/>
      </c>
      <c r="BG35" s="304" t="str">
        <f t="shared" si="14"/>
        <v/>
      </c>
      <c r="BH35" s="304" t="str">
        <f t="shared" si="14"/>
        <v/>
      </c>
      <c r="BI35" s="304">
        <f t="shared" si="15"/>
        <v>5.4365599450789531E-2</v>
      </c>
      <c r="BJ35" s="304" t="str">
        <f t="shared" si="15"/>
        <v/>
      </c>
      <c r="BK35" s="288" t="str">
        <f t="shared" si="15"/>
        <v/>
      </c>
      <c r="BL35" s="136" t="str">
        <f t="shared" si="15"/>
        <v/>
      </c>
      <c r="BM35" s="76"/>
      <c r="BN35" s="76"/>
    </row>
    <row r="36" spans="1:66" s="77" customFormat="1" ht="11.25">
      <c r="A36" s="289" t="s">
        <v>234</v>
      </c>
      <c r="B36" s="295" t="s">
        <v>270</v>
      </c>
      <c r="C36" s="305"/>
      <c r="D36" s="292">
        <v>0.64930555555555558</v>
      </c>
      <c r="E36" s="306">
        <v>78.853320000000011</v>
      </c>
      <c r="F36" s="298"/>
      <c r="G36" s="298"/>
      <c r="H36" s="298"/>
      <c r="I36" s="290" t="s">
        <v>94</v>
      </c>
      <c r="J36" s="295">
        <f>IF(ISERROR(VLOOKUP(I36,Max_Load_France!$B$2:$C$102,2,FALSE)/1000),"",VLOOKUP(I36,Max_Load_France!$B$2:$C$102,2,FALSE)/1000)</f>
        <v>40</v>
      </c>
      <c r="K36" s="296"/>
      <c r="L36" s="297">
        <f t="shared" si="0"/>
        <v>0.66</v>
      </c>
      <c r="M36" s="298">
        <f>IF(VLOOKUP($I36,Max_Load_France!$B$2:$M$102,3,FALSE)="","",VLOOKUP($I36,Max_Load_France!$B$2:$M$102,3,FALSE))</f>
        <v>0</v>
      </c>
      <c r="N36" s="298">
        <f>IF(VLOOKUP($I36,Max_Load_France!$B$2:$M$102,4,FALSE)="","",VLOOKUP($I36,Max_Load_France!$B$2:$M$102,4,FALSE))</f>
        <v>0</v>
      </c>
      <c r="O36" s="298">
        <f>IF(VLOOKUP($I36,Max_Load_France!$B$2:$M$102,5,FALSE)="","",VLOOKUP($I36,Max_Load_France!$B$2:$M$102,5,FALSE))</f>
        <v>1</v>
      </c>
      <c r="P36" s="298">
        <f>IF(VLOOKUP($I36,Max_Load_France!$B$2:$M$102,6,FALSE)="","",VLOOKUP($I36,Max_Load_France!$B$2:$M$102,6,FALSE))</f>
        <v>1</v>
      </c>
      <c r="Q36" s="298">
        <f>IF(VLOOKUP($I36,Max_Load_France!$B$2:$M$102,7,FALSE)="","",VLOOKUP($I36,Max_Load_France!$B$2:$M$102,7,FALSE))</f>
        <v>1</v>
      </c>
      <c r="R36" s="298" t="str">
        <f>IF(VLOOKUP($I36,Max_Load_France!$B$2:$M$102,8,FALSE)="","",VLOOKUP($I36,Max_Load_France!$B$2:$M$102,8,FALSE))</f>
        <v/>
      </c>
      <c r="S36" s="298" t="str">
        <f>IF(VLOOKUP($I36,Max_Load_France!$B$2:$M$102,9,FALSE)="","",VLOOKUP($I36,Max_Load_France!$B$2:$M$102,9,FALSE))</f>
        <v/>
      </c>
      <c r="T36" s="298" t="str">
        <f>IF(VLOOKUP($I36,Max_Load_France!$B$2:$M$102,10,FALSE)="","",VLOOKUP($I36,Max_Load_France!$B$2:$M$102,10,FALSE))</f>
        <v/>
      </c>
      <c r="U36" s="298" t="str">
        <f>IF(VLOOKUP($I36,Max_Load_France!$B$2:$M$102,11,FALSE)="","",VLOOKUP($I36,Max_Load_France!$B$2:$M$102,11,FALSE))</f>
        <v/>
      </c>
      <c r="V36" s="289">
        <v>5</v>
      </c>
      <c r="W36" s="299">
        <f t="shared" si="3"/>
        <v>26.400000000000002</v>
      </c>
      <c r="X36" s="300">
        <v>6.3</v>
      </c>
      <c r="Y36" s="300">
        <v>7</v>
      </c>
      <c r="Z36" s="300">
        <v>4.4000000000000004</v>
      </c>
      <c r="AA36" s="300">
        <v>4.4000000000000004</v>
      </c>
      <c r="AB36" s="300">
        <v>4.3</v>
      </c>
      <c r="AC36" s="301"/>
      <c r="AD36" s="301"/>
      <c r="AE36" s="301"/>
      <c r="AF36" s="301"/>
      <c r="AG36" s="302">
        <f t="shared" si="4"/>
        <v>13.100000000000001</v>
      </c>
      <c r="AH36" s="302" t="str">
        <f t="shared" si="5"/>
        <v/>
      </c>
      <c r="AI36" s="302" t="str">
        <f t="shared" si="6"/>
        <v/>
      </c>
      <c r="AJ36" s="302" t="str">
        <f t="shared" si="7"/>
        <v/>
      </c>
      <c r="AK36" s="303">
        <f t="shared" si="13"/>
        <v>27.13868501529052</v>
      </c>
      <c r="AL36" s="300">
        <v>5.0528848114169218</v>
      </c>
      <c r="AM36" s="300">
        <v>8.5312436289500511</v>
      </c>
      <c r="AN36" s="300">
        <v>4.5181855249745153</v>
      </c>
      <c r="AO36" s="300">
        <v>4.5181855249745153</v>
      </c>
      <c r="AP36" s="300">
        <v>4.5181855249745153</v>
      </c>
      <c r="AQ36" s="301"/>
      <c r="AR36" s="300"/>
      <c r="AS36" s="301"/>
      <c r="AT36" s="301"/>
      <c r="AU36" s="302">
        <f t="shared" si="8"/>
        <v>13.554556574923545</v>
      </c>
      <c r="AV36" s="302" t="str">
        <f t="shared" si="9"/>
        <v/>
      </c>
      <c r="AW36" s="302"/>
      <c r="AX36" s="302"/>
      <c r="AY36" s="304">
        <f t="shared" si="14"/>
        <v>2.7980493003428693E-2</v>
      </c>
      <c r="AZ36" s="304">
        <f t="shared" si="14"/>
        <v>-0.1979547918385838</v>
      </c>
      <c r="BA36" s="304">
        <f t="shared" si="14"/>
        <v>0.21874908985000729</v>
      </c>
      <c r="BB36" s="304">
        <f t="shared" si="14"/>
        <v>2.6860346585117031E-2</v>
      </c>
      <c r="BC36" s="304">
        <f t="shared" si="14"/>
        <v>2.6860346585117031E-2</v>
      </c>
      <c r="BD36" s="304">
        <f t="shared" si="14"/>
        <v>5.0740819761515232E-2</v>
      </c>
      <c r="BE36" s="304" t="str">
        <f t="shared" si="14"/>
        <v/>
      </c>
      <c r="BF36" s="304" t="str">
        <f t="shared" si="14"/>
        <v/>
      </c>
      <c r="BG36" s="304" t="str">
        <f t="shared" si="14"/>
        <v/>
      </c>
      <c r="BH36" s="304" t="str">
        <f t="shared" si="14"/>
        <v/>
      </c>
      <c r="BI36" s="304">
        <f t="shared" si="15"/>
        <v>3.4698975185003325E-2</v>
      </c>
      <c r="BJ36" s="304" t="str">
        <f t="shared" si="15"/>
        <v/>
      </c>
      <c r="BK36" s="288" t="str">
        <f t="shared" si="15"/>
        <v/>
      </c>
      <c r="BL36" s="136" t="str">
        <f t="shared" si="15"/>
        <v/>
      </c>
      <c r="BM36" s="76"/>
      <c r="BN36" s="76"/>
    </row>
    <row r="37" spans="1:66" s="77" customFormat="1" ht="11.25">
      <c r="A37" s="289" t="s">
        <v>235</v>
      </c>
      <c r="B37" s="295" t="s">
        <v>271</v>
      </c>
      <c r="C37" s="305"/>
      <c r="D37" s="292">
        <v>0.65138888888888891</v>
      </c>
      <c r="E37" s="306">
        <v>51.738840000000003</v>
      </c>
      <c r="F37" s="298"/>
      <c r="G37" s="298"/>
      <c r="H37" s="298"/>
      <c r="I37" s="290" t="s">
        <v>94</v>
      </c>
      <c r="J37" s="295">
        <f>IF(ISERROR(VLOOKUP(I37,Max_Load_France!$B$2:$C$102,2,FALSE)/1000),"",VLOOKUP(I37,Max_Load_France!$B$2:$C$102,2,FALSE)/1000)</f>
        <v>40</v>
      </c>
      <c r="K37" s="296"/>
      <c r="L37" s="297">
        <f t="shared" si="0"/>
        <v>1.0225</v>
      </c>
      <c r="M37" s="298">
        <f>IF(VLOOKUP($I37,Max_Load_France!$B$2:$M$102,3,FALSE)="","",VLOOKUP($I37,Max_Load_France!$B$2:$M$102,3,FALSE))</f>
        <v>0</v>
      </c>
      <c r="N37" s="298">
        <f>IF(VLOOKUP($I37,Max_Load_France!$B$2:$M$102,4,FALSE)="","",VLOOKUP($I37,Max_Load_France!$B$2:$M$102,4,FALSE))</f>
        <v>0</v>
      </c>
      <c r="O37" s="298">
        <f>IF(VLOOKUP($I37,Max_Load_France!$B$2:$M$102,5,FALSE)="","",VLOOKUP($I37,Max_Load_France!$B$2:$M$102,5,FALSE))</f>
        <v>1</v>
      </c>
      <c r="P37" s="298">
        <f>IF(VLOOKUP($I37,Max_Load_France!$B$2:$M$102,6,FALSE)="","",VLOOKUP($I37,Max_Load_France!$B$2:$M$102,6,FALSE))</f>
        <v>1</v>
      </c>
      <c r="Q37" s="298">
        <f>IF(VLOOKUP($I37,Max_Load_France!$B$2:$M$102,7,FALSE)="","",VLOOKUP($I37,Max_Load_France!$B$2:$M$102,7,FALSE))</f>
        <v>1</v>
      </c>
      <c r="R37" s="298" t="str">
        <f>IF(VLOOKUP($I37,Max_Load_France!$B$2:$M$102,8,FALSE)="","",VLOOKUP($I37,Max_Load_France!$B$2:$M$102,8,FALSE))</f>
        <v/>
      </c>
      <c r="S37" s="298" t="str">
        <f>IF(VLOOKUP($I37,Max_Load_France!$B$2:$M$102,9,FALSE)="","",VLOOKUP($I37,Max_Load_France!$B$2:$M$102,9,FALSE))</f>
        <v/>
      </c>
      <c r="T37" s="298" t="str">
        <f>IF(VLOOKUP($I37,Max_Load_France!$B$2:$M$102,10,FALSE)="","",VLOOKUP($I37,Max_Load_France!$B$2:$M$102,10,FALSE))</f>
        <v/>
      </c>
      <c r="U37" s="298" t="str">
        <f>IF(VLOOKUP($I37,Max_Load_France!$B$2:$M$102,11,FALSE)="","",VLOOKUP($I37,Max_Load_France!$B$2:$M$102,11,FALSE))</f>
        <v/>
      </c>
      <c r="V37" s="289">
        <v>5</v>
      </c>
      <c r="W37" s="299">
        <f t="shared" si="3"/>
        <v>40.9</v>
      </c>
      <c r="X37" s="300">
        <v>6.1</v>
      </c>
      <c r="Y37" s="300">
        <v>11.2</v>
      </c>
      <c r="Z37" s="300">
        <v>8.1</v>
      </c>
      <c r="AA37" s="300">
        <v>7.9</v>
      </c>
      <c r="AB37" s="300">
        <v>7.6</v>
      </c>
      <c r="AC37" s="301"/>
      <c r="AD37" s="301"/>
      <c r="AE37" s="301"/>
      <c r="AF37" s="301"/>
      <c r="AG37" s="302">
        <f t="shared" si="4"/>
        <v>23.6</v>
      </c>
      <c r="AH37" s="302" t="str">
        <f t="shared" si="5"/>
        <v/>
      </c>
      <c r="AI37" s="302" t="str">
        <f t="shared" si="6"/>
        <v/>
      </c>
      <c r="AJ37" s="302" t="str">
        <f t="shared" si="7"/>
        <v/>
      </c>
      <c r="AK37" s="303">
        <f t="shared" si="13"/>
        <v>36.837767584097861</v>
      </c>
      <c r="AL37" s="300">
        <v>3.9571457696228336</v>
      </c>
      <c r="AM37" s="300">
        <v>11.082670744138634</v>
      </c>
      <c r="AN37" s="300">
        <v>7.2659836901121304</v>
      </c>
      <c r="AO37" s="300">
        <v>7.2659836901121304</v>
      </c>
      <c r="AP37" s="300">
        <v>7.2659836901121304</v>
      </c>
      <c r="AQ37" s="301"/>
      <c r="AR37" s="300"/>
      <c r="AS37" s="301"/>
      <c r="AT37" s="301"/>
      <c r="AU37" s="302">
        <f t="shared" si="8"/>
        <v>21.797951070336392</v>
      </c>
      <c r="AV37" s="302" t="str">
        <f t="shared" si="9"/>
        <v/>
      </c>
      <c r="AW37" s="302"/>
      <c r="AX37" s="302"/>
      <c r="AY37" s="304">
        <f t="shared" si="14"/>
        <v>-9.9321085963377451E-2</v>
      </c>
      <c r="AZ37" s="304">
        <f t="shared" si="14"/>
        <v>-0.3512875787503551</v>
      </c>
      <c r="BA37" s="304">
        <f t="shared" si="14"/>
        <v>-1.0475826416193363E-2</v>
      </c>
      <c r="BB37" s="304">
        <f t="shared" si="14"/>
        <v>-0.10296497652936658</v>
      </c>
      <c r="BC37" s="304">
        <f t="shared" si="14"/>
        <v>-8.0255229099730374E-2</v>
      </c>
      <c r="BD37" s="304">
        <f t="shared" si="14"/>
        <v>-4.3949514458930167E-2</v>
      </c>
      <c r="BE37" s="304" t="str">
        <f t="shared" si="14"/>
        <v/>
      </c>
      <c r="BF37" s="304" t="str">
        <f t="shared" si="14"/>
        <v/>
      </c>
      <c r="BG37" s="304" t="str">
        <f t="shared" si="14"/>
        <v/>
      </c>
      <c r="BH37" s="304" t="str">
        <f t="shared" si="14"/>
        <v/>
      </c>
      <c r="BI37" s="304">
        <f t="shared" si="15"/>
        <v>-7.6358005494220726E-2</v>
      </c>
      <c r="BJ37" s="304" t="str">
        <f t="shared" si="15"/>
        <v/>
      </c>
      <c r="BK37" s="288" t="str">
        <f t="shared" si="15"/>
        <v/>
      </c>
      <c r="BL37" s="136" t="str">
        <f t="shared" si="15"/>
        <v/>
      </c>
      <c r="BM37" s="76"/>
      <c r="BN37" s="76"/>
    </row>
    <row r="38" spans="1:66" s="77" customFormat="1" ht="11.25">
      <c r="A38" s="289" t="s">
        <v>236</v>
      </c>
      <c r="B38" s="295" t="s">
        <v>272</v>
      </c>
      <c r="C38" s="305"/>
      <c r="D38" s="292">
        <v>0.65694444444444444</v>
      </c>
      <c r="E38" s="306">
        <v>62.217719999999993</v>
      </c>
      <c r="F38" s="298"/>
      <c r="G38" s="298"/>
      <c r="H38" s="298"/>
      <c r="I38" s="290" t="s">
        <v>94</v>
      </c>
      <c r="J38" s="295">
        <f>IF(ISERROR(VLOOKUP(I38,Max_Load_France!$B$2:$C$102,2,FALSE)/1000),"",VLOOKUP(I38,Max_Load_France!$B$2:$C$102,2,FALSE)/1000)</f>
        <v>40</v>
      </c>
      <c r="K38" s="296"/>
      <c r="L38" s="297">
        <f t="shared" si="0"/>
        <v>0.68500000000000005</v>
      </c>
      <c r="M38" s="298">
        <f>IF(VLOOKUP($I38,Max_Load_France!$B$2:$M$102,3,FALSE)="","",VLOOKUP($I38,Max_Load_France!$B$2:$M$102,3,FALSE))</f>
        <v>0</v>
      </c>
      <c r="N38" s="298">
        <f>IF(VLOOKUP($I38,Max_Load_France!$B$2:$M$102,4,FALSE)="","",VLOOKUP($I38,Max_Load_France!$B$2:$M$102,4,FALSE))</f>
        <v>0</v>
      </c>
      <c r="O38" s="298">
        <f>IF(VLOOKUP($I38,Max_Load_France!$B$2:$M$102,5,FALSE)="","",VLOOKUP($I38,Max_Load_France!$B$2:$M$102,5,FALSE))</f>
        <v>1</v>
      </c>
      <c r="P38" s="298">
        <f>IF(VLOOKUP($I38,Max_Load_France!$B$2:$M$102,6,FALSE)="","",VLOOKUP($I38,Max_Load_France!$B$2:$M$102,6,FALSE))</f>
        <v>1</v>
      </c>
      <c r="Q38" s="298">
        <f>IF(VLOOKUP($I38,Max_Load_France!$B$2:$M$102,7,FALSE)="","",VLOOKUP($I38,Max_Load_France!$B$2:$M$102,7,FALSE))</f>
        <v>1</v>
      </c>
      <c r="R38" s="298" t="str">
        <f>IF(VLOOKUP($I38,Max_Load_France!$B$2:$M$102,8,FALSE)="","",VLOOKUP($I38,Max_Load_France!$B$2:$M$102,8,FALSE))</f>
        <v/>
      </c>
      <c r="S38" s="298" t="str">
        <f>IF(VLOOKUP($I38,Max_Load_France!$B$2:$M$102,9,FALSE)="","",VLOOKUP($I38,Max_Load_France!$B$2:$M$102,9,FALSE))</f>
        <v/>
      </c>
      <c r="T38" s="298" t="str">
        <f>IF(VLOOKUP($I38,Max_Load_France!$B$2:$M$102,10,FALSE)="","",VLOOKUP($I38,Max_Load_France!$B$2:$M$102,10,FALSE))</f>
        <v/>
      </c>
      <c r="U38" s="298" t="str">
        <f>IF(VLOOKUP($I38,Max_Load_France!$B$2:$M$102,11,FALSE)="","",VLOOKUP($I38,Max_Load_France!$B$2:$M$102,11,FALSE))</f>
        <v/>
      </c>
      <c r="V38" s="289">
        <v>5</v>
      </c>
      <c r="W38" s="299">
        <f t="shared" si="3"/>
        <v>27.400000000000002</v>
      </c>
      <c r="X38" s="300">
        <v>6.5</v>
      </c>
      <c r="Y38" s="300">
        <v>6.5</v>
      </c>
      <c r="Z38" s="300">
        <v>4.8</v>
      </c>
      <c r="AA38" s="300">
        <v>4.8</v>
      </c>
      <c r="AB38" s="300">
        <v>4.8</v>
      </c>
      <c r="AC38" s="301"/>
      <c r="AD38" s="301"/>
      <c r="AE38" s="301"/>
      <c r="AF38" s="301"/>
      <c r="AG38" s="302">
        <f t="shared" si="4"/>
        <v>14.399999999999999</v>
      </c>
      <c r="AH38" s="302" t="str">
        <f t="shared" si="5"/>
        <v/>
      </c>
      <c r="AI38" s="302" t="str">
        <f t="shared" si="6"/>
        <v/>
      </c>
      <c r="AJ38" s="302" t="str">
        <f t="shared" si="7"/>
        <v/>
      </c>
      <c r="AK38" s="303">
        <f t="shared" si="13"/>
        <v>27.548980632008156</v>
      </c>
      <c r="AL38" s="300">
        <v>5.4596432212028541</v>
      </c>
      <c r="AM38" s="300">
        <v>8.1171049949031602</v>
      </c>
      <c r="AN38" s="300">
        <v>4.6574108053007137</v>
      </c>
      <c r="AO38" s="300">
        <v>4.6574108053007137</v>
      </c>
      <c r="AP38" s="300">
        <v>4.6574108053007137</v>
      </c>
      <c r="AQ38" s="301"/>
      <c r="AR38" s="300"/>
      <c r="AS38" s="301"/>
      <c r="AT38" s="301"/>
      <c r="AU38" s="302">
        <f t="shared" si="8"/>
        <v>13.972232415902141</v>
      </c>
      <c r="AV38" s="302" t="str">
        <f t="shared" si="9"/>
        <v/>
      </c>
      <c r="AW38" s="302"/>
      <c r="AX38" s="302"/>
      <c r="AY38" s="304">
        <f t="shared" si="14"/>
        <v>5.43724934336329E-3</v>
      </c>
      <c r="AZ38" s="304">
        <f t="shared" si="14"/>
        <v>-0.16005488904571477</v>
      </c>
      <c r="BA38" s="304">
        <f t="shared" si="14"/>
        <v>0.24878538383125542</v>
      </c>
      <c r="BB38" s="304">
        <f t="shared" si="14"/>
        <v>-2.9706082229017938E-2</v>
      </c>
      <c r="BC38" s="304">
        <f t="shared" si="14"/>
        <v>-2.9706082229017938E-2</v>
      </c>
      <c r="BD38" s="304">
        <f t="shared" si="14"/>
        <v>-2.9706082229017938E-2</v>
      </c>
      <c r="BE38" s="304" t="str">
        <f t="shared" si="14"/>
        <v/>
      </c>
      <c r="BF38" s="304" t="str">
        <f t="shared" si="14"/>
        <v/>
      </c>
      <c r="BG38" s="304" t="str">
        <f t="shared" si="14"/>
        <v/>
      </c>
      <c r="BH38" s="304" t="str">
        <f t="shared" si="14"/>
        <v/>
      </c>
      <c r="BI38" s="304">
        <f t="shared" si="15"/>
        <v>-2.9706082229017879E-2</v>
      </c>
      <c r="BJ38" s="304" t="str">
        <f t="shared" si="15"/>
        <v/>
      </c>
      <c r="BK38" s="288" t="str">
        <f t="shared" si="15"/>
        <v/>
      </c>
      <c r="BL38" s="136" t="str">
        <f t="shared" si="15"/>
        <v/>
      </c>
      <c r="BM38" s="76"/>
      <c r="BN38" s="76"/>
    </row>
    <row r="39" spans="1:66" s="77" customFormat="1" ht="11.25">
      <c r="A39" s="289" t="s">
        <v>237</v>
      </c>
      <c r="B39" s="295" t="s">
        <v>273</v>
      </c>
      <c r="C39" s="305"/>
      <c r="D39" s="292">
        <v>0.65833333333333333</v>
      </c>
      <c r="E39" s="306">
        <v>64.391400000000004</v>
      </c>
      <c r="F39" s="298"/>
      <c r="G39" s="298"/>
      <c r="H39" s="298"/>
      <c r="I39" s="290" t="s">
        <v>94</v>
      </c>
      <c r="J39" s="295">
        <f>IF(ISERROR(VLOOKUP(I39,Max_Load_France!$B$2:$C$102,2,FALSE)/1000),"",VLOOKUP(I39,Max_Load_France!$B$2:$C$102,2,FALSE)/1000)</f>
        <v>40</v>
      </c>
      <c r="K39" s="296"/>
      <c r="L39" s="297">
        <f t="shared" si="0"/>
        <v>0.97499999999999998</v>
      </c>
      <c r="M39" s="298">
        <f>IF(VLOOKUP($I39,Max_Load_France!$B$2:$M$102,3,FALSE)="","",VLOOKUP($I39,Max_Load_France!$B$2:$M$102,3,FALSE))</f>
        <v>0</v>
      </c>
      <c r="N39" s="298">
        <f>IF(VLOOKUP($I39,Max_Load_France!$B$2:$M$102,4,FALSE)="","",VLOOKUP($I39,Max_Load_France!$B$2:$M$102,4,FALSE))</f>
        <v>0</v>
      </c>
      <c r="O39" s="298">
        <f>IF(VLOOKUP($I39,Max_Load_France!$B$2:$M$102,5,FALSE)="","",VLOOKUP($I39,Max_Load_France!$B$2:$M$102,5,FALSE))</f>
        <v>1</v>
      </c>
      <c r="P39" s="298">
        <f>IF(VLOOKUP($I39,Max_Load_France!$B$2:$M$102,6,FALSE)="","",VLOOKUP($I39,Max_Load_France!$B$2:$M$102,6,FALSE))</f>
        <v>1</v>
      </c>
      <c r="Q39" s="298">
        <f>IF(VLOOKUP($I39,Max_Load_France!$B$2:$M$102,7,FALSE)="","",VLOOKUP($I39,Max_Load_France!$B$2:$M$102,7,FALSE))</f>
        <v>1</v>
      </c>
      <c r="R39" s="298" t="str">
        <f>IF(VLOOKUP($I39,Max_Load_France!$B$2:$M$102,8,FALSE)="","",VLOOKUP($I39,Max_Load_France!$B$2:$M$102,8,FALSE))</f>
        <v/>
      </c>
      <c r="S39" s="298" t="str">
        <f>IF(VLOOKUP($I39,Max_Load_France!$B$2:$M$102,9,FALSE)="","",VLOOKUP($I39,Max_Load_France!$B$2:$M$102,9,FALSE))</f>
        <v/>
      </c>
      <c r="T39" s="298" t="str">
        <f>IF(VLOOKUP($I39,Max_Load_France!$B$2:$M$102,10,FALSE)="","",VLOOKUP($I39,Max_Load_France!$B$2:$M$102,10,FALSE))</f>
        <v/>
      </c>
      <c r="U39" s="298" t="str">
        <f>IF(VLOOKUP($I39,Max_Load_France!$B$2:$M$102,11,FALSE)="","",VLOOKUP($I39,Max_Load_France!$B$2:$M$102,11,FALSE))</f>
        <v/>
      </c>
      <c r="V39" s="289">
        <v>5</v>
      </c>
      <c r="W39" s="299">
        <f t="shared" si="3"/>
        <v>39</v>
      </c>
      <c r="X39" s="300">
        <v>7</v>
      </c>
      <c r="Y39" s="300">
        <v>11.2</v>
      </c>
      <c r="Z39" s="300">
        <v>6.8</v>
      </c>
      <c r="AA39" s="300">
        <v>7</v>
      </c>
      <c r="AB39" s="300">
        <v>7</v>
      </c>
      <c r="AC39" s="301"/>
      <c r="AD39" s="301"/>
      <c r="AE39" s="301"/>
      <c r="AF39" s="301"/>
      <c r="AG39" s="302">
        <f t="shared" si="4"/>
        <v>20.8</v>
      </c>
      <c r="AH39" s="302" t="str">
        <f t="shared" si="5"/>
        <v/>
      </c>
      <c r="AI39" s="302" t="str">
        <f t="shared" si="6"/>
        <v/>
      </c>
      <c r="AJ39" s="302" t="str">
        <f t="shared" si="7"/>
        <v/>
      </c>
      <c r="AK39" s="303">
        <f t="shared" si="13"/>
        <v>37.207777777777778</v>
      </c>
      <c r="AL39" s="300">
        <v>4.8077166156982667</v>
      </c>
      <c r="AM39" s="300">
        <v>12.873700305810397</v>
      </c>
      <c r="AN39" s="300">
        <v>6.5087869520897037</v>
      </c>
      <c r="AO39" s="300">
        <v>6.5087869520897037</v>
      </c>
      <c r="AP39" s="300">
        <v>6.5087869520897037</v>
      </c>
      <c r="AQ39" s="301"/>
      <c r="AR39" s="300"/>
      <c r="AS39" s="301"/>
      <c r="AT39" s="301"/>
      <c r="AU39" s="302">
        <f t="shared" si="8"/>
        <v>19.526360856269111</v>
      </c>
      <c r="AV39" s="302" t="str">
        <f t="shared" si="9"/>
        <v/>
      </c>
      <c r="AW39" s="302"/>
      <c r="AX39" s="302"/>
      <c r="AY39" s="304">
        <f t="shared" si="14"/>
        <v>-4.5954415954415941E-2</v>
      </c>
      <c r="AZ39" s="304">
        <f t="shared" si="14"/>
        <v>-0.31318334061453335</v>
      </c>
      <c r="BA39" s="304">
        <f t="shared" si="14"/>
        <v>0.1494375273044998</v>
      </c>
      <c r="BB39" s="304">
        <f t="shared" si="14"/>
        <v>-4.2825448222102373E-2</v>
      </c>
      <c r="BC39" s="304">
        <f t="shared" si="14"/>
        <v>-7.0173292558613751E-2</v>
      </c>
      <c r="BD39" s="304">
        <f t="shared" si="14"/>
        <v>-7.0173292558613751E-2</v>
      </c>
      <c r="BE39" s="304" t="str">
        <f t="shared" si="14"/>
        <v/>
      </c>
      <c r="BF39" s="304" t="str">
        <f t="shared" si="14"/>
        <v/>
      </c>
      <c r="BG39" s="304" t="str">
        <f t="shared" si="14"/>
        <v/>
      </c>
      <c r="BH39" s="304" t="str">
        <f t="shared" si="14"/>
        <v/>
      </c>
      <c r="BI39" s="304">
        <f t="shared" si="15"/>
        <v>-6.1232651140908152E-2</v>
      </c>
      <c r="BJ39" s="304" t="str">
        <f t="shared" si="15"/>
        <v/>
      </c>
      <c r="BK39" s="288" t="str">
        <f t="shared" si="15"/>
        <v/>
      </c>
      <c r="BL39" s="136" t="str">
        <f t="shared" si="15"/>
        <v/>
      </c>
      <c r="BM39" s="76"/>
      <c r="BN39" s="76"/>
    </row>
    <row r="40" spans="1:66" s="77" customFormat="1" ht="11.25">
      <c r="A40" s="289" t="s">
        <v>238</v>
      </c>
      <c r="B40" s="295" t="s">
        <v>274</v>
      </c>
      <c r="C40" s="305"/>
      <c r="D40" s="292">
        <v>0.66180555555555554</v>
      </c>
      <c r="E40" s="306">
        <v>56.932920000000003</v>
      </c>
      <c r="F40" s="298"/>
      <c r="G40" s="298"/>
      <c r="H40" s="298"/>
      <c r="I40" s="290" t="s">
        <v>94</v>
      </c>
      <c r="J40" s="295">
        <f>IF(ISERROR(VLOOKUP(I40,Max_Load_France!$B$2:$C$102,2,FALSE)/1000),"",VLOOKUP(I40,Max_Load_France!$B$2:$C$102,2,FALSE)/1000)</f>
        <v>40</v>
      </c>
      <c r="K40" s="296"/>
      <c r="L40" s="297">
        <f t="shared" si="0"/>
        <v>0.86250000000000004</v>
      </c>
      <c r="M40" s="298">
        <f>IF(VLOOKUP($I40,Max_Load_France!$B$2:$M$102,3,FALSE)="","",VLOOKUP($I40,Max_Load_France!$B$2:$M$102,3,FALSE))</f>
        <v>0</v>
      </c>
      <c r="N40" s="298">
        <f>IF(VLOOKUP($I40,Max_Load_France!$B$2:$M$102,4,FALSE)="","",VLOOKUP($I40,Max_Load_France!$B$2:$M$102,4,FALSE))</f>
        <v>0</v>
      </c>
      <c r="O40" s="298">
        <f>IF(VLOOKUP($I40,Max_Load_France!$B$2:$M$102,5,FALSE)="","",VLOOKUP($I40,Max_Load_France!$B$2:$M$102,5,FALSE))</f>
        <v>1</v>
      </c>
      <c r="P40" s="298">
        <f>IF(VLOOKUP($I40,Max_Load_France!$B$2:$M$102,6,FALSE)="","",VLOOKUP($I40,Max_Load_France!$B$2:$M$102,6,FALSE))</f>
        <v>1</v>
      </c>
      <c r="Q40" s="298">
        <f>IF(VLOOKUP($I40,Max_Load_France!$B$2:$M$102,7,FALSE)="","",VLOOKUP($I40,Max_Load_France!$B$2:$M$102,7,FALSE))</f>
        <v>1</v>
      </c>
      <c r="R40" s="298" t="str">
        <f>IF(VLOOKUP($I40,Max_Load_France!$B$2:$M$102,8,FALSE)="","",VLOOKUP($I40,Max_Load_France!$B$2:$M$102,8,FALSE))</f>
        <v/>
      </c>
      <c r="S40" s="298" t="str">
        <f>IF(VLOOKUP($I40,Max_Load_France!$B$2:$M$102,9,FALSE)="","",VLOOKUP($I40,Max_Load_France!$B$2:$M$102,9,FALSE))</f>
        <v/>
      </c>
      <c r="T40" s="298" t="str">
        <f>IF(VLOOKUP($I40,Max_Load_France!$B$2:$M$102,10,FALSE)="","",VLOOKUP($I40,Max_Load_France!$B$2:$M$102,10,FALSE))</f>
        <v/>
      </c>
      <c r="U40" s="298" t="str">
        <f>IF(VLOOKUP($I40,Max_Load_France!$B$2:$M$102,11,FALSE)="","",VLOOKUP($I40,Max_Load_France!$B$2:$M$102,11,FALSE))</f>
        <v/>
      </c>
      <c r="V40" s="289">
        <v>5</v>
      </c>
      <c r="W40" s="299">
        <f t="shared" si="3"/>
        <v>34.5</v>
      </c>
      <c r="X40" s="300">
        <v>8.5</v>
      </c>
      <c r="Y40" s="300">
        <v>12.1</v>
      </c>
      <c r="Z40" s="300">
        <v>4.7</v>
      </c>
      <c r="AA40" s="300">
        <v>4.8</v>
      </c>
      <c r="AB40" s="300">
        <v>4.4000000000000004</v>
      </c>
      <c r="AC40" s="301"/>
      <c r="AD40" s="301"/>
      <c r="AE40" s="301"/>
      <c r="AF40" s="301"/>
      <c r="AG40" s="302">
        <f t="shared" si="4"/>
        <v>13.9</v>
      </c>
      <c r="AH40" s="302" t="str">
        <f t="shared" si="5"/>
        <v/>
      </c>
      <c r="AI40" s="302" t="str">
        <f t="shared" si="6"/>
        <v/>
      </c>
      <c r="AJ40" s="302" t="str">
        <f t="shared" si="7"/>
        <v/>
      </c>
      <c r="AK40" s="303">
        <f t="shared" si="13"/>
        <v>35.234128440366973</v>
      </c>
      <c r="AL40" s="300">
        <v>6.2807951070336392</v>
      </c>
      <c r="AM40" s="300">
        <v>12.449235474006116</v>
      </c>
      <c r="AN40" s="300">
        <v>5.5013659531090724</v>
      </c>
      <c r="AO40" s="300">
        <v>5.5013659531090724</v>
      </c>
      <c r="AP40" s="300">
        <v>5.5013659531090724</v>
      </c>
      <c r="AQ40" s="301"/>
      <c r="AR40" s="300"/>
      <c r="AS40" s="301"/>
      <c r="AT40" s="301"/>
      <c r="AU40" s="302">
        <f t="shared" si="8"/>
        <v>16.504097859327217</v>
      </c>
      <c r="AV40" s="302" t="str">
        <f t="shared" si="9"/>
        <v/>
      </c>
      <c r="AW40" s="302"/>
      <c r="AX40" s="302"/>
      <c r="AY40" s="304">
        <f t="shared" si="14"/>
        <v>2.1279085228028211E-2</v>
      </c>
      <c r="AZ40" s="304">
        <f>IF(X40&gt;0,(AL40-X40)/X40,"")</f>
        <v>-0.26108292858427773</v>
      </c>
      <c r="BA40" s="304">
        <f t="shared" si="14"/>
        <v>2.8862435868274076E-2</v>
      </c>
      <c r="BB40" s="304">
        <f t="shared" si="14"/>
        <v>0.17050339427852601</v>
      </c>
      <c r="BC40" s="304">
        <f t="shared" si="14"/>
        <v>0.14611790689772347</v>
      </c>
      <c r="BD40" s="304">
        <f t="shared" si="14"/>
        <v>0.25031044388842544</v>
      </c>
      <c r="BE40" s="304" t="str">
        <f t="shared" si="14"/>
        <v/>
      </c>
      <c r="BF40" s="304" t="str">
        <f t="shared" si="14"/>
        <v/>
      </c>
      <c r="BG40" s="304" t="str">
        <f t="shared" si="14"/>
        <v/>
      </c>
      <c r="BH40" s="304" t="str">
        <f t="shared" si="14"/>
        <v/>
      </c>
      <c r="BI40" s="304">
        <f t="shared" si="15"/>
        <v>0.18734516973577098</v>
      </c>
      <c r="BJ40" s="304" t="str">
        <f t="shared" si="15"/>
        <v/>
      </c>
      <c r="BK40" s="288" t="str">
        <f t="shared" si="15"/>
        <v/>
      </c>
      <c r="BL40" s="136" t="str">
        <f t="shared" si="15"/>
        <v/>
      </c>
      <c r="BM40" s="76"/>
      <c r="BN40" s="76"/>
    </row>
    <row r="41" spans="1:66" s="89" customFormat="1" ht="11.25">
      <c r="A41" s="289" t="s">
        <v>239</v>
      </c>
      <c r="B41" s="295" t="s">
        <v>275</v>
      </c>
      <c r="C41" s="305"/>
      <c r="D41" s="292">
        <v>0.66527777777777775</v>
      </c>
      <c r="E41" s="306">
        <v>54.613440000000004</v>
      </c>
      <c r="F41" s="298"/>
      <c r="G41" s="298"/>
      <c r="H41" s="298"/>
      <c r="I41" s="290" t="s">
        <v>94</v>
      </c>
      <c r="J41" s="295">
        <f>IF(ISERROR(VLOOKUP(I41,Max_Load_France!$B$2:$C$102,2,FALSE)/1000),"",VLOOKUP(I41,Max_Load_France!$B$2:$C$102,2,FALSE)/1000)</f>
        <v>40</v>
      </c>
      <c r="K41" s="296"/>
      <c r="L41" s="297">
        <f t="shared" si="0"/>
        <v>1.0250000000000001</v>
      </c>
      <c r="M41" s="298">
        <f>IF(VLOOKUP($I41,Max_Load_France!$B$2:$M$102,3,FALSE)="","",VLOOKUP($I41,Max_Load_France!$B$2:$M$102,3,FALSE))</f>
        <v>0</v>
      </c>
      <c r="N41" s="298">
        <f>IF(VLOOKUP($I41,Max_Load_France!$B$2:$M$102,4,FALSE)="","",VLOOKUP($I41,Max_Load_France!$B$2:$M$102,4,FALSE))</f>
        <v>0</v>
      </c>
      <c r="O41" s="298">
        <f>IF(VLOOKUP($I41,Max_Load_France!$B$2:$M$102,5,FALSE)="","",VLOOKUP($I41,Max_Load_France!$B$2:$M$102,5,FALSE))</f>
        <v>1</v>
      </c>
      <c r="P41" s="298">
        <f>IF(VLOOKUP($I41,Max_Load_France!$B$2:$M$102,6,FALSE)="","",VLOOKUP($I41,Max_Load_France!$B$2:$M$102,6,FALSE))</f>
        <v>1</v>
      </c>
      <c r="Q41" s="298">
        <f>IF(VLOOKUP($I41,Max_Load_France!$B$2:$M$102,7,FALSE)="","",VLOOKUP($I41,Max_Load_France!$B$2:$M$102,7,FALSE))</f>
        <v>1</v>
      </c>
      <c r="R41" s="298" t="str">
        <f>IF(VLOOKUP($I41,Max_Load_France!$B$2:$M$102,8,FALSE)="","",VLOOKUP($I41,Max_Load_France!$B$2:$M$102,8,FALSE))</f>
        <v/>
      </c>
      <c r="S41" s="298" t="str">
        <f>IF(VLOOKUP($I41,Max_Load_France!$B$2:$M$102,9,FALSE)="","",VLOOKUP($I41,Max_Load_France!$B$2:$M$102,9,FALSE))</f>
        <v/>
      </c>
      <c r="T41" s="298" t="str">
        <f>IF(VLOOKUP($I41,Max_Load_France!$B$2:$M$102,10,FALSE)="","",VLOOKUP($I41,Max_Load_France!$B$2:$M$102,10,FALSE))</f>
        <v/>
      </c>
      <c r="U41" s="298" t="str">
        <f>IF(VLOOKUP($I41,Max_Load_France!$B$2:$M$102,11,FALSE)="","",VLOOKUP($I41,Max_Load_France!$B$2:$M$102,11,FALSE))</f>
        <v/>
      </c>
      <c r="V41" s="289">
        <v>5</v>
      </c>
      <c r="W41" s="299">
        <f t="shared" si="3"/>
        <v>41.000000000000007</v>
      </c>
      <c r="X41" s="300">
        <v>6.7</v>
      </c>
      <c r="Y41" s="300">
        <v>12.4</v>
      </c>
      <c r="Z41" s="300">
        <v>7.5</v>
      </c>
      <c r="AA41" s="300">
        <v>7.2</v>
      </c>
      <c r="AB41" s="300">
        <v>7.2</v>
      </c>
      <c r="AC41" s="301"/>
      <c r="AD41" s="301"/>
      <c r="AE41" s="301"/>
      <c r="AF41" s="301"/>
      <c r="AG41" s="302">
        <f t="shared" si="4"/>
        <v>21.9</v>
      </c>
      <c r="AH41" s="302" t="str">
        <f t="shared" si="5"/>
        <v/>
      </c>
      <c r="AI41" s="302"/>
      <c r="AJ41" s="302"/>
      <c r="AK41" s="303">
        <f t="shared" si="13"/>
        <v>43.0405504587156</v>
      </c>
      <c r="AL41" s="300">
        <v>4.9479102956167171</v>
      </c>
      <c r="AM41" s="300">
        <v>15.119673802242611</v>
      </c>
      <c r="AN41" s="300">
        <v>7.657655453618756</v>
      </c>
      <c r="AO41" s="300">
        <v>7.657655453618756</v>
      </c>
      <c r="AP41" s="300">
        <v>7.657655453618756</v>
      </c>
      <c r="AQ41" s="301"/>
      <c r="AR41" s="300"/>
      <c r="AS41" s="301"/>
      <c r="AT41" s="301"/>
      <c r="AU41" s="302">
        <f t="shared" si="8"/>
        <v>22.972966360856269</v>
      </c>
      <c r="AV41" s="302" t="str">
        <f t="shared" si="9"/>
        <v/>
      </c>
      <c r="AW41" s="302"/>
      <c r="AX41" s="302"/>
      <c r="AY41" s="304">
        <f t="shared" si="14"/>
        <v>4.9769523383307139E-2</v>
      </c>
      <c r="AZ41" s="304">
        <f t="shared" si="14"/>
        <v>-0.26150592602735567</v>
      </c>
      <c r="BA41" s="304">
        <f t="shared" si="14"/>
        <v>0.21932853243892017</v>
      </c>
      <c r="BB41" s="304">
        <f t="shared" si="14"/>
        <v>2.1020727149167466E-2</v>
      </c>
      <c r="BC41" s="304">
        <f t="shared" si="14"/>
        <v>6.3563257447049423E-2</v>
      </c>
      <c r="BD41" s="304">
        <f t="shared" si="14"/>
        <v>6.3563257447049423E-2</v>
      </c>
      <c r="BE41" s="304" t="str">
        <f t="shared" si="14"/>
        <v/>
      </c>
      <c r="BF41" s="304" t="str">
        <f t="shared" si="14"/>
        <v/>
      </c>
      <c r="BG41" s="304" t="str">
        <f t="shared" si="14"/>
        <v/>
      </c>
      <c r="BH41" s="304" t="str">
        <f t="shared" si="14"/>
        <v/>
      </c>
      <c r="BI41" s="304">
        <f t="shared" si="15"/>
        <v>4.8993897755994081E-2</v>
      </c>
      <c r="BJ41" s="304" t="str">
        <f t="shared" si="15"/>
        <v/>
      </c>
      <c r="BK41" s="288" t="str">
        <f t="shared" si="15"/>
        <v/>
      </c>
      <c r="BL41" s="136" t="str">
        <f t="shared" si="15"/>
        <v/>
      </c>
      <c r="BM41" s="76"/>
      <c r="BN41" s="76"/>
    </row>
    <row r="42" spans="1:66" s="77" customFormat="1" ht="11.25">
      <c r="A42" s="289" t="s">
        <v>240</v>
      </c>
      <c r="B42" s="295" t="s">
        <v>276</v>
      </c>
      <c r="C42" s="305"/>
      <c r="D42" s="292">
        <v>0.66736111111111107</v>
      </c>
      <c r="E42" s="306">
        <v>66.722039999999993</v>
      </c>
      <c r="F42" s="298"/>
      <c r="G42" s="298"/>
      <c r="H42" s="298"/>
      <c r="I42" s="290" t="s">
        <v>108</v>
      </c>
      <c r="J42" s="295">
        <f>IF(ISERROR(VLOOKUP(I42,Max_Load_France!$B$2:$C$102,2,FALSE)/1000),"",VLOOKUP(I42,Max_Load_France!$B$2:$C$102,2,FALSE)/1000)</f>
        <v>26</v>
      </c>
      <c r="K42" s="296"/>
      <c r="L42" s="297">
        <f t="shared" si="0"/>
        <v>0.73076923076923073</v>
      </c>
      <c r="M42" s="298">
        <f>IF(VLOOKUP($I42,Max_Load_France!$B$2:$M$102,3,FALSE)="","",VLOOKUP($I42,Max_Load_France!$B$2:$M$102,3,FALSE))</f>
        <v>0</v>
      </c>
      <c r="N42" s="298">
        <f>IF(VLOOKUP($I42,Max_Load_France!$B$2:$M$102,4,FALSE)="","",VLOOKUP($I42,Max_Load_France!$B$2:$M$102,4,FALSE))</f>
        <v>1</v>
      </c>
      <c r="O42" s="298">
        <f>IF(VLOOKUP($I42,Max_Load_France!$B$2:$M$102,5,FALSE)="","",VLOOKUP($I42,Max_Load_France!$B$2:$M$102,5,FALSE))</f>
        <v>1</v>
      </c>
      <c r="P42" s="298" t="str">
        <f>IF(VLOOKUP($I42,Max_Load_France!$B$2:$M$102,6,FALSE)="","",VLOOKUP($I42,Max_Load_France!$B$2:$M$102,6,FALSE))</f>
        <v/>
      </c>
      <c r="Q42" s="298" t="str">
        <f>IF(VLOOKUP($I42,Max_Load_France!$B$2:$M$102,7,FALSE)="","",VLOOKUP($I42,Max_Load_France!$B$2:$M$102,7,FALSE))</f>
        <v/>
      </c>
      <c r="R42" s="298" t="str">
        <f>IF(VLOOKUP($I42,Max_Load_France!$B$2:$M$102,8,FALSE)="","",VLOOKUP($I42,Max_Load_France!$B$2:$M$102,8,FALSE))</f>
        <v/>
      </c>
      <c r="S42" s="298" t="str">
        <f>IF(VLOOKUP($I42,Max_Load_France!$B$2:$M$102,9,FALSE)="","",VLOOKUP($I42,Max_Load_France!$B$2:$M$102,9,FALSE))</f>
        <v/>
      </c>
      <c r="T42" s="298" t="str">
        <f>IF(VLOOKUP($I42,Max_Load_France!$B$2:$M$102,10,FALSE)="","",VLOOKUP($I42,Max_Load_France!$B$2:$M$102,10,FALSE))</f>
        <v/>
      </c>
      <c r="U42" s="298" t="str">
        <f>IF(VLOOKUP($I42,Max_Load_France!$B$2:$M$102,11,FALSE)="","",VLOOKUP($I42,Max_Load_France!$B$2:$M$102,11,FALSE))</f>
        <v/>
      </c>
      <c r="V42" s="289">
        <v>5</v>
      </c>
      <c r="W42" s="299">
        <f t="shared" si="3"/>
        <v>19</v>
      </c>
      <c r="X42" s="300">
        <v>7.5</v>
      </c>
      <c r="Y42" s="300">
        <v>7.4</v>
      </c>
      <c r="Z42" s="300">
        <v>4.0999999999999996</v>
      </c>
      <c r="AA42" s="300"/>
      <c r="AB42" s="300"/>
      <c r="AC42" s="301"/>
      <c r="AD42" s="301"/>
      <c r="AE42" s="301"/>
      <c r="AF42" s="301"/>
      <c r="AG42" s="302">
        <f t="shared" si="4"/>
        <v>11.5</v>
      </c>
      <c r="AH42" s="302" t="str">
        <f t="shared" si="5"/>
        <v/>
      </c>
      <c r="AI42" s="302"/>
      <c r="AJ42" s="302"/>
      <c r="AK42" s="303">
        <f t="shared" si="13"/>
        <v>20.762731906218146</v>
      </c>
      <c r="AL42" s="300">
        <v>8.0791845056065235</v>
      </c>
      <c r="AM42" s="300">
        <v>6.3417737003058106</v>
      </c>
      <c r="AN42" s="300">
        <v>6.3417737003058106</v>
      </c>
      <c r="AO42" s="300"/>
      <c r="AP42" s="300"/>
      <c r="AQ42" s="301"/>
      <c r="AR42" s="300"/>
      <c r="AS42" s="301"/>
      <c r="AT42" s="301"/>
      <c r="AU42" s="302">
        <f t="shared" si="8"/>
        <v>12.683547400611621</v>
      </c>
      <c r="AV42" s="302" t="str">
        <f t="shared" si="9"/>
        <v/>
      </c>
      <c r="AW42" s="302"/>
      <c r="AX42" s="302"/>
      <c r="AY42" s="304">
        <f t="shared" si="14"/>
        <v>9.2775363485165602E-2</v>
      </c>
      <c r="AZ42" s="304">
        <f t="shared" si="14"/>
        <v>7.7224600747536468E-2</v>
      </c>
      <c r="BA42" s="304">
        <f t="shared" si="14"/>
        <v>-0.14300355401272835</v>
      </c>
      <c r="BB42" s="304">
        <f t="shared" si="14"/>
        <v>0.54677407324531979</v>
      </c>
      <c r="BC42" s="304" t="str">
        <f t="shared" si="14"/>
        <v/>
      </c>
      <c r="BD42" s="304" t="str">
        <f t="shared" si="14"/>
        <v/>
      </c>
      <c r="BE42" s="304" t="str">
        <f t="shared" si="14"/>
        <v/>
      </c>
      <c r="BF42" s="304" t="str">
        <f t="shared" si="14"/>
        <v/>
      </c>
      <c r="BG42" s="304" t="str">
        <f t="shared" si="14"/>
        <v/>
      </c>
      <c r="BH42" s="304" t="str">
        <f t="shared" si="14"/>
        <v/>
      </c>
      <c r="BI42" s="304">
        <f t="shared" si="15"/>
        <v>0.10291716527057575</v>
      </c>
      <c r="BJ42" s="304" t="str">
        <f t="shared" si="15"/>
        <v/>
      </c>
      <c r="BK42" s="288" t="str">
        <f t="shared" si="15"/>
        <v/>
      </c>
      <c r="BL42" s="136" t="str">
        <f t="shared" si="15"/>
        <v/>
      </c>
      <c r="BM42" s="76"/>
      <c r="BN42" s="76"/>
    </row>
    <row r="43" spans="1:66" s="77" customFormat="1" ht="11.25">
      <c r="A43" s="289" t="s">
        <v>241</v>
      </c>
      <c r="B43" s="295" t="s">
        <v>278</v>
      </c>
      <c r="C43" s="305"/>
      <c r="D43" s="292">
        <v>0.67569444444444438</v>
      </c>
      <c r="E43" s="306">
        <v>79.705799999999996</v>
      </c>
      <c r="F43" s="298"/>
      <c r="G43" s="298"/>
      <c r="H43" s="298"/>
      <c r="I43" s="290" t="s">
        <v>94</v>
      </c>
      <c r="J43" s="295">
        <f>IF(ISERROR(VLOOKUP(I43,Max_Load_France!$B$2:$C$102,2,FALSE)/1000),"",VLOOKUP(I43,Max_Load_France!$B$2:$C$102,2,FALSE)/1000)</f>
        <v>40</v>
      </c>
      <c r="K43" s="296"/>
      <c r="L43" s="297">
        <f t="shared" si="0"/>
        <v>0.75249999999999984</v>
      </c>
      <c r="M43" s="298">
        <f>IF(VLOOKUP($I43,Max_Load_France!$B$2:$M$102,3,FALSE)="","",VLOOKUP($I43,Max_Load_France!$B$2:$M$102,3,FALSE))</f>
        <v>0</v>
      </c>
      <c r="N43" s="298">
        <f>IF(VLOOKUP($I43,Max_Load_France!$B$2:$M$102,4,FALSE)="","",VLOOKUP($I43,Max_Load_France!$B$2:$M$102,4,FALSE))</f>
        <v>0</v>
      </c>
      <c r="O43" s="298">
        <f>IF(VLOOKUP($I43,Max_Load_France!$B$2:$M$102,5,FALSE)="","",VLOOKUP($I43,Max_Load_France!$B$2:$M$102,5,FALSE))</f>
        <v>1</v>
      </c>
      <c r="P43" s="298">
        <f>IF(VLOOKUP($I43,Max_Load_France!$B$2:$M$102,6,FALSE)="","",VLOOKUP($I43,Max_Load_France!$B$2:$M$102,6,FALSE))</f>
        <v>1</v>
      </c>
      <c r="Q43" s="298">
        <f>IF(VLOOKUP($I43,Max_Load_France!$B$2:$M$102,7,FALSE)="","",VLOOKUP($I43,Max_Load_France!$B$2:$M$102,7,FALSE))</f>
        <v>1</v>
      </c>
      <c r="R43" s="298" t="str">
        <f>IF(VLOOKUP($I43,Max_Load_France!$B$2:$M$102,8,FALSE)="","",VLOOKUP($I43,Max_Load_France!$B$2:$M$102,8,FALSE))</f>
        <v/>
      </c>
      <c r="S43" s="298" t="str">
        <f>IF(VLOOKUP($I43,Max_Load_France!$B$2:$M$102,9,FALSE)="","",VLOOKUP($I43,Max_Load_France!$B$2:$M$102,9,FALSE))</f>
        <v/>
      </c>
      <c r="T43" s="298" t="str">
        <f>IF(VLOOKUP($I43,Max_Load_France!$B$2:$M$102,10,FALSE)="","",VLOOKUP($I43,Max_Load_France!$B$2:$M$102,10,FALSE))</f>
        <v/>
      </c>
      <c r="U43" s="298" t="str">
        <f>IF(VLOOKUP($I43,Max_Load_France!$B$2:$M$102,11,FALSE)="","",VLOOKUP($I43,Max_Load_France!$B$2:$M$102,11,FALSE))</f>
        <v/>
      </c>
      <c r="V43" s="289">
        <v>5</v>
      </c>
      <c r="W43" s="299">
        <f t="shared" si="3"/>
        <v>30.099999999999994</v>
      </c>
      <c r="X43" s="300">
        <v>7</v>
      </c>
      <c r="Y43" s="300">
        <v>9.9</v>
      </c>
      <c r="Z43" s="300">
        <v>4.4000000000000004</v>
      </c>
      <c r="AA43" s="300">
        <v>4.4000000000000004</v>
      </c>
      <c r="AB43" s="300">
        <v>4.4000000000000004</v>
      </c>
      <c r="AC43" s="301"/>
      <c r="AD43" s="301"/>
      <c r="AE43" s="301"/>
      <c r="AF43" s="301"/>
      <c r="AG43" s="302">
        <f t="shared" si="4"/>
        <v>13.200000000000001</v>
      </c>
      <c r="AH43" s="302" t="str">
        <f t="shared" si="5"/>
        <v/>
      </c>
      <c r="AI43" s="302"/>
      <c r="AJ43" s="302"/>
      <c r="AK43" s="303">
        <f t="shared" si="13"/>
        <v>29.480479102956171</v>
      </c>
      <c r="AL43" s="300">
        <v>5.778542303771661</v>
      </c>
      <c r="AM43" s="300">
        <v>11.174108053007135</v>
      </c>
      <c r="AN43" s="300">
        <v>4.175942915392457</v>
      </c>
      <c r="AO43" s="300">
        <v>4.175942915392457</v>
      </c>
      <c r="AP43" s="300">
        <v>4.175942915392457</v>
      </c>
      <c r="AQ43" s="301"/>
      <c r="AR43" s="300"/>
      <c r="AS43" s="301"/>
      <c r="AT43" s="301"/>
      <c r="AU43" s="302">
        <f t="shared" si="8"/>
        <v>12.52782874617737</v>
      </c>
      <c r="AV43" s="302" t="str">
        <f t="shared" si="9"/>
        <v/>
      </c>
      <c r="AW43" s="302"/>
      <c r="AX43" s="302"/>
      <c r="AY43" s="304">
        <f t="shared" si="14"/>
        <v>-2.0582089602784844E-2</v>
      </c>
      <c r="AZ43" s="304">
        <f t="shared" si="14"/>
        <v>-0.17449395660404843</v>
      </c>
      <c r="BA43" s="304">
        <f t="shared" si="14"/>
        <v>0.12869778313203381</v>
      </c>
      <c r="BB43" s="304">
        <f t="shared" si="14"/>
        <v>-5.0922064683532581E-2</v>
      </c>
      <c r="BC43" s="304">
        <f t="shared" si="14"/>
        <v>-5.0922064683532581E-2</v>
      </c>
      <c r="BD43" s="304">
        <f t="shared" si="14"/>
        <v>-5.0922064683532581E-2</v>
      </c>
      <c r="BE43" s="304" t="str">
        <f t="shared" si="14"/>
        <v/>
      </c>
      <c r="BF43" s="304" t="str">
        <f t="shared" si="14"/>
        <v/>
      </c>
      <c r="BG43" s="304" t="str">
        <f t="shared" si="14"/>
        <v/>
      </c>
      <c r="BH43" s="304" t="str">
        <f t="shared" si="14"/>
        <v/>
      </c>
      <c r="BI43" s="304">
        <f t="shared" si="15"/>
        <v>-5.0922064683532643E-2</v>
      </c>
      <c r="BJ43" s="304" t="str">
        <f t="shared" si="15"/>
        <v/>
      </c>
      <c r="BK43" s="288" t="str">
        <f t="shared" si="15"/>
        <v/>
      </c>
      <c r="BL43" s="136" t="str">
        <f t="shared" si="15"/>
        <v/>
      </c>
      <c r="BM43" s="76"/>
      <c r="BN43" s="76"/>
    </row>
    <row r="44" spans="1:66" s="77" customFormat="1" ht="11.25">
      <c r="A44" s="289" t="s">
        <v>242</v>
      </c>
      <c r="B44" s="295" t="s">
        <v>279</v>
      </c>
      <c r="C44" s="305"/>
      <c r="D44" s="307">
        <v>0.68472222222222223</v>
      </c>
      <c r="E44" s="310">
        <v>89.36712</v>
      </c>
      <c r="F44" s="296"/>
      <c r="G44" s="296"/>
      <c r="H44" s="298"/>
      <c r="I44" s="290" t="s">
        <v>94</v>
      </c>
      <c r="J44" s="295">
        <f>IF(ISERROR(VLOOKUP(I44,Max_Load_France!$B$2:$C$102,2,FALSE)/1000),"",VLOOKUP(I44,Max_Load_France!$B$2:$C$102,2,FALSE)/1000)</f>
        <v>40</v>
      </c>
      <c r="K44" s="296"/>
      <c r="L44" s="297">
        <f t="shared" si="0"/>
        <v>0.42250000000000004</v>
      </c>
      <c r="M44" s="298">
        <f>IF(VLOOKUP($I44,Max_Load_France!$B$2:$M$102,3,FALSE)="","",VLOOKUP($I44,Max_Load_France!$B$2:$M$102,3,FALSE))</f>
        <v>0</v>
      </c>
      <c r="N44" s="298">
        <f>IF(VLOOKUP($I44,Max_Load_France!$B$2:$M$102,4,FALSE)="","",VLOOKUP($I44,Max_Load_France!$B$2:$M$102,4,FALSE))</f>
        <v>0</v>
      </c>
      <c r="O44" s="298">
        <f>IF(VLOOKUP($I44,Max_Load_France!$B$2:$M$102,5,FALSE)="","",VLOOKUP($I44,Max_Load_France!$B$2:$M$102,5,FALSE))</f>
        <v>1</v>
      </c>
      <c r="P44" s="298">
        <f>IF(VLOOKUP($I44,Max_Load_France!$B$2:$M$102,6,FALSE)="","",VLOOKUP($I44,Max_Load_France!$B$2:$M$102,6,FALSE))</f>
        <v>1</v>
      </c>
      <c r="Q44" s="298">
        <f>IF(VLOOKUP($I44,Max_Load_France!$B$2:$M$102,7,FALSE)="","",VLOOKUP($I44,Max_Load_France!$B$2:$M$102,7,FALSE))</f>
        <v>1</v>
      </c>
      <c r="R44" s="298" t="str">
        <f>IF(VLOOKUP($I44,Max_Load_France!$B$2:$M$102,8,FALSE)="","",VLOOKUP($I44,Max_Load_France!$B$2:$M$102,8,FALSE))</f>
        <v/>
      </c>
      <c r="S44" s="298" t="str">
        <f>IF(VLOOKUP($I44,Max_Load_France!$B$2:$M$102,9,FALSE)="","",VLOOKUP($I44,Max_Load_France!$B$2:$M$102,9,FALSE))</f>
        <v/>
      </c>
      <c r="T44" s="298" t="str">
        <f>IF(VLOOKUP($I44,Max_Load_France!$B$2:$M$102,10,FALSE)="","",VLOOKUP($I44,Max_Load_France!$B$2:$M$102,10,FALSE))</f>
        <v/>
      </c>
      <c r="U44" s="298" t="str">
        <f>IF(VLOOKUP($I44,Max_Load_France!$B$2:$M$102,11,FALSE)="","",VLOOKUP($I44,Max_Load_France!$B$2:$M$102,11,FALSE))</f>
        <v/>
      </c>
      <c r="V44" s="289">
        <v>5</v>
      </c>
      <c r="W44" s="299">
        <f t="shared" si="3"/>
        <v>16.900000000000002</v>
      </c>
      <c r="X44" s="300">
        <v>5.7</v>
      </c>
      <c r="Y44" s="300">
        <v>4.0999999999999996</v>
      </c>
      <c r="Z44" s="300">
        <v>2.4</v>
      </c>
      <c r="AA44" s="300">
        <v>2.4</v>
      </c>
      <c r="AB44" s="300">
        <v>2.2999999999999998</v>
      </c>
      <c r="AC44" s="301"/>
      <c r="AD44" s="301"/>
      <c r="AE44" s="301"/>
      <c r="AF44" s="301"/>
      <c r="AG44" s="302">
        <f t="shared" si="4"/>
        <v>7.1</v>
      </c>
      <c r="AH44" s="302" t="str">
        <f t="shared" si="5"/>
        <v/>
      </c>
      <c r="AI44" s="302"/>
      <c r="AJ44" s="302"/>
      <c r="AK44" s="303">
        <f t="shared" si="13"/>
        <v>16.835739041794085</v>
      </c>
      <c r="AL44" s="300">
        <v>5.2968399592252808</v>
      </c>
      <c r="AM44" s="300">
        <v>5.1769724770642194</v>
      </c>
      <c r="AN44" s="300">
        <v>2.1206422018348623</v>
      </c>
      <c r="AO44" s="300">
        <v>2.1206422018348623</v>
      </c>
      <c r="AP44" s="300">
        <v>2.1206422018348623</v>
      </c>
      <c r="AQ44" s="301"/>
      <c r="AR44" s="300"/>
      <c r="AS44" s="309"/>
      <c r="AT44" s="309"/>
      <c r="AU44" s="302">
        <f t="shared" si="8"/>
        <v>6.3619266055045873</v>
      </c>
      <c r="AV44" s="302" t="str">
        <f t="shared" si="9"/>
        <v/>
      </c>
      <c r="AW44" s="302"/>
      <c r="AX44" s="302"/>
      <c r="AY44" s="304">
        <f t="shared" si="14"/>
        <v>-3.8024235624803111E-3</v>
      </c>
      <c r="AZ44" s="304">
        <f t="shared" si="14"/>
        <v>-7.0729831714863037E-2</v>
      </c>
      <c r="BA44" s="304">
        <f t="shared" si="14"/>
        <v>0.26267621391810242</v>
      </c>
      <c r="BB44" s="304">
        <f t="shared" si="14"/>
        <v>-0.11639908256880735</v>
      </c>
      <c r="BC44" s="304">
        <f t="shared" si="14"/>
        <v>-0.11639908256880735</v>
      </c>
      <c r="BD44" s="304">
        <f t="shared" si="14"/>
        <v>-7.7981651376146752E-2</v>
      </c>
      <c r="BE44" s="304" t="str">
        <f t="shared" si="14"/>
        <v/>
      </c>
      <c r="BF44" s="304" t="str">
        <f t="shared" si="14"/>
        <v/>
      </c>
      <c r="BG44" s="304" t="str">
        <f t="shared" si="14"/>
        <v/>
      </c>
      <c r="BH44" s="304" t="str">
        <f t="shared" si="14"/>
        <v/>
      </c>
      <c r="BI44" s="304">
        <f t="shared" si="15"/>
        <v>-0.10395399922470597</v>
      </c>
      <c r="BJ44" s="304" t="str">
        <f t="shared" si="15"/>
        <v/>
      </c>
      <c r="BK44" s="288" t="str">
        <f t="shared" si="15"/>
        <v/>
      </c>
      <c r="BL44" s="136" t="str">
        <f t="shared" si="15"/>
        <v/>
      </c>
      <c r="BM44" s="76"/>
      <c r="BN44" s="76"/>
    </row>
    <row r="45" spans="1:66" s="77" customFormat="1">
      <c r="A45" s="289" t="s">
        <v>243</v>
      </c>
      <c r="B45" s="295" t="s">
        <v>281</v>
      </c>
      <c r="C45" s="305"/>
      <c r="D45" s="292">
        <v>0.68819444444444444</v>
      </c>
      <c r="E45" s="310">
        <v>62.217719999999993</v>
      </c>
      <c r="F45" s="298"/>
      <c r="G45" s="298"/>
      <c r="H45" s="298"/>
      <c r="I45" s="290" t="s">
        <v>130</v>
      </c>
      <c r="J45" s="295">
        <f>IF(ISERROR(VLOOKUP(I45,Max_Load_France!$B$2:$C$102,2,FALSE)/1000),"",VLOOKUP(I45,Max_Load_France!$B$2:$C$102,2,FALSE)/1000)</f>
        <v>40</v>
      </c>
      <c r="K45" s="298"/>
      <c r="L45" s="297">
        <f t="shared" si="0"/>
        <v>0.64250000000000007</v>
      </c>
      <c r="M45" s="298">
        <f>IF(VLOOKUP($I45,Max_Load_France!$B$2:$M$102,3,FALSE)="","",VLOOKUP($I45,Max_Load_France!$B$2:$M$102,3,FALSE))</f>
        <v>0</v>
      </c>
      <c r="N45" s="298">
        <f>IF(VLOOKUP($I45,Max_Load_France!$B$2:$M$102,4,FALSE)="","",VLOOKUP($I45,Max_Load_France!$B$2:$M$102,4,FALSE))</f>
        <v>1</v>
      </c>
      <c r="O45" s="298">
        <f>IF(VLOOKUP($I45,Max_Load_France!$B$2:$M$102,5,FALSE)="","",VLOOKUP($I45,Max_Load_France!$B$2:$M$102,5,FALSE))</f>
        <v>1</v>
      </c>
      <c r="P45" s="298">
        <f>IF(VLOOKUP($I45,Max_Load_France!$B$2:$M$102,6,FALSE)="","",VLOOKUP($I45,Max_Load_France!$B$2:$M$102,6,FALSE))</f>
        <v>2</v>
      </c>
      <c r="Q45" s="298">
        <f>IF(VLOOKUP($I45,Max_Load_France!$B$2:$M$102,7,FALSE)="","",VLOOKUP($I45,Max_Load_France!$B$2:$M$102,7,FALSE))</f>
        <v>2</v>
      </c>
      <c r="R45" s="298" t="str">
        <f>IF(VLOOKUP($I45,Max_Load_France!$B$2:$M$102,8,FALSE)="","",VLOOKUP($I45,Max_Load_France!$B$2:$M$102,8,FALSE))</f>
        <v/>
      </c>
      <c r="S45" s="298" t="str">
        <f>IF(VLOOKUP($I45,Max_Load_France!$B$2:$M$102,9,FALSE)="","",VLOOKUP($I45,Max_Load_France!$B$2:$M$102,9,FALSE))</f>
        <v/>
      </c>
      <c r="T45" s="298" t="str">
        <f>IF(VLOOKUP($I45,Max_Load_France!$B$2:$M$102,10,FALSE)="","",VLOOKUP($I45,Max_Load_France!$B$2:$M$102,10,FALSE))</f>
        <v/>
      </c>
      <c r="U45" s="298" t="str">
        <f>IF(VLOOKUP($I45,Max_Load_France!$B$2:$M$102,11,FALSE)="","",VLOOKUP($I45,Max_Load_France!$B$2:$M$102,11,FALSE))</f>
        <v/>
      </c>
      <c r="V45" s="289">
        <v>5</v>
      </c>
      <c r="W45" s="299">
        <f t="shared" si="3"/>
        <v>25.700000000000003</v>
      </c>
      <c r="X45" s="300">
        <v>5.7</v>
      </c>
      <c r="Y45" s="300">
        <v>8.5</v>
      </c>
      <c r="Z45" s="300">
        <v>2.6</v>
      </c>
      <c r="AA45" s="300">
        <v>4.5</v>
      </c>
      <c r="AB45" s="300">
        <v>4.4000000000000004</v>
      </c>
      <c r="AC45" s="301"/>
      <c r="AD45" s="301"/>
      <c r="AE45" s="301"/>
      <c r="AF45" s="301"/>
      <c r="AG45" s="302">
        <f t="shared" si="4"/>
        <v>11.1</v>
      </c>
      <c r="AH45" s="302">
        <f t="shared" si="5"/>
        <v>8.9</v>
      </c>
      <c r="AI45" s="302"/>
      <c r="AJ45" s="302"/>
      <c r="AK45" s="303">
        <f t="shared" si="13"/>
        <v>27.019072375127415</v>
      </c>
      <c r="AL45" s="300">
        <v>5.5799082568807341</v>
      </c>
      <c r="AM45" s="300">
        <v>6.1518960244648309</v>
      </c>
      <c r="AN45" s="300">
        <v>6.1518960244648309</v>
      </c>
      <c r="AO45" s="300">
        <v>4.5676860346585109</v>
      </c>
      <c r="AP45" s="300">
        <v>4.5676860346585109</v>
      </c>
      <c r="AQ45" s="301"/>
      <c r="AR45" s="300"/>
      <c r="AS45" s="311"/>
      <c r="AT45" s="311"/>
      <c r="AU45" s="302">
        <f t="shared" si="8"/>
        <v>12.303792048929662</v>
      </c>
      <c r="AV45" s="302">
        <f t="shared" si="9"/>
        <v>9.1353720693170217</v>
      </c>
      <c r="AW45" s="302"/>
      <c r="AX45" s="302"/>
      <c r="AY45" s="304">
        <f t="shared" si="14"/>
        <v>5.1325773351261164E-2</v>
      </c>
      <c r="AZ45" s="304">
        <f t="shared" si="14"/>
        <v>-2.1068726863029134E-2</v>
      </c>
      <c r="BA45" s="304">
        <f t="shared" si="14"/>
        <v>-0.27624752653354934</v>
      </c>
      <c r="BB45" s="304">
        <f>IF(Z45&gt;0,(AN45-Z45)/Z45,"")</f>
        <v>1.3661138555633965</v>
      </c>
      <c r="BC45" s="304">
        <f t="shared" si="14"/>
        <v>1.5041341035224635E-2</v>
      </c>
      <c r="BD45" s="304">
        <f t="shared" si="14"/>
        <v>3.8110462422388747E-2</v>
      </c>
      <c r="BE45" s="304" t="str">
        <f t="shared" si="14"/>
        <v/>
      </c>
      <c r="BF45" s="304" t="str">
        <f t="shared" si="14"/>
        <v/>
      </c>
      <c r="BG45" s="304" t="str">
        <f t="shared" si="14"/>
        <v/>
      </c>
      <c r="BH45" s="304" t="str">
        <f t="shared" si="14"/>
        <v/>
      </c>
      <c r="BI45" s="304">
        <f t="shared" si="15"/>
        <v>0.1084497341378074</v>
      </c>
      <c r="BJ45" s="304">
        <f t="shared" si="15"/>
        <v>2.6446299923260828E-2</v>
      </c>
      <c r="BK45" s="288" t="str">
        <f t="shared" si="15"/>
        <v/>
      </c>
      <c r="BL45" s="136" t="str">
        <f t="shared" si="15"/>
        <v/>
      </c>
      <c r="BM45" s="76"/>
      <c r="BN45" s="76"/>
    </row>
    <row r="46" spans="1:66" s="77" customFormat="1">
      <c r="A46" s="289" t="s">
        <v>244</v>
      </c>
      <c r="B46" s="295" t="s">
        <v>280</v>
      </c>
      <c r="C46" s="305"/>
      <c r="D46" s="292">
        <v>0.68680555555555556</v>
      </c>
      <c r="E46" s="306">
        <v>60.932159999999996</v>
      </c>
      <c r="F46" s="298"/>
      <c r="G46" s="298"/>
      <c r="H46" s="298"/>
      <c r="I46" s="290" t="s">
        <v>94</v>
      </c>
      <c r="J46" s="295">
        <f>IF(ISERROR(VLOOKUP(I46,Max_Load_France!$B$2:$C$102,2,FALSE)/1000),"",VLOOKUP(I46,Max_Load_France!$B$2:$C$102,2,FALSE)/1000)</f>
        <v>40</v>
      </c>
      <c r="K46" s="298"/>
      <c r="L46" s="297">
        <f t="shared" si="0"/>
        <v>0.95749999999999991</v>
      </c>
      <c r="M46" s="298">
        <f>IF(VLOOKUP($I46,Max_Load_France!$B$2:$M$102,3,FALSE)="","",VLOOKUP($I46,Max_Load_France!$B$2:$M$102,3,FALSE))</f>
        <v>0</v>
      </c>
      <c r="N46" s="298">
        <f>IF(VLOOKUP($I46,Max_Load_France!$B$2:$M$102,4,FALSE)="","",VLOOKUP($I46,Max_Load_France!$B$2:$M$102,4,FALSE))</f>
        <v>0</v>
      </c>
      <c r="O46" s="298">
        <f>IF(VLOOKUP($I46,Max_Load_France!$B$2:$M$102,5,FALSE)="","",VLOOKUP($I46,Max_Load_France!$B$2:$M$102,5,FALSE))</f>
        <v>1</v>
      </c>
      <c r="P46" s="298">
        <f>IF(VLOOKUP($I46,Max_Load_France!$B$2:$M$102,6,FALSE)="","",VLOOKUP($I46,Max_Load_France!$B$2:$M$102,6,FALSE))</f>
        <v>1</v>
      </c>
      <c r="Q46" s="298">
        <f>IF(VLOOKUP($I46,Max_Load_France!$B$2:$M$102,7,FALSE)="","",VLOOKUP($I46,Max_Load_France!$B$2:$M$102,7,FALSE))</f>
        <v>1</v>
      </c>
      <c r="R46" s="298" t="str">
        <f>IF(VLOOKUP($I46,Max_Load_France!$B$2:$M$102,8,FALSE)="","",VLOOKUP($I46,Max_Load_France!$B$2:$M$102,8,FALSE))</f>
        <v/>
      </c>
      <c r="S46" s="298" t="str">
        <f>IF(VLOOKUP($I46,Max_Load_France!$B$2:$M$102,9,FALSE)="","",VLOOKUP($I46,Max_Load_France!$B$2:$M$102,9,FALSE))</f>
        <v/>
      </c>
      <c r="T46" s="298" t="str">
        <f>IF(VLOOKUP($I46,Max_Load_France!$B$2:$M$102,10,FALSE)="","",VLOOKUP($I46,Max_Load_France!$B$2:$M$102,10,FALSE))</f>
        <v/>
      </c>
      <c r="U46" s="298" t="str">
        <f>IF(VLOOKUP($I46,Max_Load_France!$B$2:$M$102,11,FALSE)="","",VLOOKUP($I46,Max_Load_France!$B$2:$M$102,11,FALSE))</f>
        <v/>
      </c>
      <c r="V46" s="289">
        <v>5</v>
      </c>
      <c r="W46" s="299">
        <f t="shared" si="3"/>
        <v>38.299999999999997</v>
      </c>
      <c r="X46" s="300">
        <v>6.5</v>
      </c>
      <c r="Y46" s="300">
        <v>10.5</v>
      </c>
      <c r="Z46" s="300">
        <v>7</v>
      </c>
      <c r="AA46" s="300">
        <v>7.2</v>
      </c>
      <c r="AB46" s="300">
        <v>7.1</v>
      </c>
      <c r="AC46" s="301"/>
      <c r="AD46" s="301"/>
      <c r="AE46" s="301"/>
      <c r="AF46" s="301"/>
      <c r="AG46" s="302">
        <f t="shared" si="4"/>
        <v>21.299999999999997</v>
      </c>
      <c r="AH46" s="302" t="str">
        <f t="shared" si="5"/>
        <v/>
      </c>
      <c r="AI46" s="302"/>
      <c r="AJ46" s="302"/>
      <c r="AK46" s="303">
        <f t="shared" si="13"/>
        <v>38.994403669724768</v>
      </c>
      <c r="AL46" s="300">
        <v>5.3037104994903164</v>
      </c>
      <c r="AM46" s="300">
        <v>12.456778797145768</v>
      </c>
      <c r="AN46" s="300">
        <v>7.0779714576962283</v>
      </c>
      <c r="AO46" s="300">
        <v>7.0779714576962283</v>
      </c>
      <c r="AP46" s="300">
        <v>7.0779714576962283</v>
      </c>
      <c r="AQ46" s="301"/>
      <c r="AR46" s="300"/>
      <c r="AS46" s="311"/>
      <c r="AT46" s="311"/>
      <c r="AU46" s="302">
        <f t="shared" si="8"/>
        <v>21.233914373088684</v>
      </c>
      <c r="AV46" s="302" t="str">
        <f t="shared" si="9"/>
        <v/>
      </c>
      <c r="AW46" s="302"/>
      <c r="AX46" s="302"/>
      <c r="AY46" s="304">
        <f t="shared" si="14"/>
        <v>1.8130644118140238E-2</v>
      </c>
      <c r="AZ46" s="304">
        <f t="shared" si="14"/>
        <v>-0.18404453853995134</v>
      </c>
      <c r="BA46" s="304">
        <f t="shared" si="14"/>
        <v>0.1863598854424541</v>
      </c>
      <c r="BB46" s="304">
        <f t="shared" si="14"/>
        <v>1.1138779670889751E-2</v>
      </c>
      <c r="BC46" s="304">
        <f t="shared" si="14"/>
        <v>-1.6948408653301654E-2</v>
      </c>
      <c r="BD46" s="304">
        <f t="shared" si="14"/>
        <v>-3.1026115920804766E-3</v>
      </c>
      <c r="BE46" s="304" t="str">
        <f t="shared" si="14"/>
        <v/>
      </c>
      <c r="BF46" s="304" t="str">
        <f t="shared" si="14"/>
        <v/>
      </c>
      <c r="BG46" s="304" t="str">
        <f t="shared" si="14"/>
        <v/>
      </c>
      <c r="BH46" s="304" t="str">
        <f t="shared" si="14"/>
        <v/>
      </c>
      <c r="BI46" s="304">
        <f t="shared" si="15"/>
        <v>-3.1026115920804349E-3</v>
      </c>
      <c r="BJ46" s="304" t="str">
        <f t="shared" si="15"/>
        <v/>
      </c>
      <c r="BK46" s="288" t="str">
        <f t="shared" si="15"/>
        <v/>
      </c>
      <c r="BL46" s="136" t="str">
        <f t="shared" si="15"/>
        <v/>
      </c>
      <c r="BM46" s="76"/>
      <c r="BN46" s="76"/>
    </row>
    <row r="47" spans="1:66" s="77" customFormat="1">
      <c r="A47" s="289" t="s">
        <v>245</v>
      </c>
      <c r="B47" s="295" t="s">
        <v>277</v>
      </c>
      <c r="C47" s="305"/>
      <c r="D47" s="292">
        <v>0.67083333333333339</v>
      </c>
      <c r="E47" s="306">
        <v>53.620200000000004</v>
      </c>
      <c r="F47" s="298"/>
      <c r="G47" s="298"/>
      <c r="H47" s="298"/>
      <c r="I47" s="290" t="s">
        <v>94</v>
      </c>
      <c r="J47" s="295">
        <f>IF(ISERROR(VLOOKUP(I47,Max_Load_France!$B$2:$C$102,2,FALSE)/1000),"",VLOOKUP(I47,Max_Load_France!$B$2:$C$102,2,FALSE)/1000)</f>
        <v>40</v>
      </c>
      <c r="K47" s="298"/>
      <c r="L47" s="297">
        <f t="shared" si="0"/>
        <v>0</v>
      </c>
      <c r="M47" s="298">
        <f>IF(VLOOKUP($I47,Max_Load_France!$B$2:$M$102,3,FALSE)="","",VLOOKUP($I47,Max_Load_France!$B$2:$M$102,3,FALSE))</f>
        <v>0</v>
      </c>
      <c r="N47" s="298">
        <f>IF(VLOOKUP($I47,Max_Load_France!$B$2:$M$102,4,FALSE)="","",VLOOKUP($I47,Max_Load_France!$B$2:$M$102,4,FALSE))</f>
        <v>0</v>
      </c>
      <c r="O47" s="298">
        <f>IF(VLOOKUP($I47,Max_Load_France!$B$2:$M$102,5,FALSE)="","",VLOOKUP($I47,Max_Load_France!$B$2:$M$102,5,FALSE))</f>
        <v>1</v>
      </c>
      <c r="P47" s="298">
        <f>IF(VLOOKUP($I47,Max_Load_France!$B$2:$M$102,6,FALSE)="","",VLOOKUP($I47,Max_Load_France!$B$2:$M$102,6,FALSE))</f>
        <v>1</v>
      </c>
      <c r="Q47" s="298">
        <f>IF(VLOOKUP($I47,Max_Load_France!$B$2:$M$102,7,FALSE)="","",VLOOKUP($I47,Max_Load_France!$B$2:$M$102,7,FALSE))</f>
        <v>1</v>
      </c>
      <c r="R47" s="298" t="str">
        <f>IF(VLOOKUP($I47,Max_Load_France!$B$2:$M$102,8,FALSE)="","",VLOOKUP($I47,Max_Load_France!$B$2:$M$102,8,FALSE))</f>
        <v/>
      </c>
      <c r="S47" s="298" t="str">
        <f>IF(VLOOKUP($I47,Max_Load_France!$B$2:$M$102,9,FALSE)="","",VLOOKUP($I47,Max_Load_France!$B$2:$M$102,9,FALSE))</f>
        <v/>
      </c>
      <c r="T47" s="298" t="str">
        <f>IF(VLOOKUP($I47,Max_Load_France!$B$2:$M$102,10,FALSE)="","",VLOOKUP($I47,Max_Load_France!$B$2:$M$102,10,FALSE))</f>
        <v/>
      </c>
      <c r="U47" s="298" t="str">
        <f>IF(VLOOKUP($I47,Max_Load_France!$B$2:$M$102,11,FALSE)="","",VLOOKUP($I47,Max_Load_France!$B$2:$M$102,11,FALSE))</f>
        <v/>
      </c>
      <c r="V47" s="289">
        <v>5</v>
      </c>
      <c r="W47" s="299">
        <f t="shared" si="3"/>
        <v>0</v>
      </c>
      <c r="X47" s="300"/>
      <c r="Y47" s="300"/>
      <c r="Z47" s="300"/>
      <c r="AA47" s="300"/>
      <c r="AB47" s="300"/>
      <c r="AC47" s="301"/>
      <c r="AD47" s="301"/>
      <c r="AE47" s="301"/>
      <c r="AF47" s="301"/>
      <c r="AG47" s="302" t="str">
        <f t="shared" si="4"/>
        <v/>
      </c>
      <c r="AH47" s="302" t="str">
        <f t="shared" si="5"/>
        <v/>
      </c>
      <c r="AI47" s="302"/>
      <c r="AJ47" s="302"/>
      <c r="AK47" s="303">
        <f t="shared" si="13"/>
        <v>0</v>
      </c>
      <c r="AL47" s="300"/>
      <c r="AM47" s="300"/>
      <c r="AN47" s="300"/>
      <c r="AO47" s="300"/>
      <c r="AP47" s="300"/>
      <c r="AQ47" s="301"/>
      <c r="AR47" s="300"/>
      <c r="AS47" s="311"/>
      <c r="AT47" s="311"/>
      <c r="AU47" s="302" t="str">
        <f t="shared" si="8"/>
        <v/>
      </c>
      <c r="AV47" s="302" t="str">
        <f t="shared" si="9"/>
        <v/>
      </c>
      <c r="AW47" s="302"/>
      <c r="AX47" s="302"/>
      <c r="AY47" s="304" t="str">
        <f t="shared" si="14"/>
        <v/>
      </c>
      <c r="AZ47" s="304" t="str">
        <f t="shared" si="14"/>
        <v/>
      </c>
      <c r="BA47" s="304" t="str">
        <f t="shared" si="14"/>
        <v/>
      </c>
      <c r="BB47" s="304" t="str">
        <f t="shared" si="14"/>
        <v/>
      </c>
      <c r="BC47" s="304" t="str">
        <f t="shared" si="14"/>
        <v/>
      </c>
      <c r="BD47" s="304" t="str">
        <f t="shared" si="14"/>
        <v/>
      </c>
      <c r="BE47" s="304" t="str">
        <f t="shared" si="14"/>
        <v/>
      </c>
      <c r="BF47" s="304" t="str">
        <f t="shared" si="14"/>
        <v/>
      </c>
      <c r="BG47" s="304" t="str">
        <f t="shared" si="14"/>
        <v/>
      </c>
      <c r="BH47" s="304" t="str">
        <f t="shared" si="14"/>
        <v/>
      </c>
      <c r="BI47" s="304" t="str">
        <f t="shared" si="15"/>
        <v/>
      </c>
      <c r="BJ47" s="304" t="str">
        <f t="shared" si="15"/>
        <v/>
      </c>
      <c r="BK47" s="288" t="str">
        <f t="shared" si="15"/>
        <v/>
      </c>
      <c r="BL47" s="136" t="str">
        <f t="shared" si="15"/>
        <v/>
      </c>
      <c r="BM47" s="76"/>
      <c r="BN47" s="76"/>
    </row>
  </sheetData>
  <dataConsolidate/>
  <mergeCells count="28">
    <mergeCell ref="AY10:BL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  <mergeCell ref="C5:H5"/>
    <mergeCell ref="Z5:AG5"/>
    <mergeCell ref="AQ5:AX5"/>
    <mergeCell ref="C6:H6"/>
    <mergeCell ref="Z6:AG6"/>
    <mergeCell ref="AQ6:AX6"/>
    <mergeCell ref="C3:H3"/>
    <mergeCell ref="Z3:AK3"/>
    <mergeCell ref="AQ3:BB3"/>
    <mergeCell ref="C4:H4"/>
    <mergeCell ref="Z4:AG4"/>
    <mergeCell ref="AQ4:AX4"/>
  </mergeCells>
  <conditionalFormatting sqref="AY12:AY4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{EFD51518-D0F3-418C-85F8-006FD0436A4D}</x14:id>
        </ext>
      </extLst>
    </cfRule>
  </conditionalFormatting>
  <conditionalFormatting sqref="AZ12:BD47">
    <cfRule type="dataBar" priority="1">
      <dataBar>
        <cfvo type="num" val="-0.3"/>
        <cfvo type="num" val="0.3"/>
        <color rgb="FF638EC6"/>
      </dataBar>
      <extLst>
        <ext xmlns:x14="http://schemas.microsoft.com/office/spreadsheetml/2009/9/main" uri="{B025F937-C7B1-47D3-B67F-A62EFF666E3E}">
          <x14:id>{ACD353AA-7FA8-4EF2-9794-C5C761EC2F89}</x14:id>
        </ext>
      </extLst>
    </cfRule>
  </conditionalFormatting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ignoredErrors>
    <ignoredError sqref="L12:BJ15 L17:BJ19 L16:AZ16 BB16:BJ16 L22:BJ32 L21:AZ21 BB21:BJ21 L20:BA20 BC20:BJ20 L34:BJ47 L33:AO33 AQ33:BJ33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D51518-D0F3-418C-85F8-006FD0436A4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AY12:AY47</xm:sqref>
        </x14:conditionalFormatting>
        <x14:conditionalFormatting xmlns:xm="http://schemas.microsoft.com/office/excel/2006/main">
          <x14:cfRule type="dataBar" id="{ACD353AA-7FA8-4EF2-9794-C5C761EC2F89}">
            <x14:dataBar minLength="0" maxLength="100" border="1" negativeBarBorderColorSameAsPositive="0">
              <x14:cfvo type="num">
                <xm:f>-0.3</xm:f>
              </x14:cfvo>
              <x14:cfvo type="num">
                <xm:f>0.3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AZ12:BD47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J37"/>
  <sheetViews>
    <sheetView workbookViewId="0"/>
  </sheetViews>
  <sheetFormatPr baseColWidth="10" defaultColWidth="9.140625" defaultRowHeight="12.75"/>
  <cols>
    <col min="1" max="2" width="21.85546875" bestFit="1" customWidth="1"/>
    <col min="3" max="3" width="6" bestFit="1" customWidth="1"/>
    <col min="5" max="5" width="4.5703125" bestFit="1" customWidth="1"/>
    <col min="7" max="7" width="2" bestFit="1" customWidth="1"/>
    <col min="9" max="9" width="2" bestFit="1" customWidth="1"/>
    <col min="10" max="10" width="4" bestFit="1" customWidth="1"/>
    <col min="11" max="11" width="5" bestFit="1" customWidth="1"/>
  </cols>
  <sheetData>
    <row r="1" spans="1:62">
      <c r="M1" t="s">
        <v>321</v>
      </c>
      <c r="N1" t="s">
        <v>322</v>
      </c>
      <c r="O1" t="s">
        <v>323</v>
      </c>
      <c r="P1" t="s">
        <v>324</v>
      </c>
      <c r="Q1" t="s">
        <v>325</v>
      </c>
      <c r="R1" t="s">
        <v>326</v>
      </c>
    </row>
    <row r="2" spans="1:62">
      <c r="A2" s="148" t="s">
        <v>211</v>
      </c>
      <c r="B2" t="s">
        <v>211</v>
      </c>
      <c r="C2">
        <v>1.6639999999999999</v>
      </c>
      <c r="D2" t="s">
        <v>310</v>
      </c>
      <c r="E2" t="s">
        <v>381</v>
      </c>
      <c r="F2">
        <v>0</v>
      </c>
      <c r="G2">
        <v>1</v>
      </c>
      <c r="H2">
        <v>18.450500000000002</v>
      </c>
      <c r="I2">
        <v>5</v>
      </c>
      <c r="J2">
        <v>113</v>
      </c>
      <c r="K2">
        <v>113</v>
      </c>
      <c r="L2">
        <v>341.46899999999999</v>
      </c>
      <c r="M2">
        <v>73.803799999999995</v>
      </c>
      <c r="N2">
        <v>95.997500000000002</v>
      </c>
      <c r="O2">
        <v>57.2226</v>
      </c>
      <c r="P2">
        <v>57.2226</v>
      </c>
      <c r="Q2">
        <v>57.2226</v>
      </c>
      <c r="S2">
        <f>M2/9.81</f>
        <v>7.5233231396534137</v>
      </c>
      <c r="T2">
        <f t="shared" ref="T2:X17" si="0">N2/9.81</f>
        <v>9.7856778797145765</v>
      </c>
      <c r="U2">
        <f t="shared" si="0"/>
        <v>5.8330886850152899</v>
      </c>
      <c r="V2">
        <f t="shared" si="0"/>
        <v>5.8330886850152899</v>
      </c>
      <c r="W2">
        <f t="shared" si="0"/>
        <v>5.8330886850152899</v>
      </c>
      <c r="Z2">
        <v>12.2523</v>
      </c>
      <c r="AA2" s="182">
        <v>3.81982</v>
      </c>
      <c r="AB2" s="182">
        <v>5.8378399999999999</v>
      </c>
      <c r="AC2" s="182">
        <v>1.2972999999999999</v>
      </c>
      <c r="AD2" s="182">
        <v>1.2972999999999999</v>
      </c>
      <c r="AE2" s="182"/>
      <c r="AF2" s="182">
        <v>17</v>
      </c>
      <c r="AG2" s="182">
        <v>1</v>
      </c>
      <c r="AH2">
        <v>56.133000000000003</v>
      </c>
      <c r="AI2" s="182">
        <v>2</v>
      </c>
      <c r="AJ2" s="182">
        <v>0.94655500000000004</v>
      </c>
      <c r="AK2" s="182">
        <v>0.15909899999999999</v>
      </c>
      <c r="AL2" s="182"/>
      <c r="AM2" s="182"/>
      <c r="AN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F2" s="333"/>
    </row>
    <row r="3" spans="1:62">
      <c r="A3" s="148" t="s">
        <v>212</v>
      </c>
      <c r="B3" t="s">
        <v>212</v>
      </c>
      <c r="C3">
        <v>1.643</v>
      </c>
      <c r="D3" t="s">
        <v>310</v>
      </c>
      <c r="E3" t="s">
        <v>381</v>
      </c>
      <c r="F3">
        <v>0</v>
      </c>
      <c r="G3">
        <v>1</v>
      </c>
      <c r="H3">
        <v>21.445</v>
      </c>
      <c r="I3">
        <v>4</v>
      </c>
      <c r="J3">
        <v>61</v>
      </c>
      <c r="K3">
        <v>112</v>
      </c>
      <c r="L3">
        <v>127.45099999999999</v>
      </c>
      <c r="M3">
        <v>54.541699999999999</v>
      </c>
      <c r="N3">
        <v>29.860199999999999</v>
      </c>
      <c r="O3">
        <v>21.524799999999999</v>
      </c>
      <c r="P3">
        <v>21.524799999999999</v>
      </c>
      <c r="Q3">
        <v>12.104699999999999</v>
      </c>
      <c r="S3">
        <f t="shared" ref="S3:S37" si="1">M3/9.81</f>
        <v>5.5598063200815488</v>
      </c>
      <c r="T3">
        <f t="shared" si="0"/>
        <v>3.0438532110091741</v>
      </c>
      <c r="U3">
        <f t="shared" si="0"/>
        <v>2.1941692150866459</v>
      </c>
      <c r="V3">
        <f t="shared" si="0"/>
        <v>2.1941692150866459</v>
      </c>
      <c r="W3">
        <f t="shared" si="0"/>
        <v>1.2339143730886848</v>
      </c>
      <c r="Z3">
        <v>3.97906</v>
      </c>
      <c r="AA3" s="182">
        <v>6.4921499999999996</v>
      </c>
      <c r="AB3" s="182">
        <v>1.63351</v>
      </c>
      <c r="AC3" s="182">
        <v>17.003299999999999</v>
      </c>
      <c r="AD3" s="182">
        <v>1</v>
      </c>
      <c r="AE3" s="182"/>
      <c r="AF3" s="182">
        <v>16.066400000000002</v>
      </c>
      <c r="AG3" s="182">
        <v>2</v>
      </c>
      <c r="AH3">
        <v>0.25402999999999998</v>
      </c>
      <c r="AI3">
        <v>3.7061200000000002E-2</v>
      </c>
      <c r="AJ3" s="182"/>
      <c r="AK3" s="182"/>
      <c r="AL3" s="182"/>
      <c r="AM3" s="182"/>
      <c r="AN3" s="182"/>
      <c r="AO3" s="182"/>
      <c r="AP3" s="182"/>
      <c r="AW3" s="182"/>
      <c r="AX3" s="182"/>
      <c r="AY3" s="182"/>
      <c r="AZ3" s="182"/>
      <c r="BA3" s="182"/>
      <c r="BB3" s="182"/>
      <c r="BC3" s="182"/>
      <c r="BD3" s="182"/>
      <c r="BE3" s="182"/>
      <c r="BH3" s="333"/>
    </row>
    <row r="4" spans="1:62">
      <c r="A4" s="148" t="s">
        <v>213</v>
      </c>
      <c r="B4" s="183" t="s">
        <v>213</v>
      </c>
      <c r="C4">
        <v>1.724</v>
      </c>
      <c r="D4" t="s">
        <v>310</v>
      </c>
      <c r="E4" t="s">
        <v>381</v>
      </c>
      <c r="F4">
        <v>800000</v>
      </c>
      <c r="G4">
        <v>1</v>
      </c>
      <c r="H4">
        <v>15.226800000000001</v>
      </c>
      <c r="I4">
        <v>5</v>
      </c>
      <c r="J4">
        <v>117</v>
      </c>
      <c r="K4">
        <v>113</v>
      </c>
      <c r="L4">
        <v>400.096</v>
      </c>
      <c r="M4">
        <v>64.880399999999995</v>
      </c>
      <c r="N4">
        <v>138.04900000000001</v>
      </c>
      <c r="O4">
        <v>65.722200000000001</v>
      </c>
      <c r="P4">
        <v>65.722200000000001</v>
      </c>
      <c r="Q4">
        <v>65.722200000000001</v>
      </c>
      <c r="S4">
        <f t="shared" si="1"/>
        <v>6.6137003058103963</v>
      </c>
      <c r="T4">
        <f t="shared" si="0"/>
        <v>14.072273190621814</v>
      </c>
      <c r="U4">
        <f t="shared" si="0"/>
        <v>6.6995107033639139</v>
      </c>
      <c r="V4">
        <f t="shared" si="0"/>
        <v>6.6995107033639139</v>
      </c>
      <c r="W4">
        <f t="shared" si="0"/>
        <v>6.6995107033639139</v>
      </c>
      <c r="Z4">
        <v>9.2193299999999994</v>
      </c>
      <c r="AA4" s="182">
        <v>3.62825</v>
      </c>
      <c r="AB4" s="182">
        <v>3.0037199999999999</v>
      </c>
      <c r="AC4" s="182">
        <v>1.27881</v>
      </c>
      <c r="AD4" s="182">
        <v>1.3085500000000001</v>
      </c>
      <c r="AE4" s="182"/>
      <c r="AF4" s="182">
        <v>17.035</v>
      </c>
      <c r="AG4" s="182">
        <v>1</v>
      </c>
      <c r="AH4">
        <v>49.613</v>
      </c>
      <c r="AI4">
        <v>2</v>
      </c>
      <c r="AJ4" s="182">
        <v>1.8822300000000001</v>
      </c>
      <c r="AK4" s="182">
        <v>0.40015899999999999</v>
      </c>
      <c r="AL4" s="182"/>
      <c r="AM4" s="182"/>
      <c r="AN4" s="182"/>
      <c r="AO4" s="182"/>
      <c r="AP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H4" s="333"/>
    </row>
    <row r="5" spans="1:62">
      <c r="A5" s="148" t="s">
        <v>214</v>
      </c>
      <c r="B5" s="183" t="s">
        <v>214</v>
      </c>
      <c r="C5">
        <v>1.7050000000000001</v>
      </c>
      <c r="D5" t="s">
        <v>310</v>
      </c>
      <c r="E5" t="s">
        <v>381</v>
      </c>
      <c r="F5">
        <v>0</v>
      </c>
      <c r="G5">
        <v>1</v>
      </c>
      <c r="H5">
        <v>16.718399999999999</v>
      </c>
      <c r="I5">
        <v>5</v>
      </c>
      <c r="J5">
        <v>113</v>
      </c>
      <c r="K5">
        <v>113</v>
      </c>
      <c r="L5">
        <v>284.77800000000002</v>
      </c>
      <c r="M5">
        <v>60.4</v>
      </c>
      <c r="N5">
        <v>84.714500000000001</v>
      </c>
      <c r="O5">
        <v>46.554600000000001</v>
      </c>
      <c r="P5">
        <v>46.554600000000001</v>
      </c>
      <c r="Q5">
        <v>46.554600000000001</v>
      </c>
      <c r="S5">
        <f t="shared" si="1"/>
        <v>6.1569826707441377</v>
      </c>
      <c r="T5">
        <f t="shared" si="0"/>
        <v>8.6355249745157998</v>
      </c>
      <c r="U5">
        <f t="shared" si="0"/>
        <v>4.7456269113149849</v>
      </c>
      <c r="V5">
        <f t="shared" si="0"/>
        <v>4.7456269113149849</v>
      </c>
      <c r="W5">
        <f t="shared" si="0"/>
        <v>4.7456269113149849</v>
      </c>
      <c r="Z5">
        <v>11.983700000000001</v>
      </c>
      <c r="AA5" s="182">
        <v>3.6244900000000002</v>
      </c>
      <c r="AB5" s="182">
        <v>5.8122400000000001</v>
      </c>
      <c r="AC5" s="182">
        <v>1.2734700000000001</v>
      </c>
      <c r="AD5" s="182">
        <v>1.2734700000000001</v>
      </c>
      <c r="AE5" s="182"/>
      <c r="AF5" s="182">
        <v>17.07</v>
      </c>
      <c r="AG5" s="182">
        <v>1</v>
      </c>
      <c r="AH5">
        <v>63.449800000000003</v>
      </c>
      <c r="AI5">
        <v>2</v>
      </c>
      <c r="AJ5" s="182">
        <v>0.94307099999999999</v>
      </c>
      <c r="AK5" s="182">
        <v>0.201042</v>
      </c>
      <c r="AL5" s="182"/>
      <c r="AM5" s="182"/>
      <c r="AN5" s="182"/>
      <c r="AO5" s="182"/>
      <c r="AP5" s="182"/>
      <c r="AS5" s="182"/>
      <c r="AT5" s="182"/>
      <c r="AU5" s="182"/>
      <c r="AV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J5" s="333"/>
    </row>
    <row r="6" spans="1:62">
      <c r="A6" s="148" t="s">
        <v>215</v>
      </c>
      <c r="B6" s="183" t="s">
        <v>215</v>
      </c>
      <c r="C6">
        <v>1.732</v>
      </c>
      <c r="D6" t="s">
        <v>310</v>
      </c>
      <c r="E6" t="s">
        <v>381</v>
      </c>
      <c r="F6">
        <v>0</v>
      </c>
      <c r="G6">
        <v>1</v>
      </c>
      <c r="H6">
        <v>16.3187</v>
      </c>
      <c r="I6">
        <v>5</v>
      </c>
      <c r="J6">
        <v>113</v>
      </c>
      <c r="K6">
        <v>113</v>
      </c>
      <c r="L6">
        <v>157.93700000000001</v>
      </c>
      <c r="M6">
        <v>63.697400000000002</v>
      </c>
      <c r="N6">
        <v>33.747999999999998</v>
      </c>
      <c r="O6">
        <v>20.163799999999998</v>
      </c>
      <c r="P6">
        <v>20.163799999999998</v>
      </c>
      <c r="Q6">
        <v>20.163799999999998</v>
      </c>
      <c r="S6">
        <f t="shared" si="1"/>
        <v>6.4931090723751277</v>
      </c>
      <c r="T6">
        <f t="shared" si="0"/>
        <v>3.4401630988786946</v>
      </c>
      <c r="U6">
        <f t="shared" si="0"/>
        <v>2.0554332313965338</v>
      </c>
      <c r="V6">
        <f t="shared" si="0"/>
        <v>2.0554332313965338</v>
      </c>
      <c r="W6">
        <f t="shared" si="0"/>
        <v>2.0554332313965338</v>
      </c>
      <c r="Z6">
        <v>12.398400000000001</v>
      </c>
      <c r="AA6" s="182">
        <v>4.0159399999999996</v>
      </c>
      <c r="AB6" s="182">
        <v>5.73705</v>
      </c>
      <c r="AC6" s="182">
        <v>1.30677</v>
      </c>
      <c r="AD6" s="182">
        <v>1.3386499999999999</v>
      </c>
      <c r="AE6" s="182"/>
      <c r="AF6" s="182">
        <v>17.184999999999999</v>
      </c>
      <c r="AG6" s="182">
        <v>1</v>
      </c>
      <c r="AH6">
        <v>10.242100000000001</v>
      </c>
      <c r="AI6">
        <v>2</v>
      </c>
      <c r="AJ6" s="182">
        <v>0.492427</v>
      </c>
      <c r="AK6" s="182">
        <v>7.5465400000000002E-2</v>
      </c>
      <c r="AL6" s="182"/>
      <c r="AM6" s="182"/>
      <c r="AN6" s="182"/>
      <c r="AO6" s="182"/>
      <c r="AP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F6" s="333"/>
    </row>
    <row r="7" spans="1:62">
      <c r="A7" s="148" t="s">
        <v>216</v>
      </c>
      <c r="B7" s="183" t="s">
        <v>216</v>
      </c>
      <c r="C7">
        <v>1.506</v>
      </c>
      <c r="D7" t="s">
        <v>310</v>
      </c>
      <c r="E7" t="s">
        <v>381</v>
      </c>
      <c r="F7">
        <v>0</v>
      </c>
      <c r="G7">
        <v>1</v>
      </c>
      <c r="H7">
        <v>16.995899999999999</v>
      </c>
      <c r="I7">
        <v>6</v>
      </c>
      <c r="J7">
        <v>75</v>
      </c>
      <c r="K7">
        <v>1122</v>
      </c>
      <c r="L7">
        <v>369.54199999999997</v>
      </c>
      <c r="M7">
        <v>56.086399999999998</v>
      </c>
      <c r="N7">
        <v>133.22</v>
      </c>
      <c r="O7">
        <v>65.012799999999999</v>
      </c>
      <c r="P7">
        <v>65.012799999999999</v>
      </c>
      <c r="Q7">
        <v>25.1052</v>
      </c>
      <c r="R7">
        <v>25.1052</v>
      </c>
      <c r="S7">
        <f t="shared" si="1"/>
        <v>5.717268093781855</v>
      </c>
      <c r="T7">
        <f t="shared" si="0"/>
        <v>13.580020387359836</v>
      </c>
      <c r="U7">
        <f t="shared" si="0"/>
        <v>6.6271967380224259</v>
      </c>
      <c r="V7">
        <f t="shared" si="0"/>
        <v>6.6271967380224259</v>
      </c>
      <c r="W7">
        <f t="shared" si="0"/>
        <v>2.5591437308868499</v>
      </c>
      <c r="X7">
        <f t="shared" si="0"/>
        <v>2.5591437308868499</v>
      </c>
      <c r="Z7" s="182">
        <v>16.166</v>
      </c>
      <c r="AA7" s="182">
        <v>3.8838200000000001</v>
      </c>
      <c r="AB7" s="182">
        <v>5.5435699999999999</v>
      </c>
      <c r="AC7" s="182">
        <v>1.39419</v>
      </c>
      <c r="AD7" s="182">
        <v>3.9834000000000001</v>
      </c>
      <c r="AE7" s="182">
        <v>1.361</v>
      </c>
      <c r="AF7">
        <v>17.243300000000001</v>
      </c>
      <c r="AG7">
        <v>1</v>
      </c>
      <c r="AH7" s="182">
        <v>81.223699999999994</v>
      </c>
      <c r="AI7" s="182">
        <v>2</v>
      </c>
      <c r="AJ7" s="182">
        <v>1.2461599999999999</v>
      </c>
      <c r="AK7" s="182">
        <v>5.4375399999999997E-2</v>
      </c>
      <c r="AL7" s="182"/>
      <c r="AM7" s="182"/>
      <c r="AN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F7" s="333"/>
    </row>
    <row r="8" spans="1:62">
      <c r="A8" s="148" t="s">
        <v>217</v>
      </c>
      <c r="B8" s="183" t="s">
        <v>312</v>
      </c>
      <c r="C8">
        <v>1.24</v>
      </c>
      <c r="D8" t="s">
        <v>310</v>
      </c>
      <c r="E8" t="s">
        <v>381</v>
      </c>
      <c r="F8">
        <v>8000</v>
      </c>
      <c r="G8">
        <v>1</v>
      </c>
      <c r="H8">
        <v>19.980499999999999</v>
      </c>
      <c r="I8">
        <v>5</v>
      </c>
      <c r="J8">
        <v>120</v>
      </c>
      <c r="K8">
        <v>122</v>
      </c>
      <c r="L8">
        <v>198.46100000000001</v>
      </c>
      <c r="M8">
        <v>45.564700000000002</v>
      </c>
      <c r="N8">
        <v>58.488599999999998</v>
      </c>
      <c r="O8">
        <v>58.488599999999998</v>
      </c>
      <c r="P8">
        <v>17.959299999999999</v>
      </c>
      <c r="Q8">
        <v>17.959299999999999</v>
      </c>
      <c r="S8">
        <f t="shared" si="1"/>
        <v>4.6447196738022427</v>
      </c>
      <c r="T8">
        <f t="shared" si="0"/>
        <v>5.9621406727828745</v>
      </c>
      <c r="U8">
        <f t="shared" si="0"/>
        <v>5.9621406727828745</v>
      </c>
      <c r="V8">
        <f t="shared" si="0"/>
        <v>1.8307135575942914</v>
      </c>
      <c r="W8">
        <f t="shared" si="0"/>
        <v>1.8307135575942914</v>
      </c>
      <c r="Z8">
        <v>11.004899999999999</v>
      </c>
      <c r="AA8" s="182">
        <v>3.74634</v>
      </c>
      <c r="AB8" s="182">
        <v>1.24878</v>
      </c>
      <c r="AC8" s="182">
        <v>4.6597600000000003</v>
      </c>
      <c r="AD8" s="182">
        <v>1.35</v>
      </c>
      <c r="AE8" s="182"/>
      <c r="AF8" s="182">
        <v>17.315000000000001</v>
      </c>
      <c r="AG8" s="182">
        <v>1</v>
      </c>
      <c r="AH8">
        <v>49.796700000000001</v>
      </c>
      <c r="AI8">
        <v>2</v>
      </c>
      <c r="AJ8" s="182">
        <v>0.67921799999999999</v>
      </c>
      <c r="AK8" s="182">
        <v>0.17180699999999999</v>
      </c>
      <c r="AL8" s="182"/>
      <c r="AM8" s="182"/>
      <c r="AN8" s="182"/>
      <c r="AO8" s="182"/>
      <c r="AP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H8" s="333"/>
    </row>
    <row r="9" spans="1:62">
      <c r="A9" s="148" t="s">
        <v>218</v>
      </c>
      <c r="B9" s="183" t="s">
        <v>311</v>
      </c>
      <c r="C9">
        <v>1.218</v>
      </c>
      <c r="D9" t="s">
        <v>310</v>
      </c>
      <c r="E9" t="s">
        <v>381</v>
      </c>
      <c r="F9">
        <v>0</v>
      </c>
      <c r="G9">
        <v>1</v>
      </c>
      <c r="H9">
        <v>17.808700000000002</v>
      </c>
      <c r="I9">
        <v>5</v>
      </c>
      <c r="J9">
        <v>74</v>
      </c>
      <c r="K9">
        <v>113</v>
      </c>
      <c r="L9">
        <v>375.30099999999999</v>
      </c>
      <c r="M9">
        <v>53.436599999999999</v>
      </c>
      <c r="N9">
        <v>151.45400000000001</v>
      </c>
      <c r="O9">
        <v>56.8033</v>
      </c>
      <c r="P9">
        <v>56.8033</v>
      </c>
      <c r="Q9">
        <v>56.8033</v>
      </c>
      <c r="S9">
        <f t="shared" si="1"/>
        <v>5.4471559633027518</v>
      </c>
      <c r="T9">
        <f t="shared" si="0"/>
        <v>15.438735983690112</v>
      </c>
      <c r="U9">
        <f t="shared" si="0"/>
        <v>5.7903465851172271</v>
      </c>
      <c r="V9">
        <f t="shared" si="0"/>
        <v>5.7903465851172271</v>
      </c>
      <c r="W9">
        <f t="shared" si="0"/>
        <v>5.7903465851172271</v>
      </c>
      <c r="Z9">
        <v>12.417400000000001</v>
      </c>
      <c r="AA9" s="182">
        <v>3.7913000000000001</v>
      </c>
      <c r="AB9" s="182">
        <v>6.0521700000000003</v>
      </c>
      <c r="AC9" s="182">
        <v>1.3217399999999999</v>
      </c>
      <c r="AD9" s="182">
        <v>1.25217</v>
      </c>
      <c r="AE9" s="182"/>
      <c r="AF9" s="182">
        <v>17.431699999999999</v>
      </c>
      <c r="AG9" s="182">
        <v>1</v>
      </c>
      <c r="AH9">
        <v>69.507900000000006</v>
      </c>
      <c r="AI9">
        <v>2</v>
      </c>
      <c r="AJ9" s="182">
        <v>1.2305699999999999</v>
      </c>
      <c r="AK9" s="182">
        <v>0.18096300000000001</v>
      </c>
      <c r="AL9" s="182"/>
      <c r="AM9" s="182"/>
      <c r="AN9" s="182"/>
      <c r="AO9" s="182"/>
      <c r="AP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H9" s="333"/>
    </row>
    <row r="10" spans="1:62">
      <c r="A10" s="148" t="s">
        <v>219</v>
      </c>
      <c r="B10" t="s">
        <v>313</v>
      </c>
      <c r="C10">
        <v>1.704</v>
      </c>
      <c r="D10" t="s">
        <v>310</v>
      </c>
      <c r="E10" t="s">
        <v>381</v>
      </c>
      <c r="F10">
        <v>8000</v>
      </c>
      <c r="G10">
        <v>1</v>
      </c>
      <c r="H10">
        <v>16.0627</v>
      </c>
      <c r="I10">
        <v>5</v>
      </c>
      <c r="J10">
        <v>117</v>
      </c>
      <c r="K10">
        <v>113</v>
      </c>
      <c r="L10">
        <v>389.32100000000003</v>
      </c>
      <c r="M10">
        <v>63.726500000000001</v>
      </c>
      <c r="N10">
        <v>156.084</v>
      </c>
      <c r="O10">
        <v>56.503700000000002</v>
      </c>
      <c r="P10">
        <v>56.503700000000002</v>
      </c>
      <c r="Q10">
        <v>56.503700000000002</v>
      </c>
      <c r="S10">
        <f t="shared" si="1"/>
        <v>6.4960754332313959</v>
      </c>
      <c r="T10">
        <f t="shared" si="0"/>
        <v>15.910703363914372</v>
      </c>
      <c r="U10">
        <f t="shared" si="0"/>
        <v>5.759806320081549</v>
      </c>
      <c r="V10">
        <f t="shared" si="0"/>
        <v>5.759806320081549</v>
      </c>
      <c r="W10">
        <f t="shared" si="0"/>
        <v>5.759806320081549</v>
      </c>
      <c r="Z10">
        <v>9.5058799999999994</v>
      </c>
      <c r="AA10" s="182">
        <v>3.76471</v>
      </c>
      <c r="AB10" s="182">
        <v>3.1676500000000001</v>
      </c>
      <c r="AC10" s="182">
        <v>1.35</v>
      </c>
      <c r="AD10" s="182">
        <v>1.22353</v>
      </c>
      <c r="AE10" s="182"/>
      <c r="AF10" s="182">
        <v>18</v>
      </c>
      <c r="AG10" s="182">
        <v>1</v>
      </c>
      <c r="AH10">
        <v>102.596</v>
      </c>
      <c r="AI10">
        <v>2</v>
      </c>
      <c r="AJ10" s="182">
        <v>1.7258599999999999</v>
      </c>
      <c r="AK10" s="182">
        <v>0.404696</v>
      </c>
      <c r="AL10" s="182"/>
      <c r="AM10" s="182"/>
      <c r="AN10" s="182"/>
      <c r="AO10" s="182"/>
      <c r="AP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H10" s="333"/>
    </row>
    <row r="11" spans="1:62">
      <c r="A11" s="148" t="s">
        <v>220</v>
      </c>
      <c r="B11" t="s">
        <v>220</v>
      </c>
      <c r="C11">
        <v>1.7290000000000001</v>
      </c>
      <c r="D11" t="s">
        <v>310</v>
      </c>
      <c r="E11" t="s">
        <v>381</v>
      </c>
      <c r="F11">
        <v>0</v>
      </c>
      <c r="G11">
        <v>1</v>
      </c>
      <c r="H11">
        <v>15.1144</v>
      </c>
      <c r="I11">
        <v>5</v>
      </c>
      <c r="J11">
        <v>113</v>
      </c>
      <c r="K11">
        <v>113</v>
      </c>
      <c r="L11">
        <v>379.36900000000003</v>
      </c>
      <c r="M11">
        <v>70.463499999999996</v>
      </c>
      <c r="N11">
        <v>105.071</v>
      </c>
      <c r="O11">
        <v>67.944800000000001</v>
      </c>
      <c r="P11">
        <v>67.944800000000001</v>
      </c>
      <c r="Q11">
        <v>67.944800000000001</v>
      </c>
      <c r="S11">
        <f t="shared" si="1"/>
        <v>7.1828236493374105</v>
      </c>
      <c r="T11">
        <f t="shared" si="0"/>
        <v>10.710601427115188</v>
      </c>
      <c r="U11">
        <f t="shared" si="0"/>
        <v>6.9260754332313965</v>
      </c>
      <c r="V11">
        <f t="shared" si="0"/>
        <v>6.9260754332313965</v>
      </c>
      <c r="W11">
        <f t="shared" si="0"/>
        <v>6.9260754332313965</v>
      </c>
      <c r="Z11">
        <v>12.2804</v>
      </c>
      <c r="AA11" s="182">
        <v>3.9557199999999999</v>
      </c>
      <c r="AB11" s="182">
        <v>5.7269399999999999</v>
      </c>
      <c r="AC11" s="182">
        <v>1.2693700000000001</v>
      </c>
      <c r="AD11" s="182">
        <v>1.3284100000000001</v>
      </c>
      <c r="AE11" s="182"/>
      <c r="AF11" s="182">
        <v>18.234999999999999</v>
      </c>
      <c r="AG11" s="182">
        <v>1</v>
      </c>
      <c r="AH11">
        <v>53.984200000000001</v>
      </c>
      <c r="AI11">
        <v>2</v>
      </c>
      <c r="AJ11" s="182">
        <v>1.38666</v>
      </c>
      <c r="AK11" s="182">
        <v>0.25203500000000001</v>
      </c>
      <c r="AL11" s="182"/>
      <c r="AM11" s="182"/>
      <c r="AN11" s="182"/>
      <c r="AO11" s="182"/>
      <c r="AP11" s="182"/>
      <c r="AX11" s="182"/>
      <c r="AY11" s="182"/>
      <c r="AZ11" s="182"/>
      <c r="BA11" s="182"/>
      <c r="BB11" s="182"/>
      <c r="BC11" s="182"/>
      <c r="BD11" s="182"/>
      <c r="BE11" s="182"/>
      <c r="BH11" s="333"/>
    </row>
    <row r="12" spans="1:62">
      <c r="A12" s="148" t="s">
        <v>221</v>
      </c>
      <c r="B12" t="s">
        <v>221</v>
      </c>
      <c r="C12">
        <v>1.732</v>
      </c>
      <c r="D12" t="s">
        <v>310</v>
      </c>
      <c r="E12" t="s">
        <v>381</v>
      </c>
      <c r="F12">
        <v>800000</v>
      </c>
      <c r="G12">
        <v>1</v>
      </c>
      <c r="H12">
        <v>15.3985</v>
      </c>
      <c r="I12">
        <v>5</v>
      </c>
      <c r="J12">
        <v>113</v>
      </c>
      <c r="K12">
        <v>113</v>
      </c>
      <c r="L12">
        <v>395.21</v>
      </c>
      <c r="M12">
        <v>83.546099999999996</v>
      </c>
      <c r="N12">
        <v>111.544</v>
      </c>
      <c r="O12">
        <v>66.706599999999995</v>
      </c>
      <c r="P12">
        <v>66.706599999999995</v>
      </c>
      <c r="Q12">
        <v>66.706599999999995</v>
      </c>
      <c r="S12">
        <f t="shared" si="1"/>
        <v>8.5164220183486226</v>
      </c>
      <c r="T12">
        <f t="shared" si="0"/>
        <v>11.370438328236492</v>
      </c>
      <c r="U12">
        <f t="shared" si="0"/>
        <v>6.7998572884811406</v>
      </c>
      <c r="V12">
        <f t="shared" si="0"/>
        <v>6.7998572884811406</v>
      </c>
      <c r="W12">
        <f t="shared" si="0"/>
        <v>6.7998572884811406</v>
      </c>
      <c r="Z12">
        <v>12.1203</v>
      </c>
      <c r="AA12" s="182">
        <v>3.9398499999999999</v>
      </c>
      <c r="AB12" s="182">
        <v>5.6541399999999999</v>
      </c>
      <c r="AC12" s="182">
        <v>1.32331</v>
      </c>
      <c r="AD12" s="182">
        <v>1.2030099999999999</v>
      </c>
      <c r="AE12" s="182"/>
      <c r="AF12" s="182">
        <v>18.351700000000001</v>
      </c>
      <c r="AG12" s="182">
        <v>1</v>
      </c>
      <c r="AH12">
        <v>58.866100000000003</v>
      </c>
      <c r="AI12">
        <v>2</v>
      </c>
      <c r="AJ12" s="182">
        <v>1.3748100000000001</v>
      </c>
      <c r="AK12" s="182">
        <v>0.27923700000000001</v>
      </c>
      <c r="AL12" s="182"/>
      <c r="AM12" s="182"/>
      <c r="AN12" s="182"/>
      <c r="AO12" s="182"/>
      <c r="AP12" s="182"/>
      <c r="AS12" s="182"/>
      <c r="AT12" s="182"/>
      <c r="AU12" s="182"/>
      <c r="AV12" s="182"/>
    </row>
    <row r="13" spans="1:62">
      <c r="A13" s="148" t="s">
        <v>222</v>
      </c>
      <c r="B13" s="183" t="s">
        <v>314</v>
      </c>
      <c r="C13">
        <v>1.248</v>
      </c>
      <c r="D13" t="s">
        <v>310</v>
      </c>
      <c r="E13" t="s">
        <v>381</v>
      </c>
      <c r="F13">
        <v>0</v>
      </c>
      <c r="G13">
        <v>1</v>
      </c>
      <c r="H13">
        <v>18.703199999999999</v>
      </c>
      <c r="I13">
        <v>5</v>
      </c>
      <c r="J13">
        <v>113</v>
      </c>
      <c r="K13">
        <v>113</v>
      </c>
      <c r="L13">
        <v>349.50400000000002</v>
      </c>
      <c r="M13">
        <v>74.900599999999997</v>
      </c>
      <c r="N13">
        <v>129.65700000000001</v>
      </c>
      <c r="O13">
        <v>48.315600000000003</v>
      </c>
      <c r="P13">
        <v>48.315600000000003</v>
      </c>
      <c r="Q13">
        <v>48.315600000000003</v>
      </c>
      <c r="S13">
        <f t="shared" si="1"/>
        <v>7.6351274209989803</v>
      </c>
      <c r="T13">
        <f t="shared" si="0"/>
        <v>13.216819571865443</v>
      </c>
      <c r="U13">
        <f t="shared" si="0"/>
        <v>4.9251376146788992</v>
      </c>
      <c r="V13">
        <f t="shared" si="0"/>
        <v>4.9251376146788992</v>
      </c>
      <c r="W13">
        <f t="shared" si="0"/>
        <v>4.9251376146788992</v>
      </c>
      <c r="Z13">
        <v>11.9087</v>
      </c>
      <c r="AA13" s="182">
        <v>3.6529699999999998</v>
      </c>
      <c r="AB13" s="182">
        <v>5.6986299999999996</v>
      </c>
      <c r="AC13" s="182">
        <v>1.31507</v>
      </c>
      <c r="AD13" s="182">
        <v>1.2420100000000001</v>
      </c>
      <c r="AE13" s="182"/>
      <c r="AF13" s="182">
        <v>18.399999999999999</v>
      </c>
      <c r="AG13" s="182">
        <v>1</v>
      </c>
      <c r="AH13">
        <v>51.073700000000002</v>
      </c>
      <c r="AI13">
        <v>2</v>
      </c>
      <c r="AJ13" s="182">
        <v>1.1099699999999999</v>
      </c>
      <c r="AK13" s="182">
        <v>0.22614200000000001</v>
      </c>
      <c r="AL13" s="182"/>
      <c r="AM13" s="182"/>
      <c r="AN13" s="182"/>
      <c r="AO13" s="182"/>
      <c r="AP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H13" s="333"/>
    </row>
    <row r="14" spans="1:62">
      <c r="A14" s="148" t="s">
        <v>282</v>
      </c>
      <c r="B14" t="s">
        <v>315</v>
      </c>
      <c r="C14">
        <v>1.84</v>
      </c>
      <c r="D14" t="s">
        <v>310</v>
      </c>
      <c r="E14" t="s">
        <v>381</v>
      </c>
      <c r="F14">
        <v>800001</v>
      </c>
      <c r="G14">
        <v>1</v>
      </c>
      <c r="H14">
        <v>11.1913</v>
      </c>
      <c r="I14">
        <v>5</v>
      </c>
      <c r="J14">
        <v>111</v>
      </c>
      <c r="K14">
        <v>113</v>
      </c>
      <c r="L14">
        <v>410.75700000000001</v>
      </c>
      <c r="M14">
        <v>43.764699999999998</v>
      </c>
      <c r="N14">
        <v>133.887</v>
      </c>
      <c r="O14">
        <v>77.701899999999995</v>
      </c>
      <c r="P14">
        <v>77.701899999999995</v>
      </c>
      <c r="Q14">
        <v>77.701899999999995</v>
      </c>
      <c r="S14">
        <f t="shared" si="1"/>
        <v>4.4612334352701319</v>
      </c>
      <c r="T14">
        <f t="shared" si="0"/>
        <v>13.648012232415901</v>
      </c>
      <c r="U14">
        <f t="shared" si="0"/>
        <v>7.9206829765545352</v>
      </c>
      <c r="V14">
        <f t="shared" si="0"/>
        <v>7.9206829765545352</v>
      </c>
      <c r="W14">
        <f t="shared" si="0"/>
        <v>7.9206829765545352</v>
      </c>
      <c r="Z14">
        <v>12.174899999999999</v>
      </c>
      <c r="AA14" s="182">
        <v>3.6721300000000001</v>
      </c>
      <c r="AB14" s="182">
        <v>5.9453500000000004</v>
      </c>
      <c r="AC14" s="182">
        <v>1.2459</v>
      </c>
      <c r="AD14" s="182">
        <v>1.31148</v>
      </c>
      <c r="AE14" s="182"/>
      <c r="AF14" s="182">
        <v>18.8</v>
      </c>
      <c r="AG14" s="182">
        <v>1</v>
      </c>
      <c r="AH14">
        <v>363.35300000000001</v>
      </c>
      <c r="AI14">
        <v>2</v>
      </c>
      <c r="AJ14">
        <v>1.5361899999999999</v>
      </c>
      <c r="AK14">
        <v>2.9782099999999999E-2</v>
      </c>
    </row>
    <row r="15" spans="1:62">
      <c r="A15" s="148" t="s">
        <v>223</v>
      </c>
      <c r="B15" t="s">
        <v>223</v>
      </c>
      <c r="C15">
        <v>1.474</v>
      </c>
      <c r="D15" t="s">
        <v>310</v>
      </c>
      <c r="E15" t="s">
        <v>381</v>
      </c>
      <c r="F15">
        <v>800000</v>
      </c>
      <c r="G15">
        <v>1</v>
      </c>
      <c r="H15">
        <v>15.7538</v>
      </c>
      <c r="I15">
        <v>5</v>
      </c>
      <c r="J15">
        <v>117</v>
      </c>
      <c r="K15">
        <v>113</v>
      </c>
      <c r="L15">
        <v>427.89600000000002</v>
      </c>
      <c r="M15">
        <v>63.616599999999998</v>
      </c>
      <c r="N15">
        <v>99.725700000000003</v>
      </c>
      <c r="O15">
        <v>88.1845</v>
      </c>
      <c r="P15">
        <v>88.1845</v>
      </c>
      <c r="Q15">
        <v>88.1845</v>
      </c>
      <c r="S15">
        <f t="shared" si="1"/>
        <v>6.4848725790010189</v>
      </c>
      <c r="T15">
        <f t="shared" si="0"/>
        <v>10.165718654434251</v>
      </c>
      <c r="U15">
        <f t="shared" si="0"/>
        <v>8.9892456676860348</v>
      </c>
      <c r="V15">
        <f t="shared" si="0"/>
        <v>8.9892456676860348</v>
      </c>
      <c r="W15">
        <f t="shared" si="0"/>
        <v>8.9892456676860348</v>
      </c>
      <c r="Z15">
        <v>9.3538499999999996</v>
      </c>
      <c r="AA15" s="182">
        <v>3.7230799999999999</v>
      </c>
      <c r="AB15" s="182">
        <v>2.9538500000000001</v>
      </c>
      <c r="AC15" s="182">
        <v>1.35385</v>
      </c>
      <c r="AD15" s="182">
        <v>1.32308</v>
      </c>
      <c r="AE15" s="182"/>
      <c r="AF15" s="182">
        <v>21.101700000000001</v>
      </c>
      <c r="AG15" s="182">
        <v>1</v>
      </c>
      <c r="AH15">
        <v>84.1327</v>
      </c>
      <c r="AI15">
        <v>2</v>
      </c>
      <c r="AJ15" s="182">
        <v>1.87524</v>
      </c>
      <c r="AK15" s="182">
        <v>0.36233399999999999</v>
      </c>
      <c r="AL15" s="182"/>
      <c r="AM15" s="182"/>
      <c r="AN15" s="182"/>
      <c r="AO15" s="182"/>
      <c r="AP15" s="182"/>
      <c r="AS15" s="182"/>
      <c r="AT15" s="182"/>
      <c r="AU15" s="182"/>
      <c r="AV15" s="182"/>
    </row>
    <row r="16" spans="1:62">
      <c r="A16" s="148" t="s">
        <v>224</v>
      </c>
      <c r="B16" t="s">
        <v>374</v>
      </c>
      <c r="C16">
        <v>0.11899999999999999</v>
      </c>
      <c r="D16" t="s">
        <v>310</v>
      </c>
      <c r="E16" t="s">
        <v>381</v>
      </c>
      <c r="F16">
        <v>1800001</v>
      </c>
      <c r="G16">
        <v>1</v>
      </c>
      <c r="H16">
        <v>11.505599999999999</v>
      </c>
      <c r="I16">
        <v>5</v>
      </c>
      <c r="J16">
        <v>122</v>
      </c>
      <c r="K16">
        <v>122</v>
      </c>
      <c r="L16">
        <v>410.03699999999998</v>
      </c>
      <c r="M16">
        <v>61.340200000000003</v>
      </c>
      <c r="N16">
        <v>69.261499999999998</v>
      </c>
      <c r="O16">
        <v>69.261499999999998</v>
      </c>
      <c r="P16">
        <v>105.087</v>
      </c>
      <c r="Q16">
        <v>105.087</v>
      </c>
      <c r="S16">
        <f t="shared" si="1"/>
        <v>6.2528236493374107</v>
      </c>
      <c r="T16">
        <f t="shared" si="0"/>
        <v>7.0602956167176343</v>
      </c>
      <c r="U16">
        <f t="shared" si="0"/>
        <v>7.0602956167176343</v>
      </c>
      <c r="V16">
        <f t="shared" si="0"/>
        <v>10.71223241590214</v>
      </c>
      <c r="W16">
        <f t="shared" si="0"/>
        <v>10.71223241590214</v>
      </c>
      <c r="Z16">
        <v>9.5280900000000006</v>
      </c>
      <c r="AA16" s="182">
        <v>3.4831500000000002</v>
      </c>
      <c r="AB16" s="182">
        <v>1.4157299999999999</v>
      </c>
      <c r="AC16" s="182">
        <v>3.2359499999999999</v>
      </c>
      <c r="AD16" s="182">
        <v>1.3932599999999999</v>
      </c>
      <c r="AE16" s="182"/>
      <c r="AF16" s="182">
        <v>21.195</v>
      </c>
      <c r="AG16" s="182">
        <v>1</v>
      </c>
      <c r="AH16">
        <v>130.92400000000001</v>
      </c>
      <c r="AI16">
        <v>2</v>
      </c>
      <c r="AJ16">
        <v>2.7195200000000002</v>
      </c>
      <c r="AK16">
        <v>0.37243100000000001</v>
      </c>
    </row>
    <row r="17" spans="1:60">
      <c r="A17" s="148" t="s">
        <v>225</v>
      </c>
      <c r="B17" t="s">
        <v>225</v>
      </c>
      <c r="C17">
        <v>1.641</v>
      </c>
      <c r="D17" t="s">
        <v>310</v>
      </c>
      <c r="E17" t="s">
        <v>381</v>
      </c>
      <c r="F17">
        <v>0</v>
      </c>
      <c r="G17">
        <v>1</v>
      </c>
      <c r="H17">
        <v>18.618200000000002</v>
      </c>
      <c r="I17">
        <v>5</v>
      </c>
      <c r="J17">
        <v>111</v>
      </c>
      <c r="K17">
        <v>113</v>
      </c>
      <c r="L17">
        <v>340.38799999999998</v>
      </c>
      <c r="M17">
        <v>53.085299999999997</v>
      </c>
      <c r="N17">
        <v>115.732</v>
      </c>
      <c r="O17">
        <v>57.19</v>
      </c>
      <c r="P17">
        <v>57.19</v>
      </c>
      <c r="Q17">
        <v>57.19</v>
      </c>
      <c r="S17">
        <f t="shared" si="1"/>
        <v>5.4113455657492349</v>
      </c>
      <c r="T17">
        <f t="shared" si="0"/>
        <v>11.797349643221203</v>
      </c>
      <c r="U17">
        <f t="shared" si="0"/>
        <v>5.8297655453618749</v>
      </c>
      <c r="V17">
        <f t="shared" si="0"/>
        <v>5.8297655453618749</v>
      </c>
      <c r="W17">
        <f t="shared" si="0"/>
        <v>5.8297655453618749</v>
      </c>
      <c r="Z17">
        <v>12.327299999999999</v>
      </c>
      <c r="AA17" s="182">
        <v>3.8181799999999999</v>
      </c>
      <c r="AB17" s="182">
        <v>5.92727</v>
      </c>
      <c r="AC17" s="182">
        <v>1.2363599999999999</v>
      </c>
      <c r="AD17" s="182">
        <v>1.34545</v>
      </c>
      <c r="AE17" s="182"/>
      <c r="AF17" s="182">
        <v>21.3</v>
      </c>
      <c r="AG17" s="182">
        <v>1</v>
      </c>
      <c r="AH17">
        <v>102.934</v>
      </c>
      <c r="AI17">
        <v>2</v>
      </c>
      <c r="AJ17" s="182">
        <v>0.906856</v>
      </c>
      <c r="AK17" s="182">
        <v>-5.5781999999999998E-2</v>
      </c>
      <c r="AL17" s="182"/>
      <c r="AM17" s="182"/>
      <c r="AN17" s="182"/>
      <c r="AO17" s="182"/>
      <c r="AP17" s="182"/>
      <c r="AW17" s="182"/>
      <c r="AX17" s="182"/>
      <c r="AY17" s="182"/>
      <c r="AZ17" s="182"/>
      <c r="BA17" s="182"/>
      <c r="BB17" s="182"/>
      <c r="BC17" s="182"/>
      <c r="BD17" s="182"/>
      <c r="BE17" s="182"/>
      <c r="BH17" s="333"/>
    </row>
    <row r="18" spans="1:60">
      <c r="A18" s="148" t="s">
        <v>226</v>
      </c>
      <c r="B18" t="s">
        <v>226</v>
      </c>
      <c r="C18">
        <v>1.143</v>
      </c>
      <c r="D18" t="s">
        <v>310</v>
      </c>
      <c r="E18" t="s">
        <v>381</v>
      </c>
      <c r="F18">
        <v>1</v>
      </c>
      <c r="G18">
        <v>1</v>
      </c>
      <c r="H18">
        <v>12.082599999999999</v>
      </c>
      <c r="I18">
        <v>5</v>
      </c>
      <c r="J18">
        <v>110</v>
      </c>
      <c r="K18">
        <v>113</v>
      </c>
      <c r="L18">
        <v>335.84199999999998</v>
      </c>
      <c r="M18">
        <v>55.786799999999999</v>
      </c>
      <c r="N18">
        <v>111.31699999999999</v>
      </c>
      <c r="O18">
        <v>56.246099999999998</v>
      </c>
      <c r="P18">
        <v>56.246099999999998</v>
      </c>
      <c r="Q18">
        <v>56.246099999999998</v>
      </c>
      <c r="S18">
        <f t="shared" si="1"/>
        <v>5.6867278287461769</v>
      </c>
      <c r="T18">
        <f t="shared" ref="T18:T37" si="2">N18/9.81</f>
        <v>11.347298674821609</v>
      </c>
      <c r="U18">
        <f t="shared" ref="U18:U37" si="3">O18/9.81</f>
        <v>5.73354740061162</v>
      </c>
      <c r="V18">
        <f t="shared" ref="V18:V37" si="4">P18/9.81</f>
        <v>5.73354740061162</v>
      </c>
      <c r="W18">
        <f t="shared" ref="W18:W37" si="5">Q18/9.81</f>
        <v>5.73354740061162</v>
      </c>
      <c r="Z18">
        <v>9.4159299999999995</v>
      </c>
      <c r="AA18" s="182">
        <v>3.7286100000000002</v>
      </c>
      <c r="AB18" s="182">
        <v>3.44543</v>
      </c>
      <c r="AC18" s="182">
        <v>1.1327400000000001</v>
      </c>
      <c r="AD18" s="182">
        <v>1.10914</v>
      </c>
      <c r="AE18" s="182"/>
      <c r="AF18" s="182">
        <v>21.378299999999999</v>
      </c>
      <c r="AG18" s="182">
        <v>1</v>
      </c>
      <c r="AH18">
        <v>106.85599999999999</v>
      </c>
      <c r="AI18">
        <v>2</v>
      </c>
      <c r="AJ18">
        <v>1.97871</v>
      </c>
      <c r="AK18">
        <v>0.68735000000000002</v>
      </c>
      <c r="AW18" s="182"/>
      <c r="AX18" s="182"/>
      <c r="AY18" s="182"/>
      <c r="AZ18" s="182"/>
      <c r="BA18" s="182"/>
      <c r="BB18" s="182"/>
      <c r="BC18" s="182"/>
      <c r="BD18" s="182"/>
      <c r="BE18" s="182"/>
      <c r="BH18" s="333"/>
    </row>
    <row r="19" spans="1:60">
      <c r="A19" s="148" t="s">
        <v>227</v>
      </c>
      <c r="B19" t="s">
        <v>227</v>
      </c>
      <c r="C19">
        <v>2.3090000000000002</v>
      </c>
      <c r="D19" t="s">
        <v>310</v>
      </c>
      <c r="E19" t="s">
        <v>381</v>
      </c>
      <c r="F19">
        <v>1</v>
      </c>
      <c r="G19">
        <v>1</v>
      </c>
      <c r="H19">
        <v>12.154299999999999</v>
      </c>
      <c r="I19">
        <v>5</v>
      </c>
      <c r="J19">
        <v>110</v>
      </c>
      <c r="K19">
        <v>113</v>
      </c>
      <c r="L19">
        <v>380.86200000000002</v>
      </c>
      <c r="M19">
        <v>58.044600000000003</v>
      </c>
      <c r="N19">
        <v>101.867</v>
      </c>
      <c r="O19">
        <v>73.649900000000002</v>
      </c>
      <c r="P19">
        <v>73.649900000000002</v>
      </c>
      <c r="Q19">
        <v>73.649900000000002</v>
      </c>
      <c r="S19">
        <f t="shared" si="1"/>
        <v>5.9168807339449545</v>
      </c>
      <c r="T19">
        <f t="shared" si="2"/>
        <v>10.383995922528033</v>
      </c>
      <c r="U19">
        <f t="shared" si="3"/>
        <v>7.5076350662589197</v>
      </c>
      <c r="V19">
        <f t="shared" si="4"/>
        <v>7.5076350662589197</v>
      </c>
      <c r="W19">
        <f t="shared" si="5"/>
        <v>7.5076350662589197</v>
      </c>
      <c r="Z19">
        <v>8.9258199999999999</v>
      </c>
      <c r="AA19">
        <v>3.7269999999999999</v>
      </c>
      <c r="AB19">
        <v>2.7537099999999999</v>
      </c>
      <c r="AC19">
        <v>1.21068</v>
      </c>
      <c r="AD19">
        <v>1.2344200000000001</v>
      </c>
      <c r="AF19">
        <v>21.434999999999999</v>
      </c>
      <c r="AG19">
        <v>1</v>
      </c>
      <c r="AH19">
        <v>149.65100000000001</v>
      </c>
      <c r="AI19">
        <v>2</v>
      </c>
      <c r="AJ19">
        <v>2.1630400000000001</v>
      </c>
      <c r="AK19">
        <v>0.81639399999999995</v>
      </c>
    </row>
    <row r="20" spans="1:60">
      <c r="A20" s="148" t="s">
        <v>228</v>
      </c>
      <c r="B20" t="s">
        <v>228</v>
      </c>
      <c r="C20">
        <v>1.22</v>
      </c>
      <c r="D20" t="s">
        <v>310</v>
      </c>
      <c r="E20" t="s">
        <v>381</v>
      </c>
      <c r="F20">
        <v>800000</v>
      </c>
      <c r="G20">
        <v>1</v>
      </c>
      <c r="H20">
        <v>15.6935</v>
      </c>
      <c r="I20">
        <v>5</v>
      </c>
      <c r="J20">
        <v>113</v>
      </c>
      <c r="K20">
        <v>113</v>
      </c>
      <c r="L20">
        <v>420.88299999999998</v>
      </c>
      <c r="M20">
        <v>66.131100000000004</v>
      </c>
      <c r="N20">
        <v>125.04300000000001</v>
      </c>
      <c r="O20">
        <v>76.569500000000005</v>
      </c>
      <c r="P20">
        <v>76.569500000000005</v>
      </c>
      <c r="Q20">
        <v>76.569500000000005</v>
      </c>
      <c r="S20">
        <f t="shared" si="1"/>
        <v>6.7411926605504586</v>
      </c>
      <c r="T20">
        <f t="shared" si="2"/>
        <v>12.746483180428134</v>
      </c>
      <c r="U20">
        <f t="shared" si="3"/>
        <v>7.8052497451580019</v>
      </c>
      <c r="V20">
        <f t="shared" si="4"/>
        <v>7.8052497451580019</v>
      </c>
      <c r="W20">
        <f t="shared" si="5"/>
        <v>7.8052497451580019</v>
      </c>
      <c r="Z20">
        <v>11.8314</v>
      </c>
      <c r="AA20" s="182">
        <v>3.8620700000000001</v>
      </c>
      <c r="AB20" s="182">
        <v>5.3639799999999997</v>
      </c>
      <c r="AC20" s="182">
        <v>1.2873600000000001</v>
      </c>
      <c r="AD20" s="182">
        <v>1.3180099999999999</v>
      </c>
      <c r="AE20" s="182"/>
      <c r="AF20" s="182">
        <v>21.531700000000001</v>
      </c>
      <c r="AG20" s="182">
        <v>1</v>
      </c>
      <c r="AH20">
        <v>72.545000000000002</v>
      </c>
      <c r="AI20">
        <v>2</v>
      </c>
      <c r="AJ20" s="182">
        <v>1.45875</v>
      </c>
      <c r="AK20" s="182">
        <v>0.24618200000000001</v>
      </c>
      <c r="AL20" s="182"/>
      <c r="AM20" s="182"/>
      <c r="AN20" s="182"/>
      <c r="AO20" s="182"/>
      <c r="AP20" s="182"/>
      <c r="AW20" s="182"/>
      <c r="AX20" s="182"/>
      <c r="AY20" s="182"/>
      <c r="AZ20" s="182"/>
      <c r="BA20" s="182"/>
      <c r="BB20" s="182"/>
      <c r="BC20" s="182"/>
      <c r="BD20" s="182"/>
      <c r="BE20" s="182"/>
      <c r="BH20" s="333"/>
    </row>
    <row r="21" spans="1:60">
      <c r="A21" s="148" t="s">
        <v>229</v>
      </c>
      <c r="B21" t="s">
        <v>229</v>
      </c>
      <c r="C21">
        <v>1.6970000000000001</v>
      </c>
      <c r="D21" t="s">
        <v>310</v>
      </c>
      <c r="E21" t="s">
        <v>381</v>
      </c>
      <c r="F21">
        <v>0</v>
      </c>
      <c r="G21">
        <v>1</v>
      </c>
      <c r="H21">
        <v>16.582999999999998</v>
      </c>
      <c r="I21">
        <v>5</v>
      </c>
      <c r="J21">
        <v>113</v>
      </c>
      <c r="K21">
        <v>113</v>
      </c>
      <c r="L21">
        <v>392.19900000000001</v>
      </c>
      <c r="M21">
        <v>63.4621</v>
      </c>
      <c r="N21">
        <v>107.18899999999999</v>
      </c>
      <c r="O21">
        <v>73.849299999999999</v>
      </c>
      <c r="P21">
        <v>73.849299999999999</v>
      </c>
      <c r="Q21">
        <v>73.849299999999999</v>
      </c>
      <c r="S21">
        <f t="shared" si="1"/>
        <v>6.4691233435270128</v>
      </c>
      <c r="T21">
        <f t="shared" si="2"/>
        <v>10.92650356778797</v>
      </c>
      <c r="U21">
        <f t="shared" si="3"/>
        <v>7.5279612640163096</v>
      </c>
      <c r="V21">
        <f t="shared" si="4"/>
        <v>7.5279612640163096</v>
      </c>
      <c r="W21">
        <f t="shared" si="5"/>
        <v>7.5279612640163096</v>
      </c>
      <c r="Z21">
        <v>12.4696</v>
      </c>
      <c r="AA21">
        <v>3.8866399999999999</v>
      </c>
      <c r="AB21">
        <v>5.92713</v>
      </c>
      <c r="AC21">
        <v>1.36032</v>
      </c>
      <c r="AD21">
        <v>1.29555</v>
      </c>
      <c r="AF21">
        <v>21.618300000000001</v>
      </c>
      <c r="AG21">
        <v>1</v>
      </c>
      <c r="AH21">
        <v>62.024299999999997</v>
      </c>
      <c r="AI21">
        <v>2</v>
      </c>
      <c r="AJ21">
        <v>1.2154199999999999</v>
      </c>
      <c r="AK21">
        <v>0.19572100000000001</v>
      </c>
    </row>
    <row r="22" spans="1:60">
      <c r="A22" s="148" t="s">
        <v>230</v>
      </c>
      <c r="B22" t="s">
        <v>230</v>
      </c>
      <c r="C22">
        <v>1.7150000000000001</v>
      </c>
      <c r="D22" t="s">
        <v>310</v>
      </c>
      <c r="E22" t="s">
        <v>381</v>
      </c>
      <c r="F22">
        <v>0</v>
      </c>
      <c r="G22">
        <v>1</v>
      </c>
      <c r="H22">
        <v>16.718399999999999</v>
      </c>
      <c r="I22">
        <v>5</v>
      </c>
      <c r="J22">
        <v>111</v>
      </c>
      <c r="K22">
        <v>113</v>
      </c>
      <c r="L22">
        <v>307.04300000000001</v>
      </c>
      <c r="M22">
        <v>60.177100000000003</v>
      </c>
      <c r="N22">
        <v>109.071</v>
      </c>
      <c r="O22">
        <v>45.9315</v>
      </c>
      <c r="P22">
        <v>45.9315</v>
      </c>
      <c r="Q22">
        <v>45.9315</v>
      </c>
      <c r="S22">
        <f t="shared" si="1"/>
        <v>6.1342609582059122</v>
      </c>
      <c r="T22">
        <f t="shared" si="2"/>
        <v>11.11834862385321</v>
      </c>
      <c r="U22">
        <f t="shared" si="3"/>
        <v>4.6821100917431187</v>
      </c>
      <c r="V22">
        <f t="shared" si="4"/>
        <v>4.6821100917431187</v>
      </c>
      <c r="W22">
        <f t="shared" si="5"/>
        <v>4.6821100917431187</v>
      </c>
      <c r="Z22">
        <v>12.0816</v>
      </c>
      <c r="AA22" s="182">
        <v>3.9183699999999999</v>
      </c>
      <c r="AB22" s="182">
        <v>5.6163299999999996</v>
      </c>
      <c r="AC22" s="182">
        <v>1.24082</v>
      </c>
      <c r="AD22" s="182">
        <v>1.3061199999999999</v>
      </c>
      <c r="AE22" s="182"/>
      <c r="AF22" s="182">
        <v>21.89</v>
      </c>
      <c r="AG22" s="182">
        <v>1</v>
      </c>
      <c r="AH22">
        <v>41.752600000000001</v>
      </c>
      <c r="AI22">
        <v>2</v>
      </c>
      <c r="AJ22" s="182">
        <v>0.968719</v>
      </c>
      <c r="AK22" s="182">
        <v>0.130857</v>
      </c>
      <c r="AL22" s="182"/>
      <c r="AM22" s="182"/>
      <c r="AN22" s="182"/>
      <c r="AO22" s="182"/>
      <c r="AP22" s="182"/>
      <c r="AS22" s="182"/>
      <c r="AT22" s="182"/>
      <c r="AU22" s="182"/>
      <c r="AV22" s="182"/>
    </row>
    <row r="23" spans="1:60">
      <c r="A23" s="148" t="s">
        <v>231</v>
      </c>
      <c r="B23" s="183" t="s">
        <v>316</v>
      </c>
      <c r="C23">
        <v>1.64</v>
      </c>
      <c r="D23" t="s">
        <v>310</v>
      </c>
      <c r="E23" t="s">
        <v>381</v>
      </c>
      <c r="F23">
        <v>0</v>
      </c>
      <c r="G23">
        <v>1</v>
      </c>
      <c r="H23">
        <v>21.445</v>
      </c>
      <c r="I23">
        <v>5</v>
      </c>
      <c r="J23">
        <v>113</v>
      </c>
      <c r="K23">
        <v>113</v>
      </c>
      <c r="L23">
        <v>145.001</v>
      </c>
      <c r="M23">
        <v>67.657300000000006</v>
      </c>
      <c r="N23">
        <v>31.1127</v>
      </c>
      <c r="O23">
        <v>15.410500000000001</v>
      </c>
      <c r="P23">
        <v>15.410500000000001</v>
      </c>
      <c r="Q23">
        <v>15.410500000000001</v>
      </c>
      <c r="S23">
        <f t="shared" si="1"/>
        <v>6.8967686034658513</v>
      </c>
      <c r="T23">
        <f t="shared" si="2"/>
        <v>3.1715290519877675</v>
      </c>
      <c r="U23">
        <f t="shared" si="3"/>
        <v>1.5708970438328236</v>
      </c>
      <c r="V23">
        <f t="shared" si="4"/>
        <v>1.5708970438328236</v>
      </c>
      <c r="W23">
        <f t="shared" si="5"/>
        <v>1.5708970438328236</v>
      </c>
      <c r="Z23">
        <v>11.979100000000001</v>
      </c>
      <c r="AA23" s="182">
        <v>3.8115199999999998</v>
      </c>
      <c r="AB23" s="182">
        <v>5.48691</v>
      </c>
      <c r="AC23" s="182">
        <v>1.42408</v>
      </c>
      <c r="AD23" s="182">
        <v>1.25654</v>
      </c>
      <c r="AE23" s="182"/>
      <c r="AF23" s="182">
        <v>22</v>
      </c>
      <c r="AG23" s="182">
        <v>1</v>
      </c>
      <c r="AH23">
        <v>14.703200000000001</v>
      </c>
      <c r="AI23">
        <v>2</v>
      </c>
      <c r="AJ23" s="182">
        <v>0.33986899999999998</v>
      </c>
      <c r="AK23" s="182">
        <v>7.3621599999999995E-2</v>
      </c>
      <c r="AL23" s="182"/>
      <c r="AM23" s="182"/>
      <c r="AN23" s="182"/>
      <c r="AO23" s="182"/>
      <c r="AP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H23" s="333"/>
    </row>
    <row r="24" spans="1:60">
      <c r="A24" s="148" t="s">
        <v>232</v>
      </c>
      <c r="B24" s="183" t="s">
        <v>232</v>
      </c>
      <c r="C24">
        <v>1.4890000000000001</v>
      </c>
      <c r="D24" t="s">
        <v>310</v>
      </c>
      <c r="E24" t="s">
        <v>381</v>
      </c>
      <c r="F24">
        <v>0</v>
      </c>
      <c r="G24">
        <v>1</v>
      </c>
      <c r="H24">
        <v>17.7316</v>
      </c>
      <c r="I24">
        <v>5</v>
      </c>
      <c r="J24">
        <v>74</v>
      </c>
      <c r="K24">
        <v>113</v>
      </c>
      <c r="L24">
        <v>346.98200000000003</v>
      </c>
      <c r="M24">
        <v>45.985500000000002</v>
      </c>
      <c r="N24">
        <v>111.319</v>
      </c>
      <c r="O24">
        <v>63.2256</v>
      </c>
      <c r="P24">
        <v>63.2256</v>
      </c>
      <c r="Q24">
        <v>63.2256</v>
      </c>
      <c r="S24">
        <f t="shared" si="1"/>
        <v>4.6876146788990827</v>
      </c>
      <c r="T24">
        <f t="shared" si="2"/>
        <v>11.34750254841998</v>
      </c>
      <c r="U24">
        <f t="shared" si="3"/>
        <v>6.4450152905198772</v>
      </c>
      <c r="V24">
        <f t="shared" si="4"/>
        <v>6.4450152905198772</v>
      </c>
      <c r="W24">
        <f t="shared" si="5"/>
        <v>6.4450152905198772</v>
      </c>
      <c r="Z24">
        <v>12.467499999999999</v>
      </c>
      <c r="AA24" s="182">
        <v>3.84416</v>
      </c>
      <c r="AB24" s="182">
        <v>6.02597</v>
      </c>
      <c r="AC24" s="182">
        <v>1.31602</v>
      </c>
      <c r="AD24" s="182">
        <v>1.28139</v>
      </c>
      <c r="AE24" s="182"/>
      <c r="AF24" s="182">
        <v>22.1617</v>
      </c>
      <c r="AG24" s="182">
        <v>1</v>
      </c>
      <c r="AH24">
        <v>83.456199999999995</v>
      </c>
      <c r="AI24">
        <v>2</v>
      </c>
      <c r="AJ24" s="182">
        <v>1.0412600000000001</v>
      </c>
      <c r="AK24" s="182">
        <v>7.65454E-2</v>
      </c>
      <c r="AL24" s="182"/>
      <c r="AM24" s="182"/>
      <c r="AN24" s="182"/>
      <c r="AO24" s="182"/>
      <c r="AP24" s="182"/>
      <c r="AS24" s="182"/>
      <c r="AT24" s="182"/>
      <c r="AU24" s="182"/>
      <c r="AV24" s="182"/>
    </row>
    <row r="25" spans="1:60">
      <c r="A25" s="148" t="s">
        <v>233</v>
      </c>
      <c r="B25" t="s">
        <v>233</v>
      </c>
      <c r="C25">
        <v>1.4730000000000001</v>
      </c>
      <c r="D25" t="s">
        <v>310</v>
      </c>
      <c r="E25" t="s">
        <v>381</v>
      </c>
      <c r="F25">
        <v>800</v>
      </c>
      <c r="G25">
        <v>1</v>
      </c>
      <c r="H25">
        <v>19.883500000000002</v>
      </c>
      <c r="I25">
        <v>5</v>
      </c>
      <c r="J25">
        <v>113</v>
      </c>
      <c r="K25">
        <v>113</v>
      </c>
      <c r="L25">
        <v>302.18</v>
      </c>
      <c r="M25">
        <v>76.929000000000002</v>
      </c>
      <c r="N25">
        <v>124.22</v>
      </c>
      <c r="O25">
        <v>33.677199999999999</v>
      </c>
      <c r="P25">
        <v>33.677199999999999</v>
      </c>
      <c r="Q25">
        <v>33.677199999999999</v>
      </c>
      <c r="S25">
        <f t="shared" si="1"/>
        <v>7.8418960244648312</v>
      </c>
      <c r="T25">
        <f t="shared" si="2"/>
        <v>12.662589194699287</v>
      </c>
      <c r="U25">
        <f t="shared" si="3"/>
        <v>3.432945973496432</v>
      </c>
      <c r="V25">
        <f t="shared" si="4"/>
        <v>3.432945973496432</v>
      </c>
      <c r="W25">
        <f t="shared" si="5"/>
        <v>3.432945973496432</v>
      </c>
      <c r="Z25">
        <v>12.233000000000001</v>
      </c>
      <c r="AA25">
        <v>3.8446600000000002</v>
      </c>
      <c r="AB25">
        <v>5.82524</v>
      </c>
      <c r="AC25">
        <v>1.32039</v>
      </c>
      <c r="AD25">
        <v>1.24272</v>
      </c>
      <c r="AF25">
        <v>22.225000000000001</v>
      </c>
      <c r="AG25">
        <v>1</v>
      </c>
      <c r="AH25">
        <v>70.857399999999998</v>
      </c>
      <c r="AI25">
        <v>2</v>
      </c>
      <c r="AJ25">
        <v>0.88090800000000002</v>
      </c>
      <c r="AK25">
        <v>8.8275199999999998E-2</v>
      </c>
    </row>
    <row r="26" spans="1:60">
      <c r="A26" s="148" t="s">
        <v>234</v>
      </c>
      <c r="B26" t="s">
        <v>234</v>
      </c>
      <c r="C26">
        <v>1.4610000000000001</v>
      </c>
      <c r="D26" t="s">
        <v>310</v>
      </c>
      <c r="E26" t="s">
        <v>381</v>
      </c>
      <c r="F26">
        <v>0</v>
      </c>
      <c r="G26">
        <v>1</v>
      </c>
      <c r="H26">
        <v>21.903700000000001</v>
      </c>
      <c r="I26">
        <v>5</v>
      </c>
      <c r="J26">
        <v>74</v>
      </c>
      <c r="K26">
        <v>113</v>
      </c>
      <c r="L26">
        <v>254.45699999999999</v>
      </c>
      <c r="M26">
        <v>53.485900000000001</v>
      </c>
      <c r="N26">
        <v>73.767499999999998</v>
      </c>
      <c r="O26">
        <v>42.4011</v>
      </c>
      <c r="P26">
        <v>42.4011</v>
      </c>
      <c r="Q26">
        <v>42.4011</v>
      </c>
      <c r="S26">
        <f t="shared" si="1"/>
        <v>5.4521814475025483</v>
      </c>
      <c r="T26">
        <f t="shared" si="2"/>
        <v>7.5196228338430169</v>
      </c>
      <c r="U26">
        <f t="shared" si="3"/>
        <v>4.3222324159021408</v>
      </c>
      <c r="V26">
        <f t="shared" si="4"/>
        <v>4.3222324159021408</v>
      </c>
      <c r="W26">
        <f t="shared" si="5"/>
        <v>4.3222324159021408</v>
      </c>
      <c r="Z26">
        <v>12.449199999999999</v>
      </c>
      <c r="AA26" s="182">
        <v>3.72193</v>
      </c>
      <c r="AB26" s="182">
        <v>6.0320900000000002</v>
      </c>
      <c r="AC26" s="182">
        <v>1.3689800000000001</v>
      </c>
      <c r="AD26" s="182">
        <v>1.3262</v>
      </c>
      <c r="AE26" s="182"/>
      <c r="AF26" s="182">
        <v>22.295000000000002</v>
      </c>
      <c r="AG26" s="182">
        <v>1</v>
      </c>
      <c r="AH26">
        <v>37.372</v>
      </c>
      <c r="AI26">
        <v>2</v>
      </c>
      <c r="AJ26" s="182">
        <v>0.58024200000000004</v>
      </c>
      <c r="AK26" s="182">
        <v>2.4418499999999999E-2</v>
      </c>
      <c r="AL26" s="182"/>
      <c r="AM26" s="182"/>
      <c r="AN26" s="182"/>
      <c r="AO26" s="182"/>
      <c r="AP26" s="182"/>
      <c r="AS26" s="182"/>
      <c r="AT26" s="182"/>
      <c r="AU26" s="182"/>
      <c r="AV26" s="182"/>
    </row>
    <row r="27" spans="1:60">
      <c r="A27" s="148" t="s">
        <v>235</v>
      </c>
      <c r="B27" t="s">
        <v>235</v>
      </c>
      <c r="C27">
        <v>0.93700000000000006</v>
      </c>
      <c r="D27" t="s">
        <v>310</v>
      </c>
      <c r="E27" t="s">
        <v>381</v>
      </c>
      <c r="F27">
        <v>1</v>
      </c>
      <c r="G27">
        <v>1</v>
      </c>
      <c r="H27">
        <v>14.3719</v>
      </c>
      <c r="I27">
        <v>5</v>
      </c>
      <c r="J27">
        <v>117</v>
      </c>
      <c r="K27">
        <v>113</v>
      </c>
      <c r="L27">
        <v>360.19099999999997</v>
      </c>
      <c r="M27">
        <v>39.489699999999999</v>
      </c>
      <c r="N27">
        <v>107.566</v>
      </c>
      <c r="O27">
        <v>71.045000000000002</v>
      </c>
      <c r="P27">
        <v>71.045000000000002</v>
      </c>
      <c r="Q27">
        <v>71.045000000000002</v>
      </c>
      <c r="S27">
        <f t="shared" si="1"/>
        <v>4.0254536187563712</v>
      </c>
      <c r="T27">
        <f t="shared" si="2"/>
        <v>10.964933741080531</v>
      </c>
      <c r="U27">
        <f t="shared" si="3"/>
        <v>7.2420998980632003</v>
      </c>
      <c r="V27">
        <f t="shared" si="4"/>
        <v>7.2420998980632003</v>
      </c>
      <c r="W27">
        <f t="shared" si="5"/>
        <v>7.2420998980632003</v>
      </c>
      <c r="Z27">
        <v>10.1053</v>
      </c>
      <c r="AA27">
        <v>3.70526</v>
      </c>
      <c r="AB27">
        <v>3.8456100000000002</v>
      </c>
      <c r="AC27">
        <v>1.2912300000000001</v>
      </c>
      <c r="AD27">
        <v>1.2631600000000001</v>
      </c>
      <c r="AF27">
        <v>22.333300000000001</v>
      </c>
      <c r="AG27">
        <v>1</v>
      </c>
      <c r="AH27">
        <v>379.10700000000003</v>
      </c>
      <c r="AI27">
        <v>2</v>
      </c>
      <c r="AJ27">
        <v>1.2119200000000001</v>
      </c>
      <c r="AK27">
        <v>-0.37232500000000002</v>
      </c>
    </row>
    <row r="28" spans="1:60">
      <c r="A28" s="148" t="s">
        <v>236</v>
      </c>
      <c r="B28" t="s">
        <v>236</v>
      </c>
      <c r="C28">
        <v>1.69</v>
      </c>
      <c r="D28" t="s">
        <v>310</v>
      </c>
      <c r="E28" t="s">
        <v>381</v>
      </c>
      <c r="F28">
        <v>0</v>
      </c>
      <c r="G28">
        <v>1</v>
      </c>
      <c r="H28">
        <v>17.282699999999998</v>
      </c>
      <c r="I28">
        <v>5</v>
      </c>
      <c r="J28">
        <v>74</v>
      </c>
      <c r="K28">
        <v>113</v>
      </c>
      <c r="L28">
        <v>258.79000000000002</v>
      </c>
      <c r="M28">
        <v>58.336599999999997</v>
      </c>
      <c r="N28">
        <v>69.573300000000003</v>
      </c>
      <c r="O28">
        <v>43.626600000000003</v>
      </c>
      <c r="P28">
        <v>43.626600000000003</v>
      </c>
      <c r="Q28">
        <v>43.626600000000003</v>
      </c>
      <c r="S28">
        <f t="shared" si="1"/>
        <v>5.9466462793068295</v>
      </c>
      <c r="T28">
        <f t="shared" si="2"/>
        <v>7.0920795107033641</v>
      </c>
      <c r="U28">
        <f t="shared" si="3"/>
        <v>4.4471559633027526</v>
      </c>
      <c r="V28">
        <f t="shared" si="4"/>
        <v>4.4471559633027526</v>
      </c>
      <c r="W28">
        <f t="shared" si="5"/>
        <v>4.4471559633027526</v>
      </c>
      <c r="Z28">
        <v>12.4557</v>
      </c>
      <c r="AA28" s="182">
        <v>3.8481000000000001</v>
      </c>
      <c r="AB28" s="182">
        <v>6.0084400000000002</v>
      </c>
      <c r="AC28" s="182">
        <v>1.31646</v>
      </c>
      <c r="AD28" s="182">
        <v>1.2827</v>
      </c>
      <c r="AE28" s="182"/>
      <c r="AF28" s="182">
        <v>22.5</v>
      </c>
      <c r="AG28" s="182">
        <v>1</v>
      </c>
      <c r="AH28">
        <v>38.749600000000001</v>
      </c>
      <c r="AI28">
        <v>2</v>
      </c>
      <c r="AJ28">
        <v>0.71490500000000001</v>
      </c>
      <c r="AK28">
        <v>6.58662E-2</v>
      </c>
    </row>
    <row r="29" spans="1:60">
      <c r="A29" s="148" t="s">
        <v>237</v>
      </c>
      <c r="B29" t="s">
        <v>237</v>
      </c>
      <c r="C29">
        <v>1.6779999999999999</v>
      </c>
      <c r="D29" t="s">
        <v>310</v>
      </c>
      <c r="E29" t="s">
        <v>381</v>
      </c>
      <c r="F29">
        <v>0</v>
      </c>
      <c r="G29">
        <v>1</v>
      </c>
      <c r="H29">
        <v>17.886500000000002</v>
      </c>
      <c r="I29">
        <v>5</v>
      </c>
      <c r="J29">
        <v>111</v>
      </c>
      <c r="K29">
        <v>113</v>
      </c>
      <c r="L29">
        <v>365.01</v>
      </c>
      <c r="M29">
        <v>47.910200000000003</v>
      </c>
      <c r="N29">
        <v>124.72799999999999</v>
      </c>
      <c r="O29">
        <v>64.123900000000006</v>
      </c>
      <c r="P29">
        <v>64.123900000000006</v>
      </c>
      <c r="Q29">
        <v>64.123900000000006</v>
      </c>
      <c r="S29">
        <f t="shared" si="1"/>
        <v>4.8838124362895003</v>
      </c>
      <c r="T29">
        <f t="shared" si="2"/>
        <v>12.714373088685013</v>
      </c>
      <c r="U29">
        <f t="shared" si="3"/>
        <v>6.5365851172273191</v>
      </c>
      <c r="V29">
        <f t="shared" si="4"/>
        <v>6.5365851172273191</v>
      </c>
      <c r="W29">
        <f t="shared" si="5"/>
        <v>6.5365851172273191</v>
      </c>
      <c r="Z29">
        <v>11.5284</v>
      </c>
      <c r="AA29" s="182">
        <v>3.7379899999999999</v>
      </c>
      <c r="AB29" s="182">
        <v>5.24017</v>
      </c>
      <c r="AC29" s="182">
        <v>1.18777</v>
      </c>
      <c r="AD29" s="182">
        <v>1.3624499999999999</v>
      </c>
      <c r="AE29" s="182"/>
      <c r="AF29" s="182">
        <v>22.5</v>
      </c>
      <c r="AG29" s="182">
        <v>1</v>
      </c>
      <c r="AH29">
        <v>107.056</v>
      </c>
      <c r="AI29">
        <v>2</v>
      </c>
      <c r="AJ29">
        <v>1.12629</v>
      </c>
      <c r="AK29">
        <v>0.33119700000000002</v>
      </c>
      <c r="AW29" s="182"/>
      <c r="AX29" s="182"/>
      <c r="AY29" s="182"/>
      <c r="AZ29" s="182"/>
      <c r="BA29" s="182"/>
      <c r="BB29" s="182"/>
      <c r="BC29" s="182"/>
      <c r="BD29" s="182"/>
      <c r="BE29" s="182"/>
      <c r="BH29" s="333"/>
    </row>
    <row r="30" spans="1:60">
      <c r="A30" s="148" t="s">
        <v>238</v>
      </c>
      <c r="B30" t="s">
        <v>238</v>
      </c>
      <c r="C30">
        <v>1.7230000000000001</v>
      </c>
      <c r="D30" t="s">
        <v>310</v>
      </c>
      <c r="E30" t="s">
        <v>381</v>
      </c>
      <c r="F30">
        <v>0</v>
      </c>
      <c r="G30">
        <v>1</v>
      </c>
      <c r="H30">
        <v>15.8147</v>
      </c>
      <c r="I30">
        <v>5</v>
      </c>
      <c r="J30">
        <v>111</v>
      </c>
      <c r="K30">
        <v>113</v>
      </c>
      <c r="L30">
        <v>345.363</v>
      </c>
      <c r="M30">
        <v>63.246699999999997</v>
      </c>
      <c r="N30">
        <v>120.884</v>
      </c>
      <c r="O30">
        <v>53.744199999999999</v>
      </c>
      <c r="P30">
        <v>53.744199999999999</v>
      </c>
      <c r="Q30">
        <v>53.744199999999999</v>
      </c>
      <c r="S30">
        <f t="shared" si="1"/>
        <v>6.4471661569826697</v>
      </c>
      <c r="T30">
        <f t="shared" si="2"/>
        <v>12.322528032619775</v>
      </c>
      <c r="U30">
        <f t="shared" si="3"/>
        <v>5.4785117227319056</v>
      </c>
      <c r="V30">
        <f t="shared" si="4"/>
        <v>5.4785117227319056</v>
      </c>
      <c r="W30">
        <f t="shared" si="5"/>
        <v>5.4785117227319056</v>
      </c>
      <c r="Z30">
        <v>12.077199999999999</v>
      </c>
      <c r="AA30" s="182">
        <v>3.8918900000000001</v>
      </c>
      <c r="AB30" s="182">
        <v>5.5907299999999998</v>
      </c>
      <c r="AC30" s="182">
        <v>1.23552</v>
      </c>
      <c r="AD30" s="182">
        <v>1.35907</v>
      </c>
      <c r="AE30" s="182"/>
      <c r="AF30" s="182">
        <v>22.594999999999999</v>
      </c>
      <c r="AG30" s="182">
        <v>1</v>
      </c>
      <c r="AH30">
        <v>150.48699999999999</v>
      </c>
      <c r="AI30">
        <v>2</v>
      </c>
      <c r="AJ30" s="182">
        <v>1.1447799999999999</v>
      </c>
      <c r="AK30" s="182">
        <v>0.45219999999999999</v>
      </c>
      <c r="AL30" s="182"/>
      <c r="AM30" s="182"/>
      <c r="AN30" s="182"/>
      <c r="AO30" s="182"/>
      <c r="AP30" s="182"/>
      <c r="AS30" s="182"/>
      <c r="AT30" s="182"/>
      <c r="AU30" s="182"/>
      <c r="AV30" s="182"/>
    </row>
    <row r="31" spans="1:60">
      <c r="A31" s="148" t="s">
        <v>239</v>
      </c>
      <c r="B31" s="183" t="s">
        <v>317</v>
      </c>
      <c r="C31">
        <v>1.196</v>
      </c>
      <c r="D31" t="s">
        <v>310</v>
      </c>
      <c r="E31" t="s">
        <v>381</v>
      </c>
      <c r="F31">
        <v>800000</v>
      </c>
      <c r="G31">
        <v>1</v>
      </c>
      <c r="H31">
        <v>15.170400000000001</v>
      </c>
      <c r="I31">
        <v>5</v>
      </c>
      <c r="J31">
        <v>111</v>
      </c>
      <c r="K31">
        <v>113</v>
      </c>
      <c r="L31">
        <v>419.60199999999998</v>
      </c>
      <c r="M31">
        <v>49.263300000000001</v>
      </c>
      <c r="N31">
        <v>146.40100000000001</v>
      </c>
      <c r="O31">
        <v>74.646100000000004</v>
      </c>
      <c r="P31">
        <v>74.646100000000004</v>
      </c>
      <c r="Q31">
        <v>74.646100000000004</v>
      </c>
      <c r="S31">
        <f t="shared" si="1"/>
        <v>5.0217431192660547</v>
      </c>
      <c r="T31">
        <f t="shared" si="2"/>
        <v>14.923649337410806</v>
      </c>
      <c r="U31">
        <f t="shared" si="3"/>
        <v>7.6091845056065237</v>
      </c>
      <c r="V31">
        <f t="shared" si="4"/>
        <v>7.6091845056065237</v>
      </c>
      <c r="W31">
        <f t="shared" si="5"/>
        <v>7.6091845056065237</v>
      </c>
      <c r="Z31">
        <v>12.2667</v>
      </c>
      <c r="AA31" s="182">
        <v>3.9111099999999999</v>
      </c>
      <c r="AB31" s="182">
        <v>5.7185199999999998</v>
      </c>
      <c r="AC31" s="182">
        <v>1.24444</v>
      </c>
      <c r="AD31" s="182">
        <v>1.39259</v>
      </c>
      <c r="AE31" s="182"/>
      <c r="AF31" s="182">
        <v>22.675000000000001</v>
      </c>
      <c r="AG31" s="182">
        <v>1</v>
      </c>
      <c r="AH31">
        <v>118.712</v>
      </c>
      <c r="AI31">
        <v>2</v>
      </c>
      <c r="AJ31" s="182">
        <v>1.47889</v>
      </c>
      <c r="AK31" s="182">
        <v>0.27376299999999998</v>
      </c>
      <c r="AL31" s="182"/>
      <c r="AM31" s="182"/>
      <c r="AN31" s="182"/>
      <c r="AO31" s="182"/>
      <c r="AP31" s="182"/>
      <c r="AS31" s="182"/>
      <c r="AT31" s="182"/>
      <c r="AU31" s="182"/>
      <c r="AV31" s="182"/>
    </row>
    <row r="32" spans="1:60">
      <c r="A32" s="148" t="s">
        <v>240</v>
      </c>
      <c r="B32" t="s">
        <v>318</v>
      </c>
      <c r="C32">
        <v>3.8140000000000001</v>
      </c>
      <c r="D32" t="s">
        <v>310</v>
      </c>
      <c r="E32" t="s">
        <v>381</v>
      </c>
      <c r="F32">
        <v>0</v>
      </c>
      <c r="G32">
        <v>1</v>
      </c>
      <c r="H32">
        <v>18.533899999999999</v>
      </c>
      <c r="I32">
        <v>3</v>
      </c>
      <c r="J32">
        <v>56</v>
      </c>
      <c r="K32">
        <v>12</v>
      </c>
      <c r="L32">
        <v>194.327</v>
      </c>
      <c r="M32">
        <v>85.932900000000004</v>
      </c>
      <c r="N32">
        <v>54.197099999999999</v>
      </c>
      <c r="O32">
        <v>54.197099999999999</v>
      </c>
      <c r="S32">
        <f t="shared" si="1"/>
        <v>8.759724770642201</v>
      </c>
      <c r="T32">
        <f t="shared" si="2"/>
        <v>5.5246788990825682</v>
      </c>
      <c r="U32">
        <f t="shared" si="3"/>
        <v>5.5246788990825682</v>
      </c>
      <c r="Z32">
        <v>7.6742100000000004</v>
      </c>
      <c r="AA32">
        <v>6.2986399999999998</v>
      </c>
      <c r="AB32">
        <v>1.37557</v>
      </c>
      <c r="AF32" s="182">
        <v>22.715</v>
      </c>
      <c r="AG32" s="182">
        <v>1</v>
      </c>
      <c r="AH32" s="182">
        <v>46.543599999999998</v>
      </c>
      <c r="AI32" s="182">
        <v>2</v>
      </c>
      <c r="AJ32" s="182">
        <v>0.46712100000000001</v>
      </c>
      <c r="AK32" s="182">
        <v>0.10029</v>
      </c>
    </row>
    <row r="33" spans="1:37">
      <c r="A33" s="148" t="s">
        <v>241</v>
      </c>
      <c r="B33" t="s">
        <v>319</v>
      </c>
      <c r="C33">
        <v>1.621</v>
      </c>
      <c r="D33" t="s">
        <v>310</v>
      </c>
      <c r="E33" t="s">
        <v>381</v>
      </c>
      <c r="F33">
        <v>0</v>
      </c>
      <c r="G33">
        <v>1</v>
      </c>
      <c r="H33">
        <v>22.140499999999999</v>
      </c>
      <c r="I33">
        <v>5</v>
      </c>
      <c r="J33">
        <v>113</v>
      </c>
      <c r="K33">
        <v>113</v>
      </c>
      <c r="L33">
        <v>287.31200000000001</v>
      </c>
      <c r="M33">
        <v>72.804299999999998</v>
      </c>
      <c r="N33">
        <v>92.9238</v>
      </c>
      <c r="O33">
        <v>40.527799999999999</v>
      </c>
      <c r="P33">
        <v>40.527799999999999</v>
      </c>
      <c r="Q33">
        <v>40.527799999999999</v>
      </c>
      <c r="S33">
        <f t="shared" si="1"/>
        <v>7.4214373088685006</v>
      </c>
      <c r="T33">
        <f t="shared" si="2"/>
        <v>9.4723547400611618</v>
      </c>
      <c r="U33">
        <f t="shared" si="3"/>
        <v>4.1312742099898063</v>
      </c>
      <c r="V33">
        <f t="shared" si="4"/>
        <v>4.1312742099898063</v>
      </c>
      <c r="W33">
        <f t="shared" si="5"/>
        <v>4.1312742099898063</v>
      </c>
      <c r="Z33">
        <v>12.1081</v>
      </c>
      <c r="AA33">
        <v>3.8054100000000002</v>
      </c>
      <c r="AB33">
        <v>5.7081099999999996</v>
      </c>
      <c r="AC33">
        <v>1.2972999999999999</v>
      </c>
      <c r="AD33">
        <v>1.2972999999999999</v>
      </c>
      <c r="AF33">
        <v>22.941700000000001</v>
      </c>
      <c r="AG33">
        <v>1</v>
      </c>
      <c r="AH33">
        <v>43.521500000000003</v>
      </c>
      <c r="AI33">
        <v>2</v>
      </c>
      <c r="AJ33">
        <v>0.71479899999999996</v>
      </c>
      <c r="AK33">
        <v>9.6237400000000001E-2</v>
      </c>
    </row>
    <row r="34" spans="1:37">
      <c r="A34" s="148" t="s">
        <v>242</v>
      </c>
      <c r="B34" t="s">
        <v>242</v>
      </c>
      <c r="C34">
        <v>1.595</v>
      </c>
      <c r="D34" t="s">
        <v>310</v>
      </c>
      <c r="E34" t="s">
        <v>381</v>
      </c>
      <c r="F34">
        <v>0</v>
      </c>
      <c r="G34">
        <v>1</v>
      </c>
      <c r="H34">
        <v>24.824200000000001</v>
      </c>
      <c r="I34">
        <v>5</v>
      </c>
      <c r="J34">
        <v>111</v>
      </c>
      <c r="K34">
        <v>113</v>
      </c>
      <c r="L34">
        <v>164.61600000000001</v>
      </c>
      <c r="M34">
        <v>52.859000000000002</v>
      </c>
      <c r="N34">
        <v>49.551299999999998</v>
      </c>
      <c r="O34">
        <v>20.735099999999999</v>
      </c>
      <c r="P34">
        <v>20.735099999999999</v>
      </c>
      <c r="Q34">
        <v>20.735099999999999</v>
      </c>
      <c r="S34">
        <f t="shared" si="1"/>
        <v>5.3882772680937814</v>
      </c>
      <c r="T34">
        <f t="shared" si="2"/>
        <v>5.0511009174311923</v>
      </c>
      <c r="U34">
        <f t="shared" si="3"/>
        <v>2.113669724770642</v>
      </c>
      <c r="V34">
        <f t="shared" si="4"/>
        <v>2.113669724770642</v>
      </c>
      <c r="W34">
        <f t="shared" si="5"/>
        <v>2.113669724770642</v>
      </c>
      <c r="Z34">
        <v>12.2182</v>
      </c>
      <c r="AA34">
        <v>3.92727</v>
      </c>
      <c r="AB34">
        <v>5.7697000000000003</v>
      </c>
      <c r="AC34">
        <v>1.2121200000000001</v>
      </c>
      <c r="AD34">
        <v>1.3090900000000001</v>
      </c>
      <c r="AF34">
        <v>23.1083</v>
      </c>
      <c r="AG34">
        <v>1</v>
      </c>
      <c r="AH34">
        <v>21.467199999999998</v>
      </c>
      <c r="AI34">
        <v>2</v>
      </c>
      <c r="AJ34">
        <v>0.30124000000000001</v>
      </c>
      <c r="AK34">
        <v>4.5165999999999998E-2</v>
      </c>
    </row>
    <row r="35" spans="1:37">
      <c r="A35" s="148" t="s">
        <v>243</v>
      </c>
      <c r="B35" t="s">
        <v>243</v>
      </c>
      <c r="C35">
        <v>1.7030000000000001</v>
      </c>
      <c r="D35" t="s">
        <v>310</v>
      </c>
      <c r="E35" t="s">
        <v>381</v>
      </c>
      <c r="F35">
        <v>0</v>
      </c>
      <c r="G35">
        <v>1</v>
      </c>
      <c r="H35">
        <v>17.282699999999998</v>
      </c>
      <c r="I35">
        <v>5</v>
      </c>
      <c r="J35">
        <v>81</v>
      </c>
      <c r="K35">
        <v>122</v>
      </c>
      <c r="L35">
        <v>254.541</v>
      </c>
      <c r="M35">
        <v>59.612299999999998</v>
      </c>
      <c r="N35">
        <v>54.433199999999999</v>
      </c>
      <c r="O35">
        <v>54.433199999999999</v>
      </c>
      <c r="P35">
        <v>43.031300000000002</v>
      </c>
      <c r="Q35">
        <v>43.031300000000002</v>
      </c>
      <c r="S35">
        <f t="shared" si="1"/>
        <v>6.076687054026503</v>
      </c>
      <c r="T35">
        <f t="shared" si="2"/>
        <v>5.5487461773700302</v>
      </c>
      <c r="U35">
        <f t="shared" si="3"/>
        <v>5.5487461773700302</v>
      </c>
      <c r="V35">
        <f t="shared" si="4"/>
        <v>4.386472986748216</v>
      </c>
      <c r="W35">
        <f t="shared" si="5"/>
        <v>4.386472986748216</v>
      </c>
      <c r="Z35">
        <v>14.548500000000001</v>
      </c>
      <c r="AA35">
        <v>5.2995799999999997</v>
      </c>
      <c r="AB35">
        <v>1.3502099999999999</v>
      </c>
      <c r="AC35">
        <v>6.3122400000000001</v>
      </c>
      <c r="AD35">
        <v>1.5865</v>
      </c>
      <c r="AF35">
        <v>23.1783</v>
      </c>
      <c r="AG35">
        <v>1</v>
      </c>
      <c r="AH35">
        <v>132.667</v>
      </c>
      <c r="AI35">
        <v>2</v>
      </c>
      <c r="AJ35">
        <v>0.70883499999999999</v>
      </c>
      <c r="AK35">
        <v>5.4691799999999999E-2</v>
      </c>
    </row>
    <row r="36" spans="1:37">
      <c r="A36" s="148" t="s">
        <v>244</v>
      </c>
      <c r="B36" t="s">
        <v>320</v>
      </c>
      <c r="C36">
        <v>1.508</v>
      </c>
      <c r="D36" t="s">
        <v>310</v>
      </c>
      <c r="E36" t="s">
        <v>381</v>
      </c>
      <c r="F36">
        <v>0</v>
      </c>
      <c r="G36">
        <v>1</v>
      </c>
      <c r="H36">
        <v>16.925599999999999</v>
      </c>
      <c r="I36">
        <v>5</v>
      </c>
      <c r="J36">
        <v>113</v>
      </c>
      <c r="K36">
        <v>113</v>
      </c>
      <c r="L36">
        <v>381.27800000000002</v>
      </c>
      <c r="M36">
        <v>66.827799999999996</v>
      </c>
      <c r="N36">
        <v>106.83</v>
      </c>
      <c r="O36">
        <v>69.206699999999998</v>
      </c>
      <c r="P36">
        <v>69.206699999999998</v>
      </c>
      <c r="Q36">
        <v>69.206699999999998</v>
      </c>
      <c r="S36">
        <f t="shared" si="1"/>
        <v>6.8122120285423033</v>
      </c>
      <c r="T36">
        <f t="shared" si="2"/>
        <v>10.889908256880734</v>
      </c>
      <c r="U36">
        <f t="shared" si="3"/>
        <v>7.054709480122324</v>
      </c>
      <c r="V36">
        <f t="shared" si="4"/>
        <v>7.054709480122324</v>
      </c>
      <c r="W36">
        <f t="shared" si="5"/>
        <v>7.054709480122324</v>
      </c>
      <c r="Z36">
        <v>12.1983</v>
      </c>
      <c r="AA36">
        <v>3.60331</v>
      </c>
      <c r="AB36">
        <v>5.9834699999999996</v>
      </c>
      <c r="AC36">
        <v>1.3223100000000001</v>
      </c>
      <c r="AD36">
        <v>1.2892600000000001</v>
      </c>
      <c r="AF36">
        <v>23.1783</v>
      </c>
      <c r="AG36">
        <v>1</v>
      </c>
      <c r="AH36">
        <v>71.094300000000004</v>
      </c>
      <c r="AI36">
        <v>2</v>
      </c>
      <c r="AJ36">
        <v>1.1381399999999999</v>
      </c>
      <c r="AK36">
        <v>0.103883</v>
      </c>
    </row>
    <row r="37" spans="1:37">
      <c r="A37" s="148" t="s">
        <v>245</v>
      </c>
      <c r="B37" t="s">
        <v>245</v>
      </c>
      <c r="C37">
        <v>1.518</v>
      </c>
      <c r="D37" t="s">
        <v>310</v>
      </c>
      <c r="E37" t="s">
        <v>381</v>
      </c>
      <c r="F37">
        <v>0</v>
      </c>
      <c r="G37">
        <v>1</v>
      </c>
      <c r="H37">
        <v>14.894500000000001</v>
      </c>
      <c r="I37">
        <v>5</v>
      </c>
      <c r="J37">
        <v>73</v>
      </c>
      <c r="K37">
        <v>1121</v>
      </c>
      <c r="L37">
        <v>366.26499999999999</v>
      </c>
      <c r="M37">
        <v>61.973500000000001</v>
      </c>
      <c r="N37">
        <v>115.395</v>
      </c>
      <c r="O37">
        <v>62.965600000000002</v>
      </c>
      <c r="P37">
        <v>62.965600000000002</v>
      </c>
      <c r="Q37">
        <v>62.965600000000002</v>
      </c>
      <c r="S37">
        <f t="shared" si="1"/>
        <v>6.3173802242609582</v>
      </c>
      <c r="T37">
        <f t="shared" si="2"/>
        <v>11.762996941896024</v>
      </c>
      <c r="U37">
        <f t="shared" si="3"/>
        <v>6.418511722731906</v>
      </c>
      <c r="V37">
        <f t="shared" si="4"/>
        <v>6.418511722731906</v>
      </c>
      <c r="W37">
        <f t="shared" si="5"/>
        <v>6.418511722731906</v>
      </c>
      <c r="Z37">
        <v>12.3927</v>
      </c>
      <c r="AA37" s="182">
        <v>3.8109099999999998</v>
      </c>
      <c r="AB37" s="182">
        <v>5.44</v>
      </c>
      <c r="AC37" s="182">
        <v>1.3090900000000001</v>
      </c>
      <c r="AD37" s="182">
        <v>1.83273</v>
      </c>
      <c r="AE37" s="182"/>
      <c r="AF37" s="182">
        <v>22.805</v>
      </c>
      <c r="AG37" s="182">
        <v>1</v>
      </c>
      <c r="AH37">
        <v>97.234999999999999</v>
      </c>
      <c r="AI37">
        <v>2</v>
      </c>
      <c r="AJ37">
        <v>1.33175</v>
      </c>
      <c r="AK37">
        <v>0.10823099999999999</v>
      </c>
    </row>
  </sheetData>
  <sortState ref="B2:XFD52">
    <sortCondition ref="B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B0F0"/>
    <pageSetUpPr fitToPage="1"/>
  </sheetPr>
  <dimension ref="A1:CI87"/>
  <sheetViews>
    <sheetView topLeftCell="A3" zoomScaleNormal="100" workbookViewId="0">
      <pane xSplit="1" ySplit="9" topLeftCell="AB12" activePane="bottomRight" state="frozen"/>
      <selection activeCell="A3" sqref="A3"/>
      <selection pane="topRight" activeCell="B3" sqref="B3"/>
      <selection pane="bottomLeft" activeCell="A12" sqref="A12"/>
      <selection pane="bottomRight" activeCell="BK9" sqref="BK9"/>
    </sheetView>
  </sheetViews>
  <sheetFormatPr baseColWidth="10" defaultColWidth="11.5703125" defaultRowHeight="12.75"/>
  <cols>
    <col min="1" max="1" width="19.28515625" bestFit="1" customWidth="1"/>
    <col min="2" max="2" width="15.42578125" bestFit="1" customWidth="1"/>
    <col min="3" max="3" width="13.85546875" hidden="1" customWidth="1"/>
    <col min="4" max="4" width="9.7109375" customWidth="1"/>
    <col min="5" max="5" width="4.140625" customWidth="1"/>
    <col min="6" max="6" width="3.140625" hidden="1" customWidth="1"/>
    <col min="7" max="7" width="4" hidden="1" customWidth="1"/>
    <col min="8" max="8" width="4.85546875" hidden="1" customWidth="1"/>
    <col min="9" max="9" width="6.85546875" bestFit="1" customWidth="1"/>
    <col min="10" max="10" width="4.42578125" bestFit="1" customWidth="1"/>
    <col min="11" max="11" width="4.140625" hidden="1" customWidth="1"/>
    <col min="12" max="12" width="9.140625" customWidth="1"/>
    <col min="13" max="13" width="3.7109375" customWidth="1"/>
    <col min="14" max="15" width="3.5703125" customWidth="1"/>
    <col min="16" max="16" width="3.42578125" customWidth="1"/>
    <col min="17" max="17" width="4.42578125" customWidth="1"/>
    <col min="18" max="18" width="3.85546875" customWidth="1"/>
    <col min="19" max="19" width="3.7109375" hidden="1" customWidth="1"/>
    <col min="20" max="21" width="3.42578125" hidden="1" customWidth="1"/>
    <col min="22" max="22" width="2.85546875" bestFit="1" customWidth="1"/>
    <col min="23" max="23" width="5.28515625" customWidth="1"/>
    <col min="24" max="29" width="5.7109375" customWidth="1"/>
    <col min="30" max="30" width="5.7109375" hidden="1" customWidth="1"/>
    <col min="31" max="32" width="5" hidden="1" customWidth="1"/>
    <col min="33" max="33" width="7" customWidth="1"/>
    <col min="34" max="34" width="6.7109375" customWidth="1"/>
    <col min="35" max="35" width="7.140625" hidden="1" customWidth="1"/>
    <col min="36" max="36" width="6.5703125" hidden="1" customWidth="1"/>
    <col min="37" max="37" width="7.28515625" customWidth="1"/>
    <col min="38" max="42" width="5.140625" customWidth="1"/>
    <col min="43" max="43" width="4.7109375" customWidth="1"/>
    <col min="44" max="46" width="4.7109375" hidden="1" customWidth="1"/>
    <col min="47" max="48" width="4.85546875" bestFit="1" customWidth="1"/>
    <col min="49" max="49" width="6.140625" hidden="1" customWidth="1"/>
    <col min="50" max="50" width="3.85546875" hidden="1" customWidth="1"/>
    <col min="51" max="63" width="6.85546875" customWidth="1"/>
    <col min="64" max="65" width="12.7109375" hidden="1" customWidth="1"/>
    <col min="66" max="66" width="6.7109375" customWidth="1"/>
    <col min="67" max="67" width="4" bestFit="1" customWidth="1"/>
  </cols>
  <sheetData>
    <row r="1" spans="1:87" s="77" customFormat="1" ht="11.25"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6"/>
    </row>
    <row r="2" spans="1:87" s="77" customFormat="1" ht="15">
      <c r="W2" s="78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</row>
    <row r="3" spans="1:87" s="77" customFormat="1" ht="24" customHeight="1">
      <c r="B3" s="153" t="s">
        <v>0</v>
      </c>
      <c r="C3" s="406" t="s">
        <v>283</v>
      </c>
      <c r="D3" s="406"/>
      <c r="E3" s="406"/>
      <c r="F3" s="406"/>
      <c r="G3" s="406"/>
      <c r="H3" s="406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Z3" s="421" t="s">
        <v>202</v>
      </c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3"/>
      <c r="AQ3" s="421" t="s">
        <v>196</v>
      </c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3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</row>
    <row r="4" spans="1:87" s="77" customFormat="1" ht="12.75" customHeight="1">
      <c r="B4" s="153" t="s">
        <v>1</v>
      </c>
      <c r="C4" s="406" t="s">
        <v>284</v>
      </c>
      <c r="D4" s="406"/>
      <c r="E4" s="406"/>
      <c r="F4" s="406"/>
      <c r="G4" s="406"/>
      <c r="H4" s="406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H4" s="66"/>
      <c r="BI4" s="6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I4" s="77" t="s">
        <v>373</v>
      </c>
    </row>
    <row r="5" spans="1:87" s="77" customFormat="1" ht="12.75" customHeight="1">
      <c r="B5" s="153" t="s">
        <v>7</v>
      </c>
      <c r="C5" s="406" t="s">
        <v>201</v>
      </c>
      <c r="D5" s="406"/>
      <c r="E5" s="406"/>
      <c r="F5" s="406"/>
      <c r="G5" s="406"/>
      <c r="H5" s="406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COUNTIF($L$12:$L$48,"&gt;0,9")</f>
        <v>18</v>
      </c>
      <c r="AI5" s="117">
        <f t="array" ref="AI5">COUNT(IF($L$12:$L$48&gt;0.9,IF($M$12:$U$48&gt;=0,$M$12:$U$48,"")))</f>
        <v>91</v>
      </c>
      <c r="AJ5" s="80">
        <f t="array" ref="AJ5">COUNT(IF($L$12:$L$48&gt;0.9,IF($M$12:$U$48&gt;=1,$M$12:$U$48,"")))</f>
        <v>56</v>
      </c>
      <c r="AK5" s="80">
        <f t="array" ref="AK5">COUNT(IF($L$12:$L$48&gt;0.9,IF($AG$12:$AJ$48&gt;0,$AG$12:$AJ$48,"")))</f>
        <v>20</v>
      </c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COUNT(AY12:AY48)</f>
        <v>29</v>
      </c>
      <c r="AZ5" s="80">
        <f>COUNT(AZ12:BD47,0)</f>
        <v>54</v>
      </c>
      <c r="BA5" s="80">
        <f>COUNT(BE12:BI47,0)</f>
        <v>85</v>
      </c>
      <c r="BB5" s="80">
        <f>COUNT($BJ$12:$BM$48)</f>
        <v>32</v>
      </c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I5" s="77" t="s">
        <v>334</v>
      </c>
    </row>
    <row r="6" spans="1:87" s="77" customFormat="1" ht="12.75" customHeight="1">
      <c r="B6" s="153" t="s">
        <v>354</v>
      </c>
      <c r="C6" s="406">
        <v>41</v>
      </c>
      <c r="D6" s="406"/>
      <c r="E6" s="406"/>
      <c r="F6" s="406"/>
      <c r="G6" s="406"/>
      <c r="H6" s="406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AVERAGEIF($L$12:$L$48,"&gt;0,9",$AY$12:$AY$48)</f>
        <v>-2.3408949090867881E-2</v>
      </c>
      <c r="AI6" s="115">
        <f t="array" ref="AI6">AVERAGE(IF($L$12:$L$48&gt;0.9,IF($M$12:$U$47=0,$AZ$12:$BH$48,"")))</f>
        <v>-1.616843178645495E-2</v>
      </c>
      <c r="AJ6" s="115">
        <f t="array" ref="AJ6">AVERAGE(IF($L$12:$L$48&gt;0.9,IF($M$12:$U$47&gt;=1,$AZ$12:$BH$48,"")))</f>
        <v>-3.2228923858334299E-2</v>
      </c>
      <c r="AK6" s="115">
        <f t="array" ref="AK6">AVERAGE(IF($L$12:$L$48&gt;0.9,IF($AG$12:$AJ$48&gt;0,$BJ$12:$BM$48,"")))</f>
        <v>-4.5017633936958269E-2</v>
      </c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AVERAGE($AY$12:$AY$48)</f>
        <v>-4.7447305853616324E-3</v>
      </c>
      <c r="AZ6" s="115">
        <f>AVERAGE(AZ12:BD48)</f>
        <v>1.3934692679043391E-2</v>
      </c>
      <c r="BA6" s="115">
        <f>AVERAGE(BE12:BI48)</f>
        <v>-1.7425981336629308E-2</v>
      </c>
      <c r="BB6" s="115">
        <f>AVERAGEIF($AG$12:$AJ$48,"&gt;0",$BJ$12:$BM$48)</f>
        <v>-2.6418593676913571E-2</v>
      </c>
      <c r="BK6" s="340" t="s">
        <v>357</v>
      </c>
      <c r="BN6" s="351">
        <v>3</v>
      </c>
      <c r="BO6" s="338" t="s">
        <v>356</v>
      </c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</row>
    <row r="7" spans="1:87" s="77" customFormat="1" ht="12.75" customHeight="1">
      <c r="B7" s="81"/>
      <c r="C7" s="76"/>
      <c r="D7" s="76"/>
      <c r="E7" s="81"/>
      <c r="F7" s="81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STDEV(IF($L$12:$L$48&gt;0.9,$AY$12:$AY$48))</f>
        <v>4.450809734750745E-2</v>
      </c>
      <c r="AI7" s="115">
        <f t="array" ref="AI7">STDEV(IF($L$12:$L$48&gt;0.9,IF($M$12:$U$48=0,$AZ$12:$BH$48,"")))</f>
        <v>0.10279063889866184</v>
      </c>
      <c r="AJ7" s="115">
        <f t="array" ref="AJ7">STDEV(IF($L$12:$L$48&gt;0.9,IF($M$12:$U$48&gt;=1,$AZ$12:$BH$48,"")))</f>
        <v>5.8954403652136902E-2</v>
      </c>
      <c r="AK7" s="115">
        <f t="array" ref="AK7">STDEV(IF($L$12:$L$48&gt;0.9,IF($AG$12:$AJ$48&gt;0,$BJ$12:$BM$48,"")))</f>
        <v>6.9949321649634605E-2</v>
      </c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STDEV($AY$12:$AY$48)</f>
        <v>5.280615429815036E-2</v>
      </c>
      <c r="AZ7" s="115">
        <f>STDEV(AZ12:BD48)</f>
        <v>0.1098442248144846</v>
      </c>
      <c r="BA7" s="115">
        <f>STDEV(BE12:BI48)</f>
        <v>7.9808884806855926E-2</v>
      </c>
      <c r="BB7" s="115">
        <f>STDEV($BJ$12:$BK$48)</f>
        <v>7.9395324982708265E-2</v>
      </c>
      <c r="BK7" s="340" t="s">
        <v>355</v>
      </c>
      <c r="BN7" s="351">
        <v>3</v>
      </c>
      <c r="BO7" s="338" t="s">
        <v>356</v>
      </c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</row>
    <row r="8" spans="1:87" s="77" customFormat="1" ht="12.75" customHeight="1">
      <c r="B8" s="81"/>
      <c r="C8" s="76"/>
      <c r="D8" s="76"/>
      <c r="E8" s="81"/>
      <c r="F8" s="8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N8" s="352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</row>
    <row r="9" spans="1:87" s="77" customFormat="1" ht="12.75" customHeight="1">
      <c r="AY9" s="66">
        <f>AVERAGE(AY12:AY13,AY15:AY19,AY21:AY24,AY26:AY36,AY38:AY48)</f>
        <v>-6.226614937563108E-3</v>
      </c>
      <c r="AZ9" s="66">
        <f>AVERAGE(AZ12:AZ13,AZ15:AZ16,AZ18:AZ19,AZ21:AZ24,AZ26:AZ36,AZ38:AZ41,AZ43:AZ47)</f>
        <v>9.5537461865887808E-4</v>
      </c>
      <c r="BA9" s="66">
        <f>AVERAGE(BA12:BA13,BA15:BA16,BA18:BA19,BA21:BA24,BA26:BA36,BA38:BA41,BA43:BA47)</f>
        <v>2.8911365938405285E-2</v>
      </c>
      <c r="BF9" s="66">
        <f>AVERAGE(BF12:BF13,BF15:BF16,BF18:BF19,BF21:BF24,BF26:BF36,BF38:BF41,BF43:BF47)</f>
        <v>-2.0083638475692625E-2</v>
      </c>
      <c r="BG9" s="66">
        <f>AVERAGE(BG12:BG13,BG15:BG16,BG18:BG19,BG21:BG24,BG26:BG36,BG38:BG41,BG43:BG47)</f>
        <v>-1.376919444827557E-2</v>
      </c>
      <c r="BH9" s="66">
        <f>AVERAGE(BH12:BH13,BH15:BH16,BH18:BH19,BH21:BH24,BH26:BH36,BH38:BH41,BH43:BH47)</f>
        <v>-1.2852558468926601E-2</v>
      </c>
      <c r="BK9" s="340" t="s">
        <v>367</v>
      </c>
      <c r="BN9" s="353">
        <v>0.9</v>
      </c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</row>
    <row r="10" spans="1:87" s="77" customFormat="1" ht="12.75" customHeight="1">
      <c r="A10" s="425" t="s">
        <v>181</v>
      </c>
      <c r="B10" s="425" t="s">
        <v>180</v>
      </c>
      <c r="C10" s="425" t="s">
        <v>182</v>
      </c>
      <c r="D10" s="426" t="s">
        <v>183</v>
      </c>
      <c r="E10" s="425" t="s">
        <v>13</v>
      </c>
      <c r="F10" s="425" t="s">
        <v>14</v>
      </c>
      <c r="G10" s="425" t="s">
        <v>15</v>
      </c>
      <c r="H10" s="425" t="s">
        <v>16</v>
      </c>
      <c r="I10" s="427" t="s">
        <v>17</v>
      </c>
      <c r="J10" s="428"/>
      <c r="K10" s="429"/>
      <c r="L10" s="426" t="s">
        <v>95</v>
      </c>
      <c r="M10" s="424" t="s">
        <v>18</v>
      </c>
      <c r="N10" s="424"/>
      <c r="O10" s="424"/>
      <c r="P10" s="424"/>
      <c r="Q10" s="424"/>
      <c r="R10" s="424"/>
      <c r="S10" s="424"/>
      <c r="T10" s="424"/>
      <c r="U10" s="424"/>
      <c r="V10" s="424"/>
      <c r="W10" s="424" t="s">
        <v>31</v>
      </c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 t="s">
        <v>30</v>
      </c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 t="s">
        <v>19</v>
      </c>
      <c r="AZ10" s="424"/>
      <c r="BA10" s="424"/>
      <c r="BB10" s="424"/>
      <c r="BC10" s="424"/>
      <c r="BD10" s="424"/>
      <c r="BE10" s="424"/>
      <c r="BF10" s="424"/>
      <c r="BG10" s="424"/>
      <c r="BH10" s="424"/>
      <c r="BI10" s="424"/>
      <c r="BJ10" s="424"/>
      <c r="BK10" s="424"/>
      <c r="BL10" s="424"/>
      <c r="BM10" s="424"/>
      <c r="BN10" s="388">
        <f>PERCENTILE(BN12:BN48,BN9)</f>
        <v>141.15899999999999</v>
      </c>
      <c r="BO10" s="388" t="s">
        <v>334</v>
      </c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</row>
    <row r="11" spans="1:87" s="77" customFormat="1" ht="12.75" customHeight="1">
      <c r="A11" s="425"/>
      <c r="B11" s="425"/>
      <c r="C11" s="425"/>
      <c r="D11" s="426"/>
      <c r="E11" s="425"/>
      <c r="F11" s="425"/>
      <c r="G11" s="425"/>
      <c r="H11" s="425"/>
      <c r="I11" s="330" t="s">
        <v>20</v>
      </c>
      <c r="J11" s="330" t="s">
        <v>165</v>
      </c>
      <c r="K11" s="330" t="s">
        <v>21</v>
      </c>
      <c r="L11" s="426"/>
      <c r="M11" s="330" t="s">
        <v>186</v>
      </c>
      <c r="N11" s="330" t="s">
        <v>187</v>
      </c>
      <c r="O11" s="330" t="s">
        <v>188</v>
      </c>
      <c r="P11" s="330" t="s">
        <v>189</v>
      </c>
      <c r="Q11" s="330" t="s">
        <v>190</v>
      </c>
      <c r="R11" s="330" t="s">
        <v>191</v>
      </c>
      <c r="S11" s="330" t="s">
        <v>192</v>
      </c>
      <c r="T11" s="330" t="s">
        <v>193</v>
      </c>
      <c r="U11" s="330" t="s">
        <v>194</v>
      </c>
      <c r="V11" s="330" t="s">
        <v>185</v>
      </c>
      <c r="W11" s="330" t="s">
        <v>3</v>
      </c>
      <c r="X11" s="330" t="s">
        <v>22</v>
      </c>
      <c r="Y11" s="330" t="s">
        <v>23</v>
      </c>
      <c r="Z11" s="330" t="s">
        <v>24</v>
      </c>
      <c r="AA11" s="330" t="s">
        <v>25</v>
      </c>
      <c r="AB11" s="330" t="s">
        <v>26</v>
      </c>
      <c r="AC11" s="330" t="s">
        <v>27</v>
      </c>
      <c r="AD11" s="330" t="s">
        <v>90</v>
      </c>
      <c r="AE11" s="330" t="s">
        <v>91</v>
      </c>
      <c r="AF11" s="330" t="s">
        <v>184</v>
      </c>
      <c r="AG11" s="330" t="s">
        <v>28</v>
      </c>
      <c r="AH11" s="330" t="s">
        <v>29</v>
      </c>
      <c r="AI11" s="330" t="s">
        <v>92</v>
      </c>
      <c r="AJ11" s="330" t="s">
        <v>93</v>
      </c>
      <c r="AK11" s="330" t="s">
        <v>3</v>
      </c>
      <c r="AL11" s="330" t="s">
        <v>22</v>
      </c>
      <c r="AM11" s="330" t="s">
        <v>23</v>
      </c>
      <c r="AN11" s="330" t="s">
        <v>24</v>
      </c>
      <c r="AO11" s="330" t="s">
        <v>25</v>
      </c>
      <c r="AP11" s="330" t="s">
        <v>26</v>
      </c>
      <c r="AQ11" s="330" t="s">
        <v>27</v>
      </c>
      <c r="AR11" s="330" t="s">
        <v>90</v>
      </c>
      <c r="AS11" s="330" t="s">
        <v>91</v>
      </c>
      <c r="AT11" s="330" t="s">
        <v>184</v>
      </c>
      <c r="AU11" s="330" t="s">
        <v>28</v>
      </c>
      <c r="AV11" s="330" t="s">
        <v>29</v>
      </c>
      <c r="AW11" s="330" t="s">
        <v>92</v>
      </c>
      <c r="AX11" s="330" t="s">
        <v>93</v>
      </c>
      <c r="AY11" s="330" t="s">
        <v>3</v>
      </c>
      <c r="AZ11" s="330" t="s">
        <v>22</v>
      </c>
      <c r="BA11" s="330" t="s">
        <v>23</v>
      </c>
      <c r="BB11" s="330" t="s">
        <v>24</v>
      </c>
      <c r="BC11" s="330" t="s">
        <v>25</v>
      </c>
      <c r="BD11" s="330" t="s">
        <v>26</v>
      </c>
      <c r="BE11" s="330" t="s">
        <v>362</v>
      </c>
      <c r="BF11" s="330" t="s">
        <v>363</v>
      </c>
      <c r="BG11" s="330" t="s">
        <v>364</v>
      </c>
      <c r="BH11" s="330" t="s">
        <v>365</v>
      </c>
      <c r="BI11" s="330" t="s">
        <v>366</v>
      </c>
      <c r="BJ11" s="330" t="s">
        <v>28</v>
      </c>
      <c r="BK11" s="330" t="s">
        <v>29</v>
      </c>
      <c r="BL11" s="330" t="s">
        <v>92</v>
      </c>
      <c r="BM11" s="330" t="s">
        <v>93</v>
      </c>
      <c r="BN11" s="330" t="s">
        <v>353</v>
      </c>
      <c r="BO11" s="394" t="s">
        <v>380</v>
      </c>
      <c r="BP11" s="94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</row>
    <row r="12" spans="1:87" s="89" customFormat="1" ht="11.25">
      <c r="A12" s="312" t="s">
        <v>211</v>
      </c>
      <c r="B12" s="360" t="s">
        <v>246</v>
      </c>
      <c r="C12" s="361"/>
      <c r="D12" s="362">
        <v>0.38263888888888892</v>
      </c>
      <c r="E12" s="363">
        <v>66.421800000000005</v>
      </c>
      <c r="F12" s="364"/>
      <c r="G12" s="364"/>
      <c r="H12" s="357"/>
      <c r="I12" s="360" t="s">
        <v>94</v>
      </c>
      <c r="J12" s="356">
        <f>IF(ISERROR(VLOOKUP(I12,Max_Load_France!$B$2:$C$102,2,FALSE)/1000),"",VLOOKUP(I12,Max_Load_France!$B$2:$C$102,2,FALSE)/1000)</f>
        <v>40</v>
      </c>
      <c r="K12" s="319"/>
      <c r="L12" s="320">
        <f t="shared" ref="L12:L20" si="0">W12/J12</f>
        <v>0.87750000000000006</v>
      </c>
      <c r="M12" s="356">
        <f>IF(VLOOKUP($I12,Max_Load_France!$B$2:$M$102,3,FALSE)="","",VLOOKUP($I12,Max_Load_France!$B$2:$M$102,3,FALSE))</f>
        <v>0</v>
      </c>
      <c r="N12" s="356">
        <f>IF(VLOOKUP($I12,Max_Load_France!$B$2:$M$102,4,FALSE)="","",VLOOKUP($I12,Max_Load_France!$B$2:$M$102,4,FALSE))</f>
        <v>0</v>
      </c>
      <c r="O12" s="356">
        <f>IF(VLOOKUP($I12,Max_Load_France!$B$2:$M$102,5,FALSE)="","",VLOOKUP($I12,Max_Load_France!$B$2:$M$102,5,FALSE))</f>
        <v>1</v>
      </c>
      <c r="P12" s="356">
        <f>IF(VLOOKUP($I12,Max_Load_France!$B$2:$M$102,6,FALSE)="","",VLOOKUP($I12,Max_Load_France!$B$2:$M$102,6,FALSE))</f>
        <v>1</v>
      </c>
      <c r="Q12" s="356">
        <f>IF(VLOOKUP($I12,Max_Load_France!$B$2:$M$102,7,FALSE)="","",VLOOKUP($I12,Max_Load_France!$B$2:$M$102,7,FALSE))</f>
        <v>1</v>
      </c>
      <c r="R12" s="356" t="str">
        <f>IF(VLOOKUP($I12,Max_Load_France!$B$2:$M$102,8,FALSE)="","",VLOOKUP($I12,Max_Load_France!$B$2:$M$102,8,FALSE))</f>
        <v/>
      </c>
      <c r="S12" s="356" t="str">
        <f>IF(VLOOKUP($I12,Max_Load_France!$B$2:$M$102,9,FALSE)="","",VLOOKUP($I12,Max_Load_France!$B$2:$M$102,9,FALSE))</f>
        <v/>
      </c>
      <c r="T12" s="356" t="str">
        <f>IF(VLOOKUP($I12,Max_Load_France!$B$2:$M$102,10,FALSE)="","",VLOOKUP($I12,Max_Load_France!$B$2:$M$102,10,FALSE))</f>
        <v/>
      </c>
      <c r="U12" s="356" t="str">
        <f>IF(VLOOKUP($I12,Max_Load_France!$B$2:$M$102,11,FALSE)="","",VLOOKUP($I12,Max_Load_France!$B$2:$M$102,11,FALSE))</f>
        <v/>
      </c>
      <c r="V12" s="357">
        <f>COUNT(M12:R12)</f>
        <v>5</v>
      </c>
      <c r="W12" s="322">
        <f>SUM($X12:$AF12)</f>
        <v>35.1</v>
      </c>
      <c r="X12" s="354">
        <v>6.7</v>
      </c>
      <c r="Y12" s="354">
        <v>9.6</v>
      </c>
      <c r="Z12" s="354">
        <v>6.4</v>
      </c>
      <c r="AA12" s="354">
        <v>6.2</v>
      </c>
      <c r="AB12" s="354">
        <v>6.2</v>
      </c>
      <c r="AC12" s="355"/>
      <c r="AD12" s="324"/>
      <c r="AE12" s="324"/>
      <c r="AF12" s="324"/>
      <c r="AG12" s="302">
        <f>IF(SUMIF($M$12:$R$12,1,$X$12:$AC$12)&gt;0,SUMIF($M$12:$R$12,1,$X$12:$AC$12),"")</f>
        <v>18.8</v>
      </c>
      <c r="AH12" s="302" t="str">
        <f>IF(SUMIF(N12:S12,2,Y12:AD12)&gt;0,SUMIF(N12:S12,2,Y12:AD12),"")</f>
        <v/>
      </c>
      <c r="AI12" s="325" t="str">
        <f>IF(SUMIF($M12:$U12,"=3",$X12:$AF12)=0,"",SUMIF($M12:$U12,"=3",$X12:$AF12))</f>
        <v/>
      </c>
      <c r="AJ12" s="325" t="str">
        <f>IF(SUMIF($M12:$U12,"=4",$X12:$AF12)=0,"",SUMIF($M12:$U12,"=4",$X12:$AF12))</f>
        <v/>
      </c>
      <c r="AK12" s="326">
        <f t="shared" ref="AK12:AK48" si="1">SUM(AL12:AR12)</f>
        <v>34.808267074413862</v>
      </c>
      <c r="AL12" s="354">
        <v>8.1176412847784238</v>
      </c>
      <c r="AM12" s="354">
        <v>9.1913597345895663</v>
      </c>
      <c r="AN12" s="354">
        <v>5.8330886850152899</v>
      </c>
      <c r="AO12" s="354">
        <v>5.8330886850152899</v>
      </c>
      <c r="AP12" s="354">
        <v>5.8330886850152899</v>
      </c>
      <c r="AQ12" s="355"/>
      <c r="AR12" s="324"/>
      <c r="AS12" s="324"/>
      <c r="AT12" s="324"/>
      <c r="AU12" s="331">
        <f>IF(SUMIF($M12:$U12,"=1",$AL12:$AT12)=0,"",SUMIF($M12:$U12,"=1",$AL12:$AT12))</f>
        <v>17.499266055045869</v>
      </c>
      <c r="AV12" s="331" t="str">
        <f>IF(SUMIF($M12:$U12,"=2",$AL12:$AT12)=0,"",SUMIF($M12:$U12,"=2",$AL12:$AT12))</f>
        <v/>
      </c>
      <c r="AW12" s="325" t="str">
        <f>IF(SUMIF($M12:$U12,"=3",$AL12:$AT12)=0,"",SUMIF($M12:$U12,"=3",$AL12:$AT12))</f>
        <v/>
      </c>
      <c r="AX12" s="325" t="str">
        <f>IF(SUMIF($M12:$U12,"=4",$AL12:$AT12)=0,"",SUMIF($M12:$U12,"=4",$AL12:$AT12))</f>
        <v/>
      </c>
      <c r="AY12" s="349">
        <f>IF(AND($BO$10="Yes",$BO12="MP"),"",IF(AK12=0,"",IF($W12/$V12&lt;$BN$6,"",IF($BN12&lt;$BN$10,IF(W12&gt;0,(AK12-W12)/W12,""),""))))</f>
        <v>-8.3114793614284602E-3</v>
      </c>
      <c r="AZ12" s="392">
        <f>IF(AND($BO$10="Yes",$BO12="MP"),"",IF(M12=0,IF(AL12&lt;$BN$7,"",IF($W12/$V12&lt;$BN$6,"",IF($BN12&lt;$BN$10,IF(X12&gt;0,(AL12-X12)/X12,""),""))),""))</f>
        <v>0.21158825145946622</v>
      </c>
      <c r="BA12" s="392">
        <f>IF(N12=0,IF(AM12&lt;$BN$7,"",IF($W12/$V12&lt;$BN$6,"",IF($BN12&lt;$BN$10,IF(Y12&gt;0,(AM12-Y12)/Y12,""),""))),"")</f>
        <v>-4.2566694313586804E-2</v>
      </c>
      <c r="BB12" s="392" t="str">
        <f>IF(O12=0,IF(AN12&lt;$BN$7,"",IF($W12/$V12&lt;$BN$6,"",IF($BN12&lt;$BN$10,IF(Z12&gt;0,(AN12-Z12)/Z12,""),""))),"")</f>
        <v/>
      </c>
      <c r="BC12" s="392" t="str">
        <f>IF(P12=0,IF(AO12&lt;$BN$7,"",IF($W12/$V12&lt;$BN$6,"",IF($BN12&lt;$BN$10,IF(AA12&gt;0,(AO12-AA12)/AA12,""),""))),"")</f>
        <v/>
      </c>
      <c r="BD12" s="392" t="str">
        <f>IF(Q12=0,IF(AP12&lt;$BN$7,"",IF($W12/$V12&lt;$BN$6,"",IF($BN12&lt;$BN$10,IF(AB12&gt;0,(AP12-AB12)/AB12,""),""))),"")</f>
        <v/>
      </c>
      <c r="BE12" s="349" t="str">
        <f>IF(AND($BO$10="Yes",$BO12="MP"),"",IF(N12&gt;0,IF(AM12&lt;$BN$7,"",IF($W12/$V12&lt;$BN$6,"",IF($BN12&lt;$BN$10,IF(Y12&gt;0,(AM12-Y12)/Y12,""),""))),""))</f>
        <v/>
      </c>
      <c r="BF12" s="349">
        <f>IF(O12&gt;0,IF(AN12&lt;$BN$7,"",IF($W12/$V12&lt;$BN$6,"",IF($BN12&lt;$BN$10,IF(Z12&gt;0,(AN12-Z12)/Z12,""),""))),"")</f>
        <v>-8.8579892966361012E-2</v>
      </c>
      <c r="BG12" s="349">
        <f>IF(P12&gt;0,IF(AO12&lt;$BN$7,"",IF($W12/$V12&lt;$BN$6,"",IF($BN12&lt;$BN$10,IF(AA12&gt;0,(AO12-AA12)/AA12,""),""))),"")</f>
        <v>-5.917924435237263E-2</v>
      </c>
      <c r="BH12" s="349">
        <f>IF(Q12&gt;0,IF(AP12&lt;$BN$7,"",IF($W12/$V12&lt;$BN$6,"",IF($BN12&lt;$BN$10,IF(AB12&gt;0,(AP12-AB12)/AB12,""),""))),"")</f>
        <v>-5.917924435237263E-2</v>
      </c>
      <c r="BI12" s="349" t="str">
        <f>IF(R12&gt;0,IF(AQ12&lt;$BN$7,"",IF($W12/$V12&lt;$BN$6,"",IF($BN12&lt;$BN$10,IF(AC12&gt;0,(AQ12-AC12)/AC12,""),""))),"")</f>
        <v/>
      </c>
      <c r="BJ12" s="392">
        <f>IF(AND($BO$10="Yes",$BO12="MP"),"",IF(AG12&lt;$BN$6*COUNTIF(M12:R12,1),"",IF($BN12&lt;$BN$10,IF($BN12&lt;$BN$10,IF(AG12&lt;&gt;"",(AU12-AG12)/AG12,""),""))))</f>
        <v>-6.9187975795432552E-2</v>
      </c>
      <c r="BK12" s="392" t="str">
        <f>IF(AND($BO$10="Yes",$BO12="MP"),"",IF(AH12&lt;$BN$6*COUNTIF(M12:R12,2),"",IF($BN12&lt;$BN$10,IF(AH12&lt;&gt;"",(AV12-AH12)/AH12,""),"")))</f>
        <v/>
      </c>
      <c r="BL12" s="328" t="str">
        <f t="shared" ref="BL12:BL35" si="2">IF(AI12&lt;&gt;"",(AW12-AI12)/AI12,"")</f>
        <v/>
      </c>
      <c r="BM12" s="329" t="str">
        <f t="shared" ref="BM12:BM35" si="3">IF(AJ12&lt;&gt;"",(AX12-AJ12)/AJ12,"")</f>
        <v/>
      </c>
      <c r="BN12" s="334">
        <v>56.133000000000003</v>
      </c>
      <c r="BO12" s="398"/>
      <c r="BP12" s="94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</row>
    <row r="13" spans="1:87" s="89" customFormat="1" ht="11.25">
      <c r="A13" s="289" t="s">
        <v>212</v>
      </c>
      <c r="B13" s="365" t="s">
        <v>247</v>
      </c>
      <c r="C13" s="366"/>
      <c r="D13" s="367">
        <v>0.38541666666666669</v>
      </c>
      <c r="E13" s="368">
        <v>77.201999999999998</v>
      </c>
      <c r="F13" s="369"/>
      <c r="G13" s="369"/>
      <c r="H13" s="359"/>
      <c r="I13" s="365" t="s">
        <v>124</v>
      </c>
      <c r="J13" s="358">
        <f>IF(ISERROR(VLOOKUP(I13,Max_Load_France!$B$2:$C$102,2,FALSE)/1000),"",VLOOKUP(I13,Max_Load_France!$B$2:$C$102,2,FALSE)/1000)</f>
        <v>40</v>
      </c>
      <c r="K13" s="296"/>
      <c r="L13" s="297">
        <f t="shared" si="0"/>
        <v>0.36249999999999999</v>
      </c>
      <c r="M13" s="358">
        <f>IF(VLOOKUP($I13,Max_Load_France!$B$2:$M$102,3,FALSE)="","",VLOOKUP($I13,Max_Load_France!$B$2:$M$102,3,FALSE))</f>
        <v>0</v>
      </c>
      <c r="N13" s="358">
        <f>IF(VLOOKUP($I13,Max_Load_France!$B$2:$M$102,4,FALSE)="","",VLOOKUP($I13,Max_Load_France!$B$2:$M$102,4,FALSE))</f>
        <v>0</v>
      </c>
      <c r="O13" s="358">
        <f>IF(VLOOKUP($I13,Max_Load_France!$B$2:$M$102,5,FALSE)="","",VLOOKUP($I13,Max_Load_France!$B$2:$M$102,5,FALSE))</f>
        <v>0</v>
      </c>
      <c r="P13" s="358">
        <f>IF(VLOOKUP($I13,Max_Load_France!$B$2:$M$102,6,FALSE)="","",VLOOKUP($I13,Max_Load_France!$B$2:$M$102,6,FALSE))</f>
        <v>1</v>
      </c>
      <c r="Q13" s="358">
        <f>IF(VLOOKUP($I13,Max_Load_France!$B$2:$M$102,7,FALSE)="","",VLOOKUP($I13,Max_Load_France!$B$2:$M$102,7,FALSE))</f>
        <v>1</v>
      </c>
      <c r="R13" s="358" t="str">
        <f>IF(VLOOKUP($I13,Max_Load_France!$B$2:$M$102,8,FALSE)="","",VLOOKUP($I13,Max_Load_France!$B$2:$M$102,8,FALSE))</f>
        <v/>
      </c>
      <c r="S13" s="358" t="str">
        <f>IF(VLOOKUP($I13,Max_Load_France!$B$2:$M$102,9,FALSE)="","",VLOOKUP($I13,Max_Load_France!$B$2:$M$102,9,FALSE))</f>
        <v/>
      </c>
      <c r="T13" s="358" t="str">
        <f>IF(VLOOKUP($I13,Max_Load_France!$B$2:$M$102,10,FALSE)="","",VLOOKUP($I13,Max_Load_France!$B$2:$M$102,10,FALSE))</f>
        <v/>
      </c>
      <c r="U13" s="358" t="str">
        <f>IF(VLOOKUP($I13,Max_Load_France!$B$2:$M$102,11,FALSE)="","",VLOOKUP($I13,Max_Load_France!$B$2:$M$102,11,FALSE))</f>
        <v/>
      </c>
      <c r="V13" s="357">
        <f t="shared" ref="V13:V48" si="4">COUNT(M13:R13)</f>
        <v>5</v>
      </c>
      <c r="W13" s="299">
        <f t="shared" ref="W13:W48" si="5">SUM($X13:$AF13)</f>
        <v>14.5</v>
      </c>
      <c r="X13" s="308">
        <v>5.6</v>
      </c>
      <c r="Y13" s="308">
        <v>3.1</v>
      </c>
      <c r="Z13" s="308">
        <v>1.9</v>
      </c>
      <c r="AA13" s="308">
        <v>2</v>
      </c>
      <c r="AB13" s="308">
        <v>1.9</v>
      </c>
      <c r="AC13" s="309"/>
      <c r="AD13" s="301"/>
      <c r="AE13" s="301"/>
      <c r="AF13" s="301"/>
      <c r="AG13" s="302">
        <f>IF(SUMIF(M13:R13,1,X13:AC13)&gt;0,SUMIF(M13:R13,1,X13:AC13),"")</f>
        <v>3.9</v>
      </c>
      <c r="AH13" s="302" t="str">
        <f t="shared" ref="AH13:AH47" si="6">IF(SUMIF(N13:S13,2,Y13:AD13)&gt;0,SUMIF(N13:S13,2,Y13:AD13),"")</f>
        <v/>
      </c>
      <c r="AI13" s="302" t="str">
        <f t="shared" ref="AI13:AI40" si="7">IF(SUMIF($M13:$U13,"=3",$X13:$AF13)=0,"",SUMIF($M13:$U13,"=3",$X13:$AF13))</f>
        <v/>
      </c>
      <c r="AJ13" s="302" t="str">
        <f t="shared" ref="AJ13:AJ40" si="8">IF(SUMIF($M13:$U13,"=4",$X13:$AF13)=0,"",SUMIF($M13:$U13,"=4",$X13:$AF13))</f>
        <v/>
      </c>
      <c r="AK13" s="326">
        <f t="shared" si="1"/>
        <v>14.225912334352699</v>
      </c>
      <c r="AL13" s="354">
        <v>5.9990130001707147</v>
      </c>
      <c r="AM13" s="354">
        <v>2.6046465309200082</v>
      </c>
      <c r="AN13" s="308">
        <v>2.1941692150866459</v>
      </c>
      <c r="AO13" s="308">
        <v>2.1941692150866459</v>
      </c>
      <c r="AP13" s="308">
        <v>1.2339143730886848</v>
      </c>
      <c r="AQ13" s="309"/>
      <c r="AR13" s="301"/>
      <c r="AS13" s="301"/>
      <c r="AT13" s="301"/>
      <c r="AU13" s="331">
        <f t="shared" ref="AU13:AU48" si="9">IF(SUMIF($M13:$U13,"=1",$AL13:$AT13)=0,"",SUMIF($M13:$U13,"=1",$AL13:$AT13))</f>
        <v>3.4280835881753307</v>
      </c>
      <c r="AV13" s="331" t="str">
        <f t="shared" ref="AV13:AV48" si="10">IF(SUMIF($M13:$U13,"=2",$AL13:$AT13)=0,"",SUMIF($M13:$U13,"=2",$AL13:$AT13))</f>
        <v/>
      </c>
      <c r="AW13" s="302" t="str">
        <f t="shared" ref="AW13:AW24" si="11">IF(SUMIF($M13:$U13,"=3",$AL13:$AT13)=0,"",SUMIF($M13:$U13,"=3",$AL13:$AT13))</f>
        <v/>
      </c>
      <c r="AX13" s="302" t="str">
        <f t="shared" ref="AX13:AX24" si="12">IF(SUMIF($M13:$U13,"=4",$AL13:$AT13)=0,"",SUMIF($M13:$U13,"=4",$AL13:$AT13))</f>
        <v/>
      </c>
      <c r="AY13" s="349" t="str">
        <f t="shared" ref="AY13:AY18" si="13">IF(AND($BO$10="Yes",$BO13="MP"),"",IF(AK13=0,"",IF($W13/$V13&lt;$BN$6,"",IF($BN13&lt;$BN$10,IF(W13&gt;0,(AK13-W13)/W13,""),""))))</f>
        <v/>
      </c>
      <c r="AZ13" s="392" t="str">
        <f t="shared" ref="AZ13:AZ18" si="14">IF(AND($BO$10="Yes",$BO13="MP"),"",IF(M13=0,IF(AL13&lt;$BN$7,"",IF($W13/$V13&lt;$BN$6,"",IF($BN13&lt;$BN$10,IF(X13&gt;0,(AL13-X13)/X13,""),""))),""))</f>
        <v/>
      </c>
      <c r="BA13" s="392" t="str">
        <f t="shared" ref="BA13:BA18" si="15">IF(N13=0,IF(AM13&lt;$BN$7,"",IF($W13/$V13&lt;$BN$6,"",IF($BN13&lt;$BN$10,IF(Y13&gt;0,(AM13-Y13)/Y13,""),""))),"")</f>
        <v/>
      </c>
      <c r="BB13" s="392" t="str">
        <f t="shared" ref="BB13:BB18" si="16">IF(O13=0,IF(AN13&lt;$BN$7,"",IF($W13/$V13&lt;$BN$6,"",IF($BN13&lt;$BN$10,IF(Z13&gt;0,(AN13-Z13)/Z13,""),""))),"")</f>
        <v/>
      </c>
      <c r="BC13" s="392" t="str">
        <f t="shared" ref="BC13:BC18" si="17">IF(P13=0,IF(AO13&lt;$BN$7,"",IF($W13/$V13&lt;$BN$6,"",IF($BN13&lt;$BN$10,IF(AA13&gt;0,(AO13-AA13)/AA13,""),""))),"")</f>
        <v/>
      </c>
      <c r="BD13" s="392" t="str">
        <f t="shared" ref="BD13:BD18" si="18">IF(Q13=0,IF(AP13&lt;$BN$7,"",IF($W13/$V13&lt;$BN$6,"",IF($BN13&lt;$BN$10,IF(AB13&gt;0,(AP13-AB13)/AB13,""),""))),"")</f>
        <v/>
      </c>
      <c r="BE13" s="349" t="str">
        <f t="shared" ref="BE13:BE18" si="19">IF(AND($BO$10="Yes",$BO13="MP"),"",IF(N13&gt;0,IF(AM13&lt;$BN$7,"",IF($W13/$V13&lt;$BN$6,"",IF($BN13&lt;$BN$10,IF(Y13&gt;0,(AM13-Y13)/Y13,""),""))),""))</f>
        <v/>
      </c>
      <c r="BF13" s="349" t="str">
        <f t="shared" ref="BF13:BF18" si="20">IF(O13&gt;0,IF(AN13&lt;$BN$7,"",IF($W13/$V13&lt;$BN$6,"",IF($BN13&lt;$BN$10,IF(Z13&gt;0,(AN13-Z13)/Z13,""),""))),"")</f>
        <v/>
      </c>
      <c r="BG13" s="349" t="str">
        <f t="shared" ref="BG13:BG18" si="21">IF(P13&gt;0,IF(AO13&lt;$BN$7,"",IF($W13/$V13&lt;$BN$6,"",IF($BN13&lt;$BN$10,IF(AA13&gt;0,(AO13-AA13)/AA13,""),""))),"")</f>
        <v/>
      </c>
      <c r="BH13" s="349" t="str">
        <f t="shared" ref="BH13:BH18" si="22">IF(Q13&gt;0,IF(AP13&lt;$BN$7,"",IF($W13/$V13&lt;$BN$6,"",IF($BN13&lt;$BN$10,IF(AB13&gt;0,(AP13-AB13)/AB13,""),""))),"")</f>
        <v/>
      </c>
      <c r="BI13" s="349" t="str">
        <f t="shared" ref="BI13:BI18" si="23">IF(R13&gt;0,IF(AQ13&lt;$BN$7,"",IF($W13/$V13&lt;$BN$6,"",IF($BN13&lt;$BN$10,IF(AC13&gt;0,(AQ13-AC13)/AC13,""),""))),"")</f>
        <v/>
      </c>
      <c r="BJ13" s="392" t="str">
        <f t="shared" ref="BJ13:BJ18" si="24">IF(AND($BO$10="Yes",$BO13="MP"),"",IF(AG13&lt;$BN$6*COUNTIF(M13:R13,1),"",IF($BN13&lt;$BN$10,IF($BN13&lt;$BN$10,IF(AG13&lt;&gt;"",(AU13-AG13)/AG13,""),""))))</f>
        <v/>
      </c>
      <c r="BK13" s="392" t="str">
        <f t="shared" ref="BK13:BK18" si="25">IF(AND($BO$10="Yes",$BO13="MP"),"",IF(AH13&lt;$BN$6*COUNTIF(M13:R13,2),"",IF($BN13&lt;$BN$10,IF(AH13&lt;&gt;"",(AV13-AH13)/AH13,""),"")))</f>
        <v/>
      </c>
      <c r="BL13" s="288" t="str">
        <f t="shared" si="2"/>
        <v/>
      </c>
      <c r="BM13" s="136" t="str">
        <f t="shared" si="3"/>
        <v/>
      </c>
      <c r="BN13" s="334">
        <v>0.25402999999999998</v>
      </c>
      <c r="BO13" s="398"/>
      <c r="BP13" s="94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</row>
    <row r="14" spans="1:87" s="89" customFormat="1" ht="11.25">
      <c r="A14" s="397" t="s">
        <v>213</v>
      </c>
      <c r="B14" s="365" t="s">
        <v>248</v>
      </c>
      <c r="C14" s="366"/>
      <c r="D14" s="367">
        <v>0.38958333333333334</v>
      </c>
      <c r="E14" s="368">
        <v>54.816480000000006</v>
      </c>
      <c r="F14" s="369"/>
      <c r="G14" s="369"/>
      <c r="H14" s="359"/>
      <c r="I14" s="365" t="s">
        <v>94</v>
      </c>
      <c r="J14" s="358">
        <f>IF(ISERROR(VLOOKUP(I14,Max_Load_France!$B$2:$C$102,2,FALSE)/1000),"",VLOOKUP(I14,Max_Load_France!$B$2:$C$102,2,FALSE)/1000)</f>
        <v>40</v>
      </c>
      <c r="K14" s="296"/>
      <c r="L14" s="297">
        <f t="shared" si="0"/>
        <v>1.05</v>
      </c>
      <c r="M14" s="358">
        <f>IF(VLOOKUP($I14,Max_Load_France!$B$2:$M$102,3,FALSE)="","",VLOOKUP($I14,Max_Load_France!$B$2:$M$102,3,FALSE))</f>
        <v>0</v>
      </c>
      <c r="N14" s="358">
        <f>IF(VLOOKUP($I14,Max_Load_France!$B$2:$M$102,4,FALSE)="","",VLOOKUP($I14,Max_Load_France!$B$2:$M$102,4,FALSE))</f>
        <v>0</v>
      </c>
      <c r="O14" s="358">
        <f>IF(VLOOKUP($I14,Max_Load_France!$B$2:$M$102,5,FALSE)="","",VLOOKUP($I14,Max_Load_France!$B$2:$M$102,5,FALSE))</f>
        <v>1</v>
      </c>
      <c r="P14" s="358">
        <f>IF(VLOOKUP($I14,Max_Load_France!$B$2:$M$102,6,FALSE)="","",VLOOKUP($I14,Max_Load_France!$B$2:$M$102,6,FALSE))</f>
        <v>1</v>
      </c>
      <c r="Q14" s="358">
        <f>IF(VLOOKUP($I14,Max_Load_France!$B$2:$M$102,7,FALSE)="","",VLOOKUP($I14,Max_Load_France!$B$2:$M$102,7,FALSE))</f>
        <v>1</v>
      </c>
      <c r="R14" s="358" t="str">
        <f>IF(VLOOKUP($I14,Max_Load_France!$B$2:$M$102,8,FALSE)="","",VLOOKUP($I14,Max_Load_France!$B$2:$M$102,8,FALSE))</f>
        <v/>
      </c>
      <c r="S14" s="358" t="str">
        <f>IF(VLOOKUP($I14,Max_Load_France!$B$2:$M$102,9,FALSE)="","",VLOOKUP($I14,Max_Load_France!$B$2:$M$102,9,FALSE))</f>
        <v/>
      </c>
      <c r="T14" s="358" t="str">
        <f>IF(VLOOKUP($I14,Max_Load_France!$B$2:$M$102,10,FALSE)="","",VLOOKUP($I14,Max_Load_France!$B$2:$M$102,10,FALSE))</f>
        <v/>
      </c>
      <c r="U14" s="358" t="str">
        <f>IF(VLOOKUP($I14,Max_Load_France!$B$2:$M$102,11,FALSE)="","",VLOOKUP($I14,Max_Load_France!$B$2:$M$102,11,FALSE))</f>
        <v/>
      </c>
      <c r="V14" s="357">
        <f t="shared" si="4"/>
        <v>5</v>
      </c>
      <c r="W14" s="299">
        <f t="shared" si="5"/>
        <v>42</v>
      </c>
      <c r="X14" s="308">
        <v>7.5</v>
      </c>
      <c r="Y14" s="308">
        <v>13.8</v>
      </c>
      <c r="Z14" s="308">
        <v>7</v>
      </c>
      <c r="AA14" s="308">
        <v>6.9</v>
      </c>
      <c r="AB14" s="308">
        <v>6.8</v>
      </c>
      <c r="AC14" s="309"/>
      <c r="AD14" s="301"/>
      <c r="AE14" s="301"/>
      <c r="AF14" s="301"/>
      <c r="AG14" s="302">
        <f>IF(SUMIF(M14:R14,1,X14:AC14)&gt;0,SUMIF(M14:R14,1,X14:AC14),"")</f>
        <v>20.7</v>
      </c>
      <c r="AH14" s="302" t="str">
        <f t="shared" si="6"/>
        <v/>
      </c>
      <c r="AI14" s="302" t="str">
        <f t="shared" si="7"/>
        <v/>
      </c>
      <c r="AJ14" s="302" t="str">
        <f t="shared" si="8"/>
        <v/>
      </c>
      <c r="AK14" s="326">
        <f t="shared" si="1"/>
        <v>40.78450560652395</v>
      </c>
      <c r="AL14" s="354">
        <v>7.1361611951273236</v>
      </c>
      <c r="AM14" s="354">
        <v>13.549812301304886</v>
      </c>
      <c r="AN14" s="308">
        <v>6.6995107033639139</v>
      </c>
      <c r="AO14" s="308">
        <v>6.6995107033639139</v>
      </c>
      <c r="AP14" s="308">
        <v>6.6995107033639139</v>
      </c>
      <c r="AQ14" s="309"/>
      <c r="AR14" s="301"/>
      <c r="AS14" s="301"/>
      <c r="AT14" s="301"/>
      <c r="AU14" s="331">
        <f t="shared" si="9"/>
        <v>20.098532110091742</v>
      </c>
      <c r="AV14" s="331" t="str">
        <f t="shared" si="10"/>
        <v/>
      </c>
      <c r="AW14" s="302" t="str">
        <f t="shared" si="11"/>
        <v/>
      </c>
      <c r="AX14" s="302" t="str">
        <f t="shared" si="12"/>
        <v/>
      </c>
      <c r="AY14" s="349">
        <f t="shared" si="13"/>
        <v>-2.8940342701810704E-2</v>
      </c>
      <c r="AZ14" s="392">
        <f t="shared" si="14"/>
        <v>-4.8511840649690184E-2</v>
      </c>
      <c r="BA14" s="392">
        <f t="shared" si="15"/>
        <v>-1.8129543383703955E-2</v>
      </c>
      <c r="BB14" s="392" t="str">
        <f t="shared" si="16"/>
        <v/>
      </c>
      <c r="BC14" s="392" t="str">
        <f t="shared" si="17"/>
        <v/>
      </c>
      <c r="BD14" s="392" t="str">
        <f t="shared" si="18"/>
        <v/>
      </c>
      <c r="BE14" s="349" t="str">
        <f t="shared" si="19"/>
        <v/>
      </c>
      <c r="BF14" s="349">
        <f t="shared" si="20"/>
        <v>-4.2927042376583735E-2</v>
      </c>
      <c r="BG14" s="349">
        <f t="shared" si="21"/>
        <v>-2.9056419802331375E-2</v>
      </c>
      <c r="BH14" s="349">
        <f t="shared" si="22"/>
        <v>-1.4777837740600878E-2</v>
      </c>
      <c r="BI14" s="349" t="str">
        <f t="shared" si="23"/>
        <v/>
      </c>
      <c r="BJ14" s="392">
        <f t="shared" si="24"/>
        <v>-2.905641980233125E-2</v>
      </c>
      <c r="BK14" s="392" t="str">
        <f t="shared" si="25"/>
        <v/>
      </c>
      <c r="BL14" s="288" t="str">
        <f t="shared" si="2"/>
        <v/>
      </c>
      <c r="BM14" s="136" t="str">
        <f t="shared" si="3"/>
        <v/>
      </c>
      <c r="BN14" s="334">
        <v>49.613</v>
      </c>
      <c r="BO14" s="398"/>
      <c r="BP14" s="94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</row>
    <row r="15" spans="1:87" s="89" customFormat="1" ht="11.25">
      <c r="A15" s="359" t="s">
        <v>214</v>
      </c>
      <c r="B15" s="358" t="s">
        <v>250</v>
      </c>
      <c r="C15" s="358"/>
      <c r="D15" s="367">
        <v>0.39374999999999999</v>
      </c>
      <c r="E15" s="368">
        <v>60.186239999999998</v>
      </c>
      <c r="F15" s="369"/>
      <c r="G15" s="369"/>
      <c r="H15" s="359"/>
      <c r="I15" s="365" t="s">
        <v>129</v>
      </c>
      <c r="J15" s="358">
        <f>IF(ISERROR(VLOOKUP(I15,Max_Load_France!$B$2:$C$102,2,FALSE)/1000),"",VLOOKUP(I15,Max_Load_France!$B$2:$C$102,2,FALSE)/1000)</f>
        <v>40</v>
      </c>
      <c r="K15" s="296"/>
      <c r="L15" s="297">
        <f t="shared" si="0"/>
        <v>0.72250000000000003</v>
      </c>
      <c r="M15" s="358">
        <f>IF(VLOOKUP($I15,Max_Load_France!$B$2:$M$102,3,FALSE)="","",VLOOKUP($I15,Max_Load_France!$B$2:$M$102,3,FALSE))</f>
        <v>0</v>
      </c>
      <c r="N15" s="358">
        <f>IF(VLOOKUP($I15,Max_Load_France!$B$2:$M$102,4,FALSE)="","",VLOOKUP($I15,Max_Load_France!$B$2:$M$102,4,FALSE))</f>
        <v>1</v>
      </c>
      <c r="O15" s="358">
        <f>IF(VLOOKUP($I15,Max_Load_France!$B$2:$M$102,5,FALSE)="","",VLOOKUP($I15,Max_Load_France!$B$2:$M$102,5,FALSE))</f>
        <v>1</v>
      </c>
      <c r="P15" s="358">
        <f>IF(VLOOKUP($I15,Max_Load_France!$B$2:$M$102,6,FALSE)="","",VLOOKUP($I15,Max_Load_France!$B$2:$M$102,6,FALSE))</f>
        <v>2</v>
      </c>
      <c r="Q15" s="358">
        <f>IF(VLOOKUP($I15,Max_Load_France!$B$2:$M$102,7,FALSE)="","",VLOOKUP($I15,Max_Load_France!$B$2:$M$102,7,FALSE))</f>
        <v>2</v>
      </c>
      <c r="R15" s="358" t="str">
        <f>IF(VLOOKUP($I15,Max_Load_France!$B$2:$M$102,8,FALSE)="","",VLOOKUP($I15,Max_Load_France!$B$2:$M$102,8,FALSE))</f>
        <v/>
      </c>
      <c r="S15" s="358" t="str">
        <f>IF(VLOOKUP($I15,Max_Load_France!$B$2:$M$102,9,FALSE)="","",VLOOKUP($I15,Max_Load_France!$B$2:$M$102,9,FALSE))</f>
        <v/>
      </c>
      <c r="T15" s="358" t="str">
        <f>IF(VLOOKUP($I15,Max_Load_France!$B$2:$M$102,10,FALSE)="","",VLOOKUP($I15,Max_Load_France!$B$2:$M$102,10,FALSE))</f>
        <v/>
      </c>
      <c r="U15" s="358" t="str">
        <f>IF(VLOOKUP($I15,Max_Load_France!$B$2:$M$102,11,FALSE)="","",VLOOKUP($I15,Max_Load_France!$B$2:$M$102,11,FALSE))</f>
        <v/>
      </c>
      <c r="V15" s="357">
        <f t="shared" si="4"/>
        <v>5</v>
      </c>
      <c r="W15" s="299">
        <f t="shared" si="5"/>
        <v>28.900000000000002</v>
      </c>
      <c r="X15" s="308">
        <v>6</v>
      </c>
      <c r="Y15" s="308">
        <v>8.1999999999999993</v>
      </c>
      <c r="Z15" s="308">
        <v>4.9000000000000004</v>
      </c>
      <c r="AA15" s="308">
        <v>4.8</v>
      </c>
      <c r="AB15" s="308">
        <v>5</v>
      </c>
      <c r="AC15" s="309"/>
      <c r="AD15" s="301"/>
      <c r="AE15" s="301"/>
      <c r="AF15" s="301"/>
      <c r="AG15" s="302">
        <f>IF(SUMIF(M15:R15,1,X15:AC15)&gt;0,SUMIF(M15:R15,1,X15:AC15),"")</f>
        <v>13.1</v>
      </c>
      <c r="AH15" s="302">
        <f t="shared" si="6"/>
        <v>9.8000000000000007</v>
      </c>
      <c r="AI15" s="302" t="str">
        <f t="shared" si="7"/>
        <v/>
      </c>
      <c r="AJ15" s="302" t="str">
        <f t="shared" si="8"/>
        <v/>
      </c>
      <c r="AK15" s="326">
        <f t="shared" si="1"/>
        <v>29.029388379204896</v>
      </c>
      <c r="AL15" s="354">
        <v>6.6433643471015964</v>
      </c>
      <c r="AM15" s="354">
        <v>8.1491432981583412</v>
      </c>
      <c r="AN15" s="308">
        <v>4.7456269113149849</v>
      </c>
      <c r="AO15" s="308">
        <v>4.7456269113149849</v>
      </c>
      <c r="AP15" s="308">
        <v>4.7456269113149849</v>
      </c>
      <c r="AQ15" s="309"/>
      <c r="AR15" s="301"/>
      <c r="AS15" s="301"/>
      <c r="AT15" s="301"/>
      <c r="AU15" s="331">
        <f t="shared" si="9"/>
        <v>12.894770209473325</v>
      </c>
      <c r="AV15" s="331">
        <f t="shared" si="10"/>
        <v>9.4912538226299699</v>
      </c>
      <c r="AW15" s="302" t="str">
        <f t="shared" si="11"/>
        <v/>
      </c>
      <c r="AX15" s="302" t="str">
        <f t="shared" si="12"/>
        <v/>
      </c>
      <c r="AY15" s="349">
        <f t="shared" si="13"/>
        <v>4.4771065468821366E-3</v>
      </c>
      <c r="AZ15" s="392">
        <f t="shared" si="14"/>
        <v>0.1072273911835994</v>
      </c>
      <c r="BA15" s="392" t="str">
        <f t="shared" si="15"/>
        <v/>
      </c>
      <c r="BB15" s="392" t="str">
        <f t="shared" si="16"/>
        <v/>
      </c>
      <c r="BC15" s="392" t="str">
        <f t="shared" si="17"/>
        <v/>
      </c>
      <c r="BD15" s="392" t="str">
        <f t="shared" si="18"/>
        <v/>
      </c>
      <c r="BE15" s="349">
        <f t="shared" si="19"/>
        <v>-6.2020368099583098E-3</v>
      </c>
      <c r="BF15" s="349">
        <f t="shared" si="20"/>
        <v>-3.1504711976533761E-2</v>
      </c>
      <c r="BG15" s="349">
        <f t="shared" si="21"/>
        <v>-1.1327726809378103E-2</v>
      </c>
      <c r="BH15" s="349">
        <f t="shared" si="22"/>
        <v>-5.0874617737003011E-2</v>
      </c>
      <c r="BI15" s="349" t="str">
        <f t="shared" si="23"/>
        <v/>
      </c>
      <c r="BJ15" s="392">
        <f t="shared" si="24"/>
        <v>-1.5666396223410265E-2</v>
      </c>
      <c r="BK15" s="392">
        <f t="shared" si="25"/>
        <v>-3.1504711976533761E-2</v>
      </c>
      <c r="BL15" s="288" t="str">
        <f t="shared" si="2"/>
        <v/>
      </c>
      <c r="BM15" s="136" t="str">
        <f t="shared" si="3"/>
        <v/>
      </c>
      <c r="BN15" s="334">
        <v>63.449800000000003</v>
      </c>
      <c r="BO15" s="398"/>
      <c r="BP15" s="94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</row>
    <row r="16" spans="1:87" s="89" customFormat="1" ht="11.25">
      <c r="A16" s="359" t="s">
        <v>215</v>
      </c>
      <c r="B16" s="365" t="s">
        <v>249</v>
      </c>
      <c r="C16" s="366"/>
      <c r="D16" s="367">
        <v>0.39652777777777781</v>
      </c>
      <c r="E16" s="368">
        <v>58.747320000000002</v>
      </c>
      <c r="F16" s="369"/>
      <c r="G16" s="369"/>
      <c r="H16" s="359"/>
      <c r="I16" s="365" t="s">
        <v>94</v>
      </c>
      <c r="J16" s="358">
        <f>IF(ISERROR(VLOOKUP(I16,Max_Load_France!$B$2:$C$102,2,FALSE)/1000),"",VLOOKUP(I16,Max_Load_France!$B$2:$C$102,2,FALSE)/1000)</f>
        <v>40</v>
      </c>
      <c r="K16" s="296"/>
      <c r="L16" s="297">
        <f t="shared" si="0"/>
        <v>0.36499999999999994</v>
      </c>
      <c r="M16" s="358">
        <f>IF(VLOOKUP($I16,Max_Load_France!$B$2:$M$102,3,FALSE)="","",VLOOKUP($I16,Max_Load_France!$B$2:$M$102,3,FALSE))</f>
        <v>0</v>
      </c>
      <c r="N16" s="358">
        <f>IF(VLOOKUP($I16,Max_Load_France!$B$2:$M$102,4,FALSE)="","",VLOOKUP($I16,Max_Load_France!$B$2:$M$102,4,FALSE))</f>
        <v>0</v>
      </c>
      <c r="O16" s="358">
        <f>IF(VLOOKUP($I16,Max_Load_France!$B$2:$M$102,5,FALSE)="","",VLOOKUP($I16,Max_Load_France!$B$2:$M$102,5,FALSE))</f>
        <v>1</v>
      </c>
      <c r="P16" s="358">
        <f>IF(VLOOKUP($I16,Max_Load_France!$B$2:$M$102,6,FALSE)="","",VLOOKUP($I16,Max_Load_France!$B$2:$M$102,6,FALSE))</f>
        <v>1</v>
      </c>
      <c r="Q16" s="358">
        <f>IF(VLOOKUP($I16,Max_Load_France!$B$2:$M$102,7,FALSE)="","",VLOOKUP($I16,Max_Load_France!$B$2:$M$102,7,FALSE))</f>
        <v>1</v>
      </c>
      <c r="R16" s="358" t="str">
        <f>IF(VLOOKUP($I16,Max_Load_France!$B$2:$M$102,8,FALSE)="","",VLOOKUP($I16,Max_Load_France!$B$2:$M$102,8,FALSE))</f>
        <v/>
      </c>
      <c r="S16" s="358" t="str">
        <f>IF(VLOOKUP($I16,Max_Load_France!$B$2:$M$102,9,FALSE)="","",VLOOKUP($I16,Max_Load_France!$B$2:$M$102,9,FALSE))</f>
        <v/>
      </c>
      <c r="T16" s="358" t="str">
        <f>IF(VLOOKUP($I16,Max_Load_France!$B$2:$M$102,10,FALSE)="","",VLOOKUP($I16,Max_Load_France!$B$2:$M$102,10,FALSE))</f>
        <v/>
      </c>
      <c r="U16" s="358" t="str">
        <f>IF(VLOOKUP($I16,Max_Load_France!$B$2:$M$102,11,FALSE)="","",VLOOKUP($I16,Max_Load_France!$B$2:$M$102,11,FALSE))</f>
        <v/>
      </c>
      <c r="V16" s="357">
        <f t="shared" si="4"/>
        <v>5</v>
      </c>
      <c r="W16" s="299">
        <f t="shared" si="5"/>
        <v>14.599999999999998</v>
      </c>
      <c r="X16" s="308">
        <v>4.5999999999999996</v>
      </c>
      <c r="Y16" s="308">
        <v>3.8</v>
      </c>
      <c r="Z16" s="308">
        <v>2.1</v>
      </c>
      <c r="AA16" s="308">
        <v>2.1</v>
      </c>
      <c r="AB16" s="308">
        <v>2</v>
      </c>
      <c r="AC16" s="309"/>
      <c r="AD16" s="301"/>
      <c r="AE16" s="301"/>
      <c r="AF16" s="301"/>
      <c r="AG16" s="302">
        <f>IF(SUMIF(M16:R16,1,X16:AC16)&gt;0,SUMIF(M16:R16,1,X16:AC16),"")</f>
        <v>6.2</v>
      </c>
      <c r="AH16" s="302" t="str">
        <f t="shared" si="6"/>
        <v/>
      </c>
      <c r="AI16" s="302" t="str">
        <f t="shared" si="7"/>
        <v/>
      </c>
      <c r="AJ16" s="302" t="str">
        <f t="shared" si="8"/>
        <v/>
      </c>
      <c r="AK16" s="326">
        <f t="shared" si="1"/>
        <v>16.099571865443426</v>
      </c>
      <c r="AL16" s="354">
        <v>7.0060436450839285</v>
      </c>
      <c r="AM16" s="354">
        <v>2.9272285261698938</v>
      </c>
      <c r="AN16" s="308">
        <v>2.0554332313965338</v>
      </c>
      <c r="AO16" s="308">
        <v>2.0554332313965338</v>
      </c>
      <c r="AP16" s="308">
        <v>2.0554332313965338</v>
      </c>
      <c r="AQ16" s="309"/>
      <c r="AR16" s="301"/>
      <c r="AS16" s="301"/>
      <c r="AT16" s="301"/>
      <c r="AU16" s="331">
        <f t="shared" si="9"/>
        <v>6.1662996941896013</v>
      </c>
      <c r="AV16" s="331" t="str">
        <f t="shared" si="10"/>
        <v/>
      </c>
      <c r="AW16" s="302" t="str">
        <f t="shared" si="11"/>
        <v/>
      </c>
      <c r="AX16" s="302" t="str">
        <f t="shared" si="12"/>
        <v/>
      </c>
      <c r="AY16" s="349" t="str">
        <f t="shared" si="13"/>
        <v/>
      </c>
      <c r="AZ16" s="392" t="str">
        <f t="shared" si="14"/>
        <v/>
      </c>
      <c r="BA16" s="392" t="str">
        <f t="shared" si="15"/>
        <v/>
      </c>
      <c r="BB16" s="392" t="str">
        <f t="shared" si="16"/>
        <v/>
      </c>
      <c r="BC16" s="392" t="str">
        <f t="shared" si="17"/>
        <v/>
      </c>
      <c r="BD16" s="392" t="str">
        <f t="shared" si="18"/>
        <v/>
      </c>
      <c r="BE16" s="349" t="str">
        <f t="shared" si="19"/>
        <v/>
      </c>
      <c r="BF16" s="349" t="str">
        <f t="shared" si="20"/>
        <v/>
      </c>
      <c r="BG16" s="349" t="str">
        <f t="shared" si="21"/>
        <v/>
      </c>
      <c r="BH16" s="349" t="str">
        <f t="shared" si="22"/>
        <v/>
      </c>
      <c r="BI16" s="349" t="str">
        <f t="shared" si="23"/>
        <v/>
      </c>
      <c r="BJ16" s="392" t="str">
        <f t="shared" si="24"/>
        <v/>
      </c>
      <c r="BK16" s="392" t="str">
        <f t="shared" si="25"/>
        <v/>
      </c>
      <c r="BL16" s="288" t="str">
        <f t="shared" si="2"/>
        <v/>
      </c>
      <c r="BM16" s="136" t="str">
        <f t="shared" si="3"/>
        <v/>
      </c>
      <c r="BN16" s="334">
        <v>10.242100000000001</v>
      </c>
      <c r="BO16" s="398"/>
      <c r="BP16" s="94"/>
      <c r="BQ16" s="76"/>
      <c r="BR16" s="76"/>
      <c r="BS16" s="76"/>
      <c r="BT16" s="70"/>
      <c r="BU16" s="76"/>
      <c r="BV16" s="76"/>
      <c r="BW16" s="76"/>
      <c r="BX16" s="76"/>
      <c r="BY16" s="76"/>
      <c r="BZ16" s="76"/>
      <c r="CA16" s="76"/>
    </row>
    <row r="17" spans="1:79" s="89" customFormat="1" ht="11.25">
      <c r="A17" s="359" t="s">
        <v>216</v>
      </c>
      <c r="B17" s="365" t="s">
        <v>251</v>
      </c>
      <c r="C17" s="366"/>
      <c r="D17" s="367">
        <v>0.39999999999999997</v>
      </c>
      <c r="E17" s="368">
        <v>61.18524</v>
      </c>
      <c r="F17" s="369"/>
      <c r="G17" s="369"/>
      <c r="H17" s="359"/>
      <c r="I17" s="365" t="s">
        <v>139</v>
      </c>
      <c r="J17" s="358">
        <f>IF(ISERROR(VLOOKUP(I17,Max_Load_France!$B$2:$C$102,2,FALSE)/1000),"",VLOOKUP(I17,Max_Load_France!$B$2:$C$102,2,FALSE)/1000)</f>
        <v>40</v>
      </c>
      <c r="K17" s="296"/>
      <c r="L17" s="297">
        <f t="shared" si="0"/>
        <v>1.0074999999999998</v>
      </c>
      <c r="M17" s="358">
        <f>IF(VLOOKUP($I17,Max_Load_France!$B$2:$M$102,3,FALSE)="","",VLOOKUP($I17,Max_Load_France!$B$2:$M$102,3,FALSE))</f>
        <v>0</v>
      </c>
      <c r="N17" s="358">
        <f>IF(VLOOKUP($I17,Max_Load_France!$B$2:$M$102,4,FALSE)="","",VLOOKUP($I17,Max_Load_France!$B$2:$M$102,4,FALSE))</f>
        <v>1</v>
      </c>
      <c r="O17" s="358">
        <f>IF(VLOOKUP($I17,Max_Load_France!$B$2:$M$102,5,FALSE)="","",VLOOKUP($I17,Max_Load_France!$B$2:$M$102,5,FALSE))</f>
        <v>1</v>
      </c>
      <c r="P17" s="358">
        <f>IF(VLOOKUP($I17,Max_Load_France!$B$2:$M$102,6,FALSE)="","",VLOOKUP($I17,Max_Load_France!$B$2:$M$102,6,FALSE))</f>
        <v>0</v>
      </c>
      <c r="Q17" s="358">
        <f>IF(VLOOKUP($I17,Max_Load_France!$B$2:$M$102,7,FALSE)="","",VLOOKUP($I17,Max_Load_France!$B$2:$M$102,7,FALSE))</f>
        <v>2</v>
      </c>
      <c r="R17" s="358">
        <f>IF(VLOOKUP($I17,Max_Load_France!$B$2:$M$102,8,FALSE)="","",VLOOKUP($I17,Max_Load_France!$B$2:$M$102,8,FALSE))</f>
        <v>2</v>
      </c>
      <c r="S17" s="358" t="str">
        <f>IF(VLOOKUP($I17,Max_Load_France!$B$2:$M$102,9,FALSE)="","",VLOOKUP($I17,Max_Load_France!$B$2:$M$102,9,FALSE))</f>
        <v/>
      </c>
      <c r="T17" s="358" t="str">
        <f>IF(VLOOKUP($I17,Max_Load_France!$B$2:$M$102,10,FALSE)="","",VLOOKUP($I17,Max_Load_France!$B$2:$M$102,10,FALSE))</f>
        <v/>
      </c>
      <c r="U17" s="358" t="str">
        <f>IF(VLOOKUP($I17,Max_Load_France!$B$2:$M$102,11,FALSE)="","",VLOOKUP($I17,Max_Load_France!$B$2:$M$102,11,FALSE))</f>
        <v/>
      </c>
      <c r="V17" s="357">
        <f t="shared" si="4"/>
        <v>6</v>
      </c>
      <c r="W17" s="299">
        <f t="shared" si="5"/>
        <v>40.299999999999997</v>
      </c>
      <c r="X17" s="308">
        <v>7</v>
      </c>
      <c r="Y17" s="308">
        <v>12.6</v>
      </c>
      <c r="Z17" s="308">
        <v>7</v>
      </c>
      <c r="AA17" s="308">
        <v>6.9</v>
      </c>
      <c r="AB17" s="308">
        <v>3</v>
      </c>
      <c r="AC17" s="309">
        <v>3.8</v>
      </c>
      <c r="AD17" s="301"/>
      <c r="AE17" s="301"/>
      <c r="AF17" s="301"/>
      <c r="AG17" s="302">
        <f>IF(SUMIF(M17:R17,1,X17:AC17)&gt;0,SUMIF(M17:R17,1,X17:AC17),"")</f>
        <v>19.600000000000001</v>
      </c>
      <c r="AH17" s="302">
        <f t="shared" si="6"/>
        <v>6.8</v>
      </c>
      <c r="AI17" s="302" t="str">
        <f t="shared" si="7"/>
        <v/>
      </c>
      <c r="AJ17" s="302" t="str">
        <f t="shared" si="8"/>
        <v/>
      </c>
      <c r="AK17" s="326">
        <f t="shared" si="1"/>
        <v>37.66996941896025</v>
      </c>
      <c r="AL17" s="354">
        <v>6.168913743663559</v>
      </c>
      <c r="AM17" s="354">
        <v>13.128374737478133</v>
      </c>
      <c r="AN17" s="308">
        <v>6.6271967380224259</v>
      </c>
      <c r="AO17" s="308">
        <v>6.6271967380224259</v>
      </c>
      <c r="AP17" s="308">
        <v>2.5591437308868499</v>
      </c>
      <c r="AQ17" s="309">
        <v>2.5591437308868499</v>
      </c>
      <c r="AR17" s="301"/>
      <c r="AS17" s="301"/>
      <c r="AT17" s="301"/>
      <c r="AU17" s="331">
        <f t="shared" si="9"/>
        <v>19.75557147550056</v>
      </c>
      <c r="AV17" s="331">
        <f t="shared" si="10"/>
        <v>5.1182874617736998</v>
      </c>
      <c r="AW17" s="302" t="str">
        <f t="shared" si="11"/>
        <v/>
      </c>
      <c r="AX17" s="302" t="str">
        <f t="shared" si="12"/>
        <v/>
      </c>
      <c r="AY17" s="349">
        <f t="shared" si="13"/>
        <v>-6.5261304740440396E-2</v>
      </c>
      <c r="AZ17" s="392">
        <f t="shared" si="14"/>
        <v>-0.118726608048063</v>
      </c>
      <c r="BA17" s="392" t="str">
        <f t="shared" si="15"/>
        <v/>
      </c>
      <c r="BB17" s="392" t="str">
        <f t="shared" si="16"/>
        <v/>
      </c>
      <c r="BC17" s="392">
        <f t="shared" si="17"/>
        <v>-3.9536704634431076E-2</v>
      </c>
      <c r="BD17" s="392" t="str">
        <f t="shared" si="18"/>
        <v/>
      </c>
      <c r="BE17" s="349">
        <f t="shared" si="19"/>
        <v>4.1934502974455008E-2</v>
      </c>
      <c r="BF17" s="349">
        <f t="shared" si="20"/>
        <v>-5.3257608853939153E-2</v>
      </c>
      <c r="BG17" s="349" t="str">
        <f t="shared" si="21"/>
        <v/>
      </c>
      <c r="BH17" s="349" t="str">
        <f t="shared" si="22"/>
        <v/>
      </c>
      <c r="BI17" s="349" t="str">
        <f t="shared" si="23"/>
        <v/>
      </c>
      <c r="BJ17" s="392">
        <f t="shared" si="24"/>
        <v>7.9373201785999051E-3</v>
      </c>
      <c r="BK17" s="392">
        <f t="shared" si="25"/>
        <v>-0.2473106673862206</v>
      </c>
      <c r="BL17" s="288" t="str">
        <f t="shared" si="2"/>
        <v/>
      </c>
      <c r="BM17" s="136" t="str">
        <f t="shared" si="3"/>
        <v/>
      </c>
      <c r="BN17" s="334">
        <v>81.223699999999994</v>
      </c>
      <c r="BO17" s="398"/>
      <c r="BP17" s="94"/>
      <c r="BQ17" s="76"/>
      <c r="BR17" s="76"/>
      <c r="BS17" s="76"/>
      <c r="BT17" s="70"/>
      <c r="BU17" s="76"/>
      <c r="BV17" s="76"/>
      <c r="BW17" s="76"/>
      <c r="BX17" s="76"/>
      <c r="BY17" s="76"/>
      <c r="BZ17" s="76"/>
      <c r="CA17" s="76"/>
    </row>
    <row r="18" spans="1:79" s="89" customFormat="1" ht="11.25">
      <c r="A18" s="359" t="s">
        <v>217</v>
      </c>
      <c r="B18" s="365" t="s">
        <v>252</v>
      </c>
      <c r="C18" s="366"/>
      <c r="D18" s="367">
        <v>0.40416666666666662</v>
      </c>
      <c r="E18" s="368">
        <v>71.9298</v>
      </c>
      <c r="F18" s="369"/>
      <c r="G18" s="369"/>
      <c r="H18" s="359"/>
      <c r="I18" s="365" t="s">
        <v>130</v>
      </c>
      <c r="J18" s="358">
        <f>IF(ISERROR(VLOOKUP(I18,Max_Load_France!$B$2:$C$102,2,FALSE)/1000),"",VLOOKUP(I18,Max_Load_France!$B$2:$C$102,2,FALSE)/1000)</f>
        <v>40</v>
      </c>
      <c r="K18" s="296"/>
      <c r="L18" s="297">
        <f t="shared" si="0"/>
        <v>0.52500000000000002</v>
      </c>
      <c r="M18" s="358">
        <f>IF(VLOOKUP($I18,Max_Load_France!$B$2:$M$102,3,FALSE)="","",VLOOKUP($I18,Max_Load_France!$B$2:$M$102,3,FALSE))</f>
        <v>0</v>
      </c>
      <c r="N18" s="358">
        <f>IF(VLOOKUP($I18,Max_Load_France!$B$2:$M$102,4,FALSE)="","",VLOOKUP($I18,Max_Load_France!$B$2:$M$102,4,FALSE))</f>
        <v>1</v>
      </c>
      <c r="O18" s="358">
        <f>IF(VLOOKUP($I18,Max_Load_France!$B$2:$M$102,5,FALSE)="","",VLOOKUP($I18,Max_Load_France!$B$2:$M$102,5,FALSE))</f>
        <v>1</v>
      </c>
      <c r="P18" s="358">
        <f>IF(VLOOKUP($I18,Max_Load_France!$B$2:$M$102,6,FALSE)="","",VLOOKUP($I18,Max_Load_France!$B$2:$M$102,6,FALSE))</f>
        <v>2</v>
      </c>
      <c r="Q18" s="358">
        <f>IF(VLOOKUP($I18,Max_Load_France!$B$2:$M$102,7,FALSE)="","",VLOOKUP($I18,Max_Load_France!$B$2:$M$102,7,FALSE))</f>
        <v>2</v>
      </c>
      <c r="R18" s="358" t="str">
        <f>IF(VLOOKUP($I18,Max_Load_France!$B$2:$M$102,8,FALSE)="","",VLOOKUP($I18,Max_Load_France!$B$2:$M$102,8,FALSE))</f>
        <v/>
      </c>
      <c r="S18" s="358" t="str">
        <f>IF(VLOOKUP($I18,Max_Load_France!$B$2:$M$102,9,FALSE)="","",VLOOKUP($I18,Max_Load_France!$B$2:$M$102,9,FALSE))</f>
        <v/>
      </c>
      <c r="T18" s="358" t="str">
        <f>IF(VLOOKUP($I18,Max_Load_France!$B$2:$M$102,10,FALSE)="","",VLOOKUP($I18,Max_Load_France!$B$2:$M$102,10,FALSE))</f>
        <v/>
      </c>
      <c r="U18" s="358" t="str">
        <f>IF(VLOOKUP($I18,Max_Load_France!$B$2:$M$102,11,FALSE)="","",VLOOKUP($I18,Max_Load_France!$B$2:$M$102,11,FALSE))</f>
        <v/>
      </c>
      <c r="V18" s="357">
        <f t="shared" si="4"/>
        <v>5</v>
      </c>
      <c r="W18" s="299">
        <f t="shared" si="5"/>
        <v>21</v>
      </c>
      <c r="X18" s="308">
        <v>5.0999999999999996</v>
      </c>
      <c r="Y18" s="308">
        <v>5.9</v>
      </c>
      <c r="Z18" s="308">
        <v>5.7</v>
      </c>
      <c r="AA18" s="308">
        <v>2.2000000000000002</v>
      </c>
      <c r="AB18" s="308">
        <v>2.1</v>
      </c>
      <c r="AC18" s="309"/>
      <c r="AD18" s="301"/>
      <c r="AE18" s="301"/>
      <c r="AF18" s="301"/>
      <c r="AG18" s="302">
        <f t="shared" ref="AG18:AG46" si="26">IF(SUMIF(M18:R18,1,X18:AC18)&gt;0,SUMIF(M18:R18,1,X18:AC18),"")</f>
        <v>11.600000000000001</v>
      </c>
      <c r="AH18" s="302">
        <f t="shared" si="6"/>
        <v>4.3000000000000007</v>
      </c>
      <c r="AI18" s="302" t="str">
        <f t="shared" si="7"/>
        <v/>
      </c>
      <c r="AJ18" s="302" t="str">
        <f t="shared" si="8"/>
        <v/>
      </c>
      <c r="AK18" s="326">
        <f t="shared" si="1"/>
        <v>20.230428134556572</v>
      </c>
      <c r="AL18" s="354">
        <v>5.0116374746089427</v>
      </c>
      <c r="AM18" s="354">
        <v>5.5952228719761745</v>
      </c>
      <c r="AN18" s="308">
        <v>5.9621406727828745</v>
      </c>
      <c r="AO18" s="308">
        <v>1.8307135575942914</v>
      </c>
      <c r="AP18" s="308">
        <v>1.8307135575942914</v>
      </c>
      <c r="AQ18" s="309"/>
      <c r="AR18" s="301"/>
      <c r="AS18" s="301"/>
      <c r="AT18" s="301"/>
      <c r="AU18" s="331">
        <f t="shared" si="9"/>
        <v>11.557363544759049</v>
      </c>
      <c r="AV18" s="331">
        <f t="shared" si="10"/>
        <v>3.6614271151885829</v>
      </c>
      <c r="AW18" s="302" t="str">
        <f t="shared" si="11"/>
        <v/>
      </c>
      <c r="AX18" s="302" t="str">
        <f t="shared" si="12"/>
        <v/>
      </c>
      <c r="AY18" s="349">
        <f t="shared" si="13"/>
        <v>-3.6646279306829906E-2</v>
      </c>
      <c r="AZ18" s="392">
        <f t="shared" si="14"/>
        <v>-1.732598537079548E-2</v>
      </c>
      <c r="BA18" s="392" t="str">
        <f t="shared" si="15"/>
        <v/>
      </c>
      <c r="BB18" s="392" t="str">
        <f t="shared" si="16"/>
        <v/>
      </c>
      <c r="BC18" s="392" t="str">
        <f t="shared" si="17"/>
        <v/>
      </c>
      <c r="BD18" s="392" t="str">
        <f t="shared" si="18"/>
        <v/>
      </c>
      <c r="BE18" s="349">
        <f t="shared" si="19"/>
        <v>-5.1657140343021324E-2</v>
      </c>
      <c r="BF18" s="349">
        <f t="shared" si="20"/>
        <v>4.5989591716293743E-2</v>
      </c>
      <c r="BG18" s="349" t="str">
        <f t="shared" si="21"/>
        <v/>
      </c>
      <c r="BH18" s="349" t="str">
        <f t="shared" si="22"/>
        <v/>
      </c>
      <c r="BI18" s="349" t="str">
        <f t="shared" si="23"/>
        <v/>
      </c>
      <c r="BJ18" s="392">
        <f t="shared" si="24"/>
        <v>-3.6755564862889986E-3</v>
      </c>
      <c r="BK18" s="392" t="str">
        <f t="shared" si="25"/>
        <v/>
      </c>
      <c r="BL18" s="288" t="str">
        <f t="shared" si="2"/>
        <v/>
      </c>
      <c r="BM18" s="136" t="str">
        <f t="shared" si="3"/>
        <v/>
      </c>
      <c r="BN18" s="334">
        <v>49.796700000000001</v>
      </c>
      <c r="BO18" s="398"/>
      <c r="BP18" s="94"/>
      <c r="BQ18" s="76"/>
      <c r="BR18" s="76"/>
      <c r="BS18" s="76"/>
      <c r="BT18" s="76"/>
      <c r="BU18" s="76"/>
      <c r="BV18" s="76"/>
      <c r="BW18" s="76"/>
      <c r="BX18" s="76"/>
      <c r="BY18" s="76"/>
      <c r="BZ18" s="76"/>
      <c r="CA18" s="76"/>
    </row>
    <row r="19" spans="1:79" s="89" customFormat="1" ht="11.25">
      <c r="A19" s="359" t="s">
        <v>218</v>
      </c>
      <c r="B19" s="365" t="s">
        <v>253</v>
      </c>
      <c r="C19" s="366"/>
      <c r="D19" s="367">
        <v>0.41736111111111113</v>
      </c>
      <c r="E19" s="368">
        <v>64.111320000000006</v>
      </c>
      <c r="F19" s="369"/>
      <c r="G19" s="369"/>
      <c r="H19" s="359"/>
      <c r="I19" s="365" t="s">
        <v>94</v>
      </c>
      <c r="J19" s="358">
        <f>IF(ISERROR(VLOOKUP(I19,Max_Load_France!$B$2:$C$102,2,FALSE)/1000),"",VLOOKUP(I19,Max_Load_France!$B$2:$C$102,2,FALSE)/1000)</f>
        <v>40</v>
      </c>
      <c r="K19" s="296"/>
      <c r="L19" s="297">
        <f t="shared" si="0"/>
        <v>1.0299999999999998</v>
      </c>
      <c r="M19" s="358">
        <f>IF(VLOOKUP($I19,Max_Load_France!$B$2:$M$102,3,FALSE)="","",VLOOKUP($I19,Max_Load_France!$B$2:$M$102,3,FALSE))</f>
        <v>0</v>
      </c>
      <c r="N19" s="358">
        <f>IF(VLOOKUP($I19,Max_Load_France!$B$2:$M$102,4,FALSE)="","",VLOOKUP($I19,Max_Load_France!$B$2:$M$102,4,FALSE))</f>
        <v>0</v>
      </c>
      <c r="O19" s="358">
        <f>IF(VLOOKUP($I19,Max_Load_France!$B$2:$M$102,5,FALSE)="","",VLOOKUP($I19,Max_Load_France!$B$2:$M$102,5,FALSE))</f>
        <v>1</v>
      </c>
      <c r="P19" s="358">
        <f>IF(VLOOKUP($I19,Max_Load_France!$B$2:$M$102,6,FALSE)="","",VLOOKUP($I19,Max_Load_France!$B$2:$M$102,6,FALSE))</f>
        <v>1</v>
      </c>
      <c r="Q19" s="358">
        <f>IF(VLOOKUP($I19,Max_Load_France!$B$2:$M$102,7,FALSE)="","",VLOOKUP($I19,Max_Load_France!$B$2:$M$102,7,FALSE))</f>
        <v>1</v>
      </c>
      <c r="R19" s="358" t="str">
        <f>IF(VLOOKUP($I19,Max_Load_France!$B$2:$M$102,8,FALSE)="","",VLOOKUP($I19,Max_Load_France!$B$2:$M$102,8,FALSE))</f>
        <v/>
      </c>
      <c r="S19" s="358" t="str">
        <f>IF(VLOOKUP($I19,Max_Load_France!$B$2:$M$102,9,FALSE)="","",VLOOKUP($I19,Max_Load_France!$B$2:$M$102,9,FALSE))</f>
        <v/>
      </c>
      <c r="T19" s="358" t="str">
        <f>IF(VLOOKUP($I19,Max_Load_France!$B$2:$M$102,10,FALSE)="","",VLOOKUP($I19,Max_Load_France!$B$2:$M$102,10,FALSE))</f>
        <v/>
      </c>
      <c r="U19" s="358" t="str">
        <f>IF(VLOOKUP($I19,Max_Load_France!$B$2:$M$102,11,FALSE)="","",VLOOKUP($I19,Max_Load_France!$B$2:$M$102,11,FALSE))</f>
        <v/>
      </c>
      <c r="V19" s="357">
        <f t="shared" si="4"/>
        <v>5</v>
      </c>
      <c r="W19" s="299">
        <f t="shared" si="5"/>
        <v>41.199999999999996</v>
      </c>
      <c r="X19" s="308">
        <v>7.1</v>
      </c>
      <c r="Y19" s="308">
        <v>15</v>
      </c>
      <c r="Z19" s="308">
        <v>6.4</v>
      </c>
      <c r="AA19" s="308">
        <v>6.3</v>
      </c>
      <c r="AB19" s="308">
        <v>6.4</v>
      </c>
      <c r="AC19" s="309"/>
      <c r="AD19" s="301"/>
      <c r="AE19" s="301"/>
      <c r="AF19" s="301"/>
      <c r="AG19" s="302">
        <f t="shared" si="26"/>
        <v>19.100000000000001</v>
      </c>
      <c r="AH19" s="302" t="str">
        <f t="shared" si="6"/>
        <v/>
      </c>
      <c r="AI19" s="302" t="str">
        <f t="shared" si="7"/>
        <v/>
      </c>
      <c r="AJ19" s="302" t="str">
        <f t="shared" si="8"/>
        <v/>
      </c>
      <c r="AK19" s="326">
        <f t="shared" si="1"/>
        <v>38.256931702344545</v>
      </c>
      <c r="AL19" s="354">
        <v>5.8774636303034624</v>
      </c>
      <c r="AM19" s="354">
        <v>15.0084283166894</v>
      </c>
      <c r="AN19" s="308">
        <v>5.7903465851172271</v>
      </c>
      <c r="AO19" s="308">
        <v>5.7903465851172271</v>
      </c>
      <c r="AP19" s="308">
        <v>5.7903465851172271</v>
      </c>
      <c r="AQ19" s="309"/>
      <c r="AR19" s="301"/>
      <c r="AS19" s="301"/>
      <c r="AT19" s="301"/>
      <c r="AU19" s="331">
        <f t="shared" si="9"/>
        <v>17.371039755351681</v>
      </c>
      <c r="AV19" s="331" t="str">
        <f t="shared" si="10"/>
        <v/>
      </c>
      <c r="AW19" s="302" t="str">
        <f t="shared" si="11"/>
        <v/>
      </c>
      <c r="AX19" s="302" t="str">
        <f t="shared" si="12"/>
        <v/>
      </c>
      <c r="AY19" s="349">
        <f>IF(AND($BO$10="Yes",$BO19="MP"),"",IF(AK19=0,"",IF($W19/$V19&lt;$BN$6,"",IF($BN19&lt;$BN$10,IF(W19&gt;0,(AK19-W19)/W19,""),""))))</f>
        <v>-7.1433696545035216E-2</v>
      </c>
      <c r="AZ19" s="392">
        <f>IF(AND($BO$10="Yes",$BO19="MP"),"",IF(M19=0,IF(AL19&lt;$BN$7,"",IF($W19/$V19&lt;$BN$6,"",IF($BN19&lt;$BN$10,IF(X19&gt;0,(AL19-X19)/X19,""),""))),""))</f>
        <v>-0.17218822108401935</v>
      </c>
      <c r="BA19" s="392">
        <f>IF(N19=0,IF(AM19&lt;$BN$7,"",IF($W19/$V19&lt;$BN$6,"",IF($BN19&lt;$BN$10,IF(Y19&gt;0,(AM19-Y19)/Y19,""),""))),"")</f>
        <v>5.6188777929335745E-4</v>
      </c>
      <c r="BB19" s="392" t="str">
        <f>IF(O19=0,IF(AN19&lt;$BN$7,"",IF($W19/$V19&lt;$BN$6,"",IF($BN19&lt;$BN$10,IF(Z19&gt;0,(AN19-Z19)/Z19,""),""))),"")</f>
        <v/>
      </c>
      <c r="BC19" s="392" t="str">
        <f>IF(P19=0,IF(AO19&lt;$BN$7,"",IF($W19/$V19&lt;$BN$6,"",IF($BN19&lt;$BN$10,IF(AA19&gt;0,(AO19-AA19)/AA19,""),""))),"")</f>
        <v/>
      </c>
      <c r="BD19" s="392" t="str">
        <f>IF(Q19=0,IF(AP19&lt;$BN$7,"",IF($W19/$V19&lt;$BN$6,"",IF($BN19&lt;$BN$10,IF(AB19&gt;0,(AP19-AB19)/AB19,""),""))),"")</f>
        <v/>
      </c>
      <c r="BE19" s="349" t="str">
        <f>IF(AND($BO$10="Yes",$BO19="MP"),"",IF(N19&gt;0,IF(AM19&lt;$BN$7,"",IF($W19/$V19&lt;$BN$6,"",IF($BN19&lt;$BN$10,IF(Y19&gt;0,(AM19-Y19)/Y19,""),""))),""))</f>
        <v/>
      </c>
      <c r="BF19" s="349">
        <f>IF(O19&gt;0,IF(AN19&lt;$BN$7,"",IF($W19/$V19&lt;$BN$6,"",IF($BN19&lt;$BN$10,IF(Z19&gt;0,(AN19-Z19)/Z19,""),""))),"")</f>
        <v>-9.525834607543332E-2</v>
      </c>
      <c r="BG19" s="349">
        <f>IF(P19&gt;0,IF(AO19&lt;$BN$7,"",IF($W19/$V19&lt;$BN$6,"",IF($BN19&lt;$BN$10,IF(AA19&gt;0,(AO19-AA19)/AA19,""),""))),"")</f>
        <v>-8.0897367441709958E-2</v>
      </c>
      <c r="BH19" s="349">
        <f>IF(Q19&gt;0,IF(AP19&lt;$BN$7,"",IF($W19/$V19&lt;$BN$6,"",IF($BN19&lt;$BN$10,IF(AB19&gt;0,(AP19-AB19)/AB19,""),""))),"")</f>
        <v>-9.525834607543332E-2</v>
      </c>
      <c r="BI19" s="349" t="str">
        <f>IF(R19&gt;0,IF(AQ19&lt;$BN$7,"",IF($W19/$V19&lt;$BN$6,"",IF($BN19&lt;$BN$10,IF(AC19&gt;0,(AQ19-AC19)/AC19,""),""))),"")</f>
        <v/>
      </c>
      <c r="BJ19" s="392">
        <f>IF(AND($BO$10="Yes",$BO19="MP"),"",IF(AG19&lt;$BN$6*COUNTIF(M19:R19,1),"",IF($BN19&lt;$BN$10,IF($BN19&lt;$BN$10,IF(AG19&lt;&gt;"",(AU19-AG19)/AG19,""),""))))</f>
        <v>-9.0521478777398953E-2</v>
      </c>
      <c r="BK19" s="392" t="str">
        <f>IF(AND($BO$10="Yes",$BO19="MP"),"",IF(AH19&lt;$BN$6*COUNTIF(M19:R19,2),"",IF($BN19&lt;$BN$10,IF(AH19&lt;&gt;"",(AV19-AH19)/AH19,""),"")))</f>
        <v/>
      </c>
      <c r="BL19" s="288" t="str">
        <f t="shared" si="2"/>
        <v/>
      </c>
      <c r="BM19" s="136" t="str">
        <f t="shared" si="3"/>
        <v/>
      </c>
      <c r="BN19" s="334">
        <v>69.507900000000006</v>
      </c>
      <c r="BO19" s="398"/>
      <c r="BP19" s="94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</row>
    <row r="20" spans="1:79" s="89" customFormat="1" ht="11.25">
      <c r="A20" s="397" t="s">
        <v>219</v>
      </c>
      <c r="B20" s="365" t="s">
        <v>254</v>
      </c>
      <c r="C20" s="366"/>
      <c r="D20" s="367">
        <v>0.4284722222222222</v>
      </c>
      <c r="E20" s="368">
        <v>57.825719999999997</v>
      </c>
      <c r="F20" s="369"/>
      <c r="G20" s="369"/>
      <c r="H20" s="359"/>
      <c r="I20" s="365" t="s">
        <v>94</v>
      </c>
      <c r="J20" s="358">
        <f>IF(ISERROR(VLOOKUP(I20,Max_Load_France!$B$2:$C$102,2,FALSE)/1000),"",VLOOKUP(I20,Max_Load_France!$B$2:$C$102,2,FALSE)/1000)</f>
        <v>40</v>
      </c>
      <c r="K20" s="296"/>
      <c r="L20" s="297">
        <f t="shared" si="0"/>
        <v>0.99250000000000005</v>
      </c>
      <c r="M20" s="358">
        <f>IF(VLOOKUP($I20,Max_Load_France!$B$2:$M$102,3,FALSE)="","",VLOOKUP($I20,Max_Load_France!$B$2:$M$102,3,FALSE))</f>
        <v>0</v>
      </c>
      <c r="N20" s="358">
        <f>IF(VLOOKUP($I20,Max_Load_France!$B$2:$M$102,4,FALSE)="","",VLOOKUP($I20,Max_Load_France!$B$2:$M$102,4,FALSE))</f>
        <v>0</v>
      </c>
      <c r="O20" s="358">
        <f>IF(VLOOKUP($I20,Max_Load_France!$B$2:$M$102,5,FALSE)="","",VLOOKUP($I20,Max_Load_France!$B$2:$M$102,5,FALSE))</f>
        <v>1</v>
      </c>
      <c r="P20" s="358">
        <f>IF(VLOOKUP($I20,Max_Load_France!$B$2:$M$102,6,FALSE)="","",VLOOKUP($I20,Max_Load_France!$B$2:$M$102,6,FALSE))</f>
        <v>1</v>
      </c>
      <c r="Q20" s="358">
        <f>IF(VLOOKUP($I20,Max_Load_France!$B$2:$M$102,7,FALSE)="","",VLOOKUP($I20,Max_Load_France!$B$2:$M$102,7,FALSE))</f>
        <v>1</v>
      </c>
      <c r="R20" s="358" t="str">
        <f>IF(VLOOKUP($I20,Max_Load_France!$B$2:$M$102,8,FALSE)="","",VLOOKUP($I20,Max_Load_France!$B$2:$M$102,8,FALSE))</f>
        <v/>
      </c>
      <c r="S20" s="358" t="str">
        <f>IF(VLOOKUP($I20,Max_Load_France!$B$2:$M$102,9,FALSE)="","",VLOOKUP($I20,Max_Load_France!$B$2:$M$102,9,FALSE))</f>
        <v/>
      </c>
      <c r="T20" s="358" t="str">
        <f>IF(VLOOKUP($I20,Max_Load_France!$B$2:$M$102,10,FALSE)="","",VLOOKUP($I20,Max_Load_France!$B$2:$M$102,10,FALSE))</f>
        <v/>
      </c>
      <c r="U20" s="358" t="str">
        <f>IF(VLOOKUP($I20,Max_Load_France!$B$2:$M$102,11,FALSE)="","",VLOOKUP($I20,Max_Load_France!$B$2:$M$102,11,FALSE))</f>
        <v/>
      </c>
      <c r="V20" s="357">
        <f t="shared" si="4"/>
        <v>5</v>
      </c>
      <c r="W20" s="299">
        <f t="shared" si="5"/>
        <v>39.700000000000003</v>
      </c>
      <c r="X20" s="308">
        <v>7.4</v>
      </c>
      <c r="Y20" s="308">
        <v>14.8</v>
      </c>
      <c r="Z20" s="308">
        <v>5.0999999999999996</v>
      </c>
      <c r="AA20" s="308">
        <v>6</v>
      </c>
      <c r="AB20" s="308">
        <v>6.4</v>
      </c>
      <c r="AC20" s="309"/>
      <c r="AD20" s="301"/>
      <c r="AE20" s="301"/>
      <c r="AF20" s="301"/>
      <c r="AG20" s="302">
        <f t="shared" si="26"/>
        <v>17.5</v>
      </c>
      <c r="AH20" s="302" t="str">
        <f t="shared" si="6"/>
        <v/>
      </c>
      <c r="AI20" s="302" t="str">
        <f t="shared" si="7"/>
        <v/>
      </c>
      <c r="AJ20" s="302" t="str">
        <f t="shared" si="8"/>
        <v/>
      </c>
      <c r="AK20" s="326">
        <f t="shared" si="1"/>
        <v>39.686197757390417</v>
      </c>
      <c r="AL20" s="354">
        <v>7.0092443388339385</v>
      </c>
      <c r="AM20" s="354">
        <v>15.39753445831183</v>
      </c>
      <c r="AN20" s="308">
        <v>5.759806320081549</v>
      </c>
      <c r="AO20" s="308">
        <v>5.759806320081549</v>
      </c>
      <c r="AP20" s="308">
        <v>5.759806320081549</v>
      </c>
      <c r="AQ20" s="309"/>
      <c r="AR20" s="301"/>
      <c r="AS20" s="301"/>
      <c r="AT20" s="301"/>
      <c r="AU20" s="331">
        <f t="shared" si="9"/>
        <v>17.279418960244648</v>
      </c>
      <c r="AV20" s="331" t="str">
        <f t="shared" si="10"/>
        <v/>
      </c>
      <c r="AW20" s="302" t="str">
        <f t="shared" si="11"/>
        <v/>
      </c>
      <c r="AX20" s="302" t="str">
        <f t="shared" si="12"/>
        <v/>
      </c>
      <c r="AY20" s="349">
        <f t="shared" ref="AY20:AY24" si="27">IF(AND($BO$10="Yes",$BO20="MP"),"",IF(AK20=0,"",IF($W20/$V20&lt;$BN$6,"",IF($BN20&lt;$BN$10,IF(W20&gt;0,(AK20-W20)/W20,""),""))))</f>
        <v>-3.4766354180316988E-4</v>
      </c>
      <c r="AZ20" s="392">
        <f t="shared" ref="AZ20:AZ24" si="28">IF(AND($BO$10="Yes",$BO20="MP"),"",IF(M20=0,IF(AL20&lt;$BN$7,"",IF($W20/$V20&lt;$BN$6,"",IF($BN20&lt;$BN$10,IF(X20&gt;0,(AL20-X20)/X20,""),""))),""))</f>
        <v>-5.2804819076494841E-2</v>
      </c>
      <c r="BA20" s="392">
        <f t="shared" ref="BA20:BA24" si="29">IF(N20=0,IF(AM20&lt;$BN$7,"",IF($W20/$V20&lt;$BN$6,"",IF($BN20&lt;$BN$10,IF(Y20&gt;0,(AM20-Y20)/Y20,""),""))),"")</f>
        <v>4.0373949885934388E-2</v>
      </c>
      <c r="BB20" s="392" t="str">
        <f t="shared" ref="BB20:BB24" si="30">IF(O20=0,IF(AN20&lt;$BN$7,"",IF($W20/$V20&lt;$BN$6,"",IF($BN20&lt;$BN$10,IF(Z20&gt;0,(AN20-Z20)/Z20,""),""))),"")</f>
        <v/>
      </c>
      <c r="BC20" s="392" t="str">
        <f t="shared" ref="BC20:BC24" si="31">IF(P20=0,IF(AO20&lt;$BN$7,"",IF($W20/$V20&lt;$BN$6,"",IF($BN20&lt;$BN$10,IF(AA20&gt;0,(AO20-AA20)/AA20,""),""))),"")</f>
        <v/>
      </c>
      <c r="BD20" s="392" t="str">
        <f t="shared" ref="BD20:BD24" si="32">IF(Q20=0,IF(AP20&lt;$BN$7,"",IF($W20/$V20&lt;$BN$6,"",IF($BN20&lt;$BN$10,IF(AB20&gt;0,(AP20-AB20)/AB20,""),""))),"")</f>
        <v/>
      </c>
      <c r="BE20" s="349" t="str">
        <f t="shared" ref="BE20:BE24" si="33">IF(AND($BO$10="Yes",$BO20="MP"),"",IF(N20&gt;0,IF(AM20&lt;$BN$7,"",IF($W20/$V20&lt;$BN$6,"",IF($BN20&lt;$BN$10,IF(Y20&gt;0,(AM20-Y20)/Y20,""),""))),""))</f>
        <v/>
      </c>
      <c r="BF20" s="349">
        <f t="shared" ref="BF20:BF24" si="34">IF(O20&gt;0,IF(AN20&lt;$BN$7,"",IF($W20/$V20&lt;$BN$6,"",IF($BN20&lt;$BN$10,IF(Z20&gt;0,(AN20-Z20)/Z20,""),""))),"")</f>
        <v>0.12937378825128421</v>
      </c>
      <c r="BG20" s="349">
        <f t="shared" ref="BG20:BG24" si="35">IF(P20&gt;0,IF(AO20&lt;$BN$7,"",IF($W20/$V20&lt;$BN$6,"",IF($BN20&lt;$BN$10,IF(AA20&gt;0,(AO20-AA20)/AA20,""),""))),"")</f>
        <v>-4.0032279986408494E-2</v>
      </c>
      <c r="BH20" s="349">
        <f t="shared" ref="BH20:BH24" si="36">IF(Q20&gt;0,IF(AP20&lt;$BN$7,"",IF($W20/$V20&lt;$BN$6,"",IF($BN20&lt;$BN$10,IF(AB20&gt;0,(AP20-AB20)/AB20,""),""))),"")</f>
        <v>-0.10003026248725802</v>
      </c>
      <c r="BI20" s="349" t="str">
        <f t="shared" ref="BI20:BI24" si="37">IF(R20&gt;0,IF(AQ20&lt;$BN$7,"",IF($W20/$V20&lt;$BN$6,"",IF($BN20&lt;$BN$10,IF(AC20&gt;0,(AQ20-AC20)/AC20,""),""))),"")</f>
        <v/>
      </c>
      <c r="BJ20" s="392">
        <f t="shared" ref="BJ20:BJ24" si="38">IF(AND($BO$10="Yes",$BO20="MP"),"",IF(AG20&lt;$BN$6*COUNTIF(M20:R20,1),"",IF($BN20&lt;$BN$10,IF($BN20&lt;$BN$10,IF(AG20&lt;&gt;"",(AU20-AG20)/AG20,""),""))))</f>
        <v>-1.2604630843162974E-2</v>
      </c>
      <c r="BK20" s="392" t="str">
        <f t="shared" ref="BK20:BK24" si="39">IF(AND($BO$10="Yes",$BO20="MP"),"",IF(AH20&lt;$BN$6*COUNTIF(M20:R20,2),"",IF($BN20&lt;$BN$10,IF(AH20&lt;&gt;"",(AV20-AH20)/AH20,""),"")))</f>
        <v/>
      </c>
      <c r="BL20" s="288" t="str">
        <f t="shared" si="2"/>
        <v/>
      </c>
      <c r="BM20" s="136" t="str">
        <f t="shared" si="3"/>
        <v/>
      </c>
      <c r="BN20" s="334">
        <v>102.596</v>
      </c>
      <c r="BO20" s="398"/>
      <c r="BP20" s="94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</row>
    <row r="21" spans="1:79" s="89" customFormat="1" ht="11.25">
      <c r="A21" s="359" t="s">
        <v>220</v>
      </c>
      <c r="B21" s="365" t="s">
        <v>255</v>
      </c>
      <c r="C21" s="366"/>
      <c r="D21" s="367">
        <v>0.44027777777777777</v>
      </c>
      <c r="E21" s="368">
        <v>54.411839999999998</v>
      </c>
      <c r="F21" s="369"/>
      <c r="G21" s="369"/>
      <c r="H21" s="359"/>
      <c r="I21" s="365" t="s">
        <v>94</v>
      </c>
      <c r="J21" s="358">
        <f>IF(ISERROR(VLOOKUP(I21,Max_Load_France!$B$2:$C$102,2,FALSE)/1000),"",VLOOKUP(I21,Max_Load_France!$B$2:$C$102,2,FALSE)/1000)</f>
        <v>40</v>
      </c>
      <c r="K21" s="296"/>
      <c r="L21" s="297">
        <f t="shared" ref="L21:L35" si="40">W21/J21</f>
        <v>0.89499999999999991</v>
      </c>
      <c r="M21" s="358">
        <f>IF(VLOOKUP($I21,Max_Load_France!$B$2:$M$102,3,FALSE)="","",VLOOKUP($I21,Max_Load_France!$B$2:$M$102,3,FALSE))</f>
        <v>0</v>
      </c>
      <c r="N21" s="358">
        <f>IF(VLOOKUP($I21,Max_Load_France!$B$2:$M$102,4,FALSE)="","",VLOOKUP($I21,Max_Load_France!$B$2:$M$102,4,FALSE))</f>
        <v>0</v>
      </c>
      <c r="O21" s="358">
        <f>IF(VLOOKUP($I21,Max_Load_France!$B$2:$M$102,5,FALSE)="","",VLOOKUP($I21,Max_Load_France!$B$2:$M$102,5,FALSE))</f>
        <v>1</v>
      </c>
      <c r="P21" s="358">
        <f>IF(VLOOKUP($I21,Max_Load_France!$B$2:$M$102,6,FALSE)="","",VLOOKUP($I21,Max_Load_France!$B$2:$M$102,6,FALSE))</f>
        <v>1</v>
      </c>
      <c r="Q21" s="358">
        <f>IF(VLOOKUP($I21,Max_Load_France!$B$2:$M$102,7,FALSE)="","",VLOOKUP($I21,Max_Load_France!$B$2:$M$102,7,FALSE))</f>
        <v>1</v>
      </c>
      <c r="R21" s="358" t="str">
        <f>IF(VLOOKUP($I21,Max_Load_France!$B$2:$M$102,8,FALSE)="","",VLOOKUP($I21,Max_Load_France!$B$2:$M$102,8,FALSE))</f>
        <v/>
      </c>
      <c r="S21" s="358" t="str">
        <f>IF(VLOOKUP($I21,Max_Load_France!$B$2:$M$102,9,FALSE)="","",VLOOKUP($I21,Max_Load_France!$B$2:$M$102,9,FALSE))</f>
        <v/>
      </c>
      <c r="T21" s="358" t="str">
        <f>IF(VLOOKUP($I21,Max_Load_France!$B$2:$M$102,10,FALSE)="","",VLOOKUP($I21,Max_Load_France!$B$2:$M$102,10,FALSE))</f>
        <v/>
      </c>
      <c r="U21" s="358" t="str">
        <f>IF(VLOOKUP($I21,Max_Load_France!$B$2:$M$102,11,FALSE)="","",VLOOKUP($I21,Max_Load_France!$B$2:$M$102,11,FALSE))</f>
        <v/>
      </c>
      <c r="V21" s="357">
        <f t="shared" si="4"/>
        <v>5</v>
      </c>
      <c r="W21" s="299">
        <f t="shared" si="5"/>
        <v>35.799999999999997</v>
      </c>
      <c r="X21" s="308">
        <v>7.1</v>
      </c>
      <c r="Y21" s="308">
        <v>9.5</v>
      </c>
      <c r="Z21" s="308">
        <v>6.7</v>
      </c>
      <c r="AA21" s="308">
        <v>6.2</v>
      </c>
      <c r="AB21" s="308">
        <v>6.3</v>
      </c>
      <c r="AC21" s="309"/>
      <c r="AD21" s="301"/>
      <c r="AE21" s="301"/>
      <c r="AF21" s="301"/>
      <c r="AG21" s="302">
        <f t="shared" si="26"/>
        <v>19.2</v>
      </c>
      <c r="AH21" s="302" t="str">
        <f t="shared" si="6"/>
        <v/>
      </c>
      <c r="AI21" s="302" t="str">
        <f t="shared" si="7"/>
        <v/>
      </c>
      <c r="AJ21" s="302" t="str">
        <f t="shared" si="8"/>
        <v/>
      </c>
      <c r="AK21" s="326">
        <f t="shared" si="1"/>
        <v>38.671651376146791</v>
      </c>
      <c r="AL21" s="354">
        <v>7.7502434382780354</v>
      </c>
      <c r="AM21" s="354">
        <v>10.143181638174564</v>
      </c>
      <c r="AN21" s="308">
        <v>6.9260754332313965</v>
      </c>
      <c r="AO21" s="308">
        <v>6.9260754332313965</v>
      </c>
      <c r="AP21" s="308">
        <v>6.9260754332313965</v>
      </c>
      <c r="AQ21" s="309"/>
      <c r="AR21" s="301"/>
      <c r="AS21" s="301"/>
      <c r="AT21" s="301"/>
      <c r="AU21" s="331">
        <f t="shared" si="9"/>
        <v>20.77822629969419</v>
      </c>
      <c r="AV21" s="331" t="str">
        <f t="shared" si="10"/>
        <v/>
      </c>
      <c r="AW21" s="302" t="str">
        <f t="shared" si="11"/>
        <v/>
      </c>
      <c r="AX21" s="302" t="str">
        <f t="shared" si="12"/>
        <v/>
      </c>
      <c r="AY21" s="349">
        <f t="shared" si="27"/>
        <v>8.0213725590692564E-2</v>
      </c>
      <c r="AZ21" s="392">
        <f t="shared" si="28"/>
        <v>9.1583582856061385E-2</v>
      </c>
      <c r="BA21" s="392">
        <f t="shared" si="29"/>
        <v>6.7703330334164646E-2</v>
      </c>
      <c r="BB21" s="392" t="str">
        <f t="shared" si="30"/>
        <v/>
      </c>
      <c r="BC21" s="392" t="str">
        <f t="shared" si="31"/>
        <v/>
      </c>
      <c r="BD21" s="392" t="str">
        <f t="shared" si="32"/>
        <v/>
      </c>
      <c r="BE21" s="349" t="str">
        <f t="shared" si="33"/>
        <v/>
      </c>
      <c r="BF21" s="349">
        <f t="shared" si="34"/>
        <v>3.3742601974835272E-2</v>
      </c>
      <c r="BG21" s="349">
        <f t="shared" si="35"/>
        <v>0.1171089408437736</v>
      </c>
      <c r="BH21" s="349">
        <f t="shared" si="36"/>
        <v>9.9377052893872497E-2</v>
      </c>
      <c r="BI21" s="349" t="str">
        <f t="shared" si="37"/>
        <v/>
      </c>
      <c r="BJ21" s="392">
        <f t="shared" si="38"/>
        <v>8.2199286442405747E-2</v>
      </c>
      <c r="BK21" s="392" t="str">
        <f t="shared" si="39"/>
        <v/>
      </c>
      <c r="BL21" s="288" t="str">
        <f t="shared" si="2"/>
        <v/>
      </c>
      <c r="BM21" s="136" t="str">
        <f t="shared" si="3"/>
        <v/>
      </c>
      <c r="BN21" s="334">
        <v>53.984200000000001</v>
      </c>
      <c r="BO21" s="398"/>
      <c r="BP21" s="94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</row>
    <row r="22" spans="1:79" s="89" customFormat="1" ht="11.25">
      <c r="A22" s="359" t="s">
        <v>221</v>
      </c>
      <c r="B22" s="365" t="s">
        <v>256</v>
      </c>
      <c r="C22" s="366"/>
      <c r="D22" s="367">
        <v>0.44722222222222219</v>
      </c>
      <c r="E22" s="368">
        <v>55.434600000000003</v>
      </c>
      <c r="F22" s="369"/>
      <c r="G22" s="369"/>
      <c r="H22" s="359"/>
      <c r="I22" s="365" t="s">
        <v>94</v>
      </c>
      <c r="J22" s="358">
        <f>IF(ISERROR(VLOOKUP(I22,Max_Load_France!$B$2:$C$102,2,FALSE)/1000),"",VLOOKUP(I22,Max_Load_France!$B$2:$C$102,2,FALSE)/1000)</f>
        <v>40</v>
      </c>
      <c r="K22" s="296"/>
      <c r="L22" s="297">
        <f t="shared" si="40"/>
        <v>1.0325</v>
      </c>
      <c r="M22" s="358">
        <f>IF(VLOOKUP($I22,Max_Load_France!$B$2:$M$102,3,FALSE)="","",VLOOKUP($I22,Max_Load_France!$B$2:$M$102,3,FALSE))</f>
        <v>0</v>
      </c>
      <c r="N22" s="358">
        <f>IF(VLOOKUP($I22,Max_Load_France!$B$2:$M$102,4,FALSE)="","",VLOOKUP($I22,Max_Load_France!$B$2:$M$102,4,FALSE))</f>
        <v>0</v>
      </c>
      <c r="O22" s="358">
        <f>IF(VLOOKUP($I22,Max_Load_France!$B$2:$M$102,5,FALSE)="","",VLOOKUP($I22,Max_Load_France!$B$2:$M$102,5,FALSE))</f>
        <v>1</v>
      </c>
      <c r="P22" s="358">
        <f>IF(VLOOKUP($I22,Max_Load_France!$B$2:$M$102,6,FALSE)="","",VLOOKUP($I22,Max_Load_France!$B$2:$M$102,6,FALSE))</f>
        <v>1</v>
      </c>
      <c r="Q22" s="358">
        <f>IF(VLOOKUP($I22,Max_Load_France!$B$2:$M$102,7,FALSE)="","",VLOOKUP($I22,Max_Load_France!$B$2:$M$102,7,FALSE))</f>
        <v>1</v>
      </c>
      <c r="R22" s="358" t="str">
        <f>IF(VLOOKUP($I22,Max_Load_France!$B$2:$M$102,8,FALSE)="","",VLOOKUP($I22,Max_Load_France!$B$2:$M$102,8,FALSE))</f>
        <v/>
      </c>
      <c r="S22" s="358" t="str">
        <f>IF(VLOOKUP($I22,Max_Load_France!$B$2:$M$102,9,FALSE)="","",VLOOKUP($I22,Max_Load_France!$B$2:$M$102,9,FALSE))</f>
        <v/>
      </c>
      <c r="T22" s="358" t="str">
        <f>IF(VLOOKUP($I22,Max_Load_France!$B$2:$M$102,10,FALSE)="","",VLOOKUP($I22,Max_Load_France!$B$2:$M$102,10,FALSE))</f>
        <v/>
      </c>
      <c r="U22" s="358" t="str">
        <f>IF(VLOOKUP($I22,Max_Load_France!$B$2:$M$102,11,FALSE)="","",VLOOKUP($I22,Max_Load_France!$B$2:$M$102,11,FALSE))</f>
        <v/>
      </c>
      <c r="V22" s="357">
        <f t="shared" si="4"/>
        <v>5</v>
      </c>
      <c r="W22" s="299">
        <f t="shared" si="5"/>
        <v>41.3</v>
      </c>
      <c r="X22" s="308">
        <v>8.3000000000000007</v>
      </c>
      <c r="Y22" s="308">
        <v>11.4</v>
      </c>
      <c r="Z22" s="308">
        <v>7.2</v>
      </c>
      <c r="AA22" s="308">
        <v>7.1</v>
      </c>
      <c r="AB22" s="308">
        <v>7.3</v>
      </c>
      <c r="AC22" s="309"/>
      <c r="AD22" s="301"/>
      <c r="AE22" s="301"/>
      <c r="AF22" s="301"/>
      <c r="AG22" s="302">
        <f t="shared" si="26"/>
        <v>21.6</v>
      </c>
      <c r="AH22" s="302" t="str">
        <f t="shared" si="6"/>
        <v/>
      </c>
      <c r="AI22" s="302" t="str">
        <f t="shared" si="7"/>
        <v/>
      </c>
      <c r="AJ22" s="302" t="str">
        <f t="shared" si="8"/>
        <v/>
      </c>
      <c r="AK22" s="326">
        <f t="shared" si="1"/>
        <v>40.286432212028544</v>
      </c>
      <c r="AL22" s="354">
        <v>9.1891917562812022</v>
      </c>
      <c r="AM22" s="354">
        <v>10.697668590303913</v>
      </c>
      <c r="AN22" s="308">
        <v>6.7998572884811406</v>
      </c>
      <c r="AO22" s="308">
        <v>6.7998572884811406</v>
      </c>
      <c r="AP22" s="308">
        <v>6.7998572884811406</v>
      </c>
      <c r="AQ22" s="309"/>
      <c r="AR22" s="301"/>
      <c r="AS22" s="301"/>
      <c r="AT22" s="301"/>
      <c r="AU22" s="331">
        <f t="shared" si="9"/>
        <v>20.39957186544342</v>
      </c>
      <c r="AV22" s="331" t="str">
        <f t="shared" si="10"/>
        <v/>
      </c>
      <c r="AW22" s="302" t="str">
        <f t="shared" si="11"/>
        <v/>
      </c>
      <c r="AX22" s="302" t="str">
        <f t="shared" si="12"/>
        <v/>
      </c>
      <c r="AY22" s="349">
        <f t="shared" si="27"/>
        <v>-2.4541592929090885E-2</v>
      </c>
      <c r="AZ22" s="392">
        <f t="shared" si="28"/>
        <v>0.10713153690134956</v>
      </c>
      <c r="BA22" s="392">
        <f t="shared" si="29"/>
        <v>-6.1608018394393664E-2</v>
      </c>
      <c r="BB22" s="392" t="str">
        <f t="shared" si="30"/>
        <v/>
      </c>
      <c r="BC22" s="392" t="str">
        <f t="shared" si="31"/>
        <v/>
      </c>
      <c r="BD22" s="392" t="str">
        <f t="shared" si="32"/>
        <v/>
      </c>
      <c r="BE22" s="349" t="str">
        <f t="shared" si="33"/>
        <v/>
      </c>
      <c r="BF22" s="349">
        <f t="shared" si="34"/>
        <v>-5.557537659984161E-2</v>
      </c>
      <c r="BG22" s="349">
        <f t="shared" si="35"/>
        <v>-4.2273621340684381E-2</v>
      </c>
      <c r="BH22" s="349">
        <f t="shared" si="36"/>
        <v>-6.851270020806291E-2</v>
      </c>
      <c r="BI22" s="349" t="str">
        <f t="shared" si="37"/>
        <v/>
      </c>
      <c r="BJ22" s="392">
        <f t="shared" si="38"/>
        <v>-5.5575376599841735E-2</v>
      </c>
      <c r="BK22" s="392" t="str">
        <f t="shared" si="39"/>
        <v/>
      </c>
      <c r="BL22" s="288" t="str">
        <f t="shared" si="2"/>
        <v/>
      </c>
      <c r="BM22" s="136" t="str">
        <f t="shared" si="3"/>
        <v/>
      </c>
      <c r="BN22" s="334">
        <v>58.866100000000003</v>
      </c>
      <c r="BO22" s="398"/>
      <c r="BP22" s="94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</row>
    <row r="23" spans="1:79" s="89" customFormat="1" ht="11.25">
      <c r="A23" s="359" t="s">
        <v>222</v>
      </c>
      <c r="B23" s="365" t="s">
        <v>257</v>
      </c>
      <c r="C23" s="366"/>
      <c r="D23" s="367">
        <v>0.45347222222222222</v>
      </c>
      <c r="E23" s="368">
        <v>67.331519999999998</v>
      </c>
      <c r="F23" s="369"/>
      <c r="G23" s="369"/>
      <c r="H23" s="359"/>
      <c r="I23" s="365" t="s">
        <v>94</v>
      </c>
      <c r="J23" s="358">
        <f>IF(ISERROR(VLOOKUP(I23,Max_Load_France!$B$2:$C$102,2,FALSE)/1000),"",VLOOKUP(I23,Max_Load_France!$B$2:$C$102,2,FALSE)/1000)</f>
        <v>40</v>
      </c>
      <c r="K23" s="296"/>
      <c r="L23" s="297">
        <f t="shared" si="40"/>
        <v>0.93</v>
      </c>
      <c r="M23" s="358">
        <f>IF(VLOOKUP($I23,Max_Load_France!$B$2:$M$102,3,FALSE)="","",VLOOKUP($I23,Max_Load_France!$B$2:$M$102,3,FALSE))</f>
        <v>0</v>
      </c>
      <c r="N23" s="358">
        <f>IF(VLOOKUP($I23,Max_Load_France!$B$2:$M$102,4,FALSE)="","",VLOOKUP($I23,Max_Load_France!$B$2:$M$102,4,FALSE))</f>
        <v>0</v>
      </c>
      <c r="O23" s="358">
        <f>IF(VLOOKUP($I23,Max_Load_France!$B$2:$M$102,5,FALSE)="","",VLOOKUP($I23,Max_Load_France!$B$2:$M$102,5,FALSE))</f>
        <v>1</v>
      </c>
      <c r="P23" s="358">
        <f>IF(VLOOKUP($I23,Max_Load_France!$B$2:$M$102,6,FALSE)="","",VLOOKUP($I23,Max_Load_France!$B$2:$M$102,6,FALSE))</f>
        <v>1</v>
      </c>
      <c r="Q23" s="358">
        <f>IF(VLOOKUP($I23,Max_Load_France!$B$2:$M$102,7,FALSE)="","",VLOOKUP($I23,Max_Load_France!$B$2:$M$102,7,FALSE))</f>
        <v>1</v>
      </c>
      <c r="R23" s="358" t="str">
        <f>IF(VLOOKUP($I23,Max_Load_France!$B$2:$M$102,8,FALSE)="","",VLOOKUP($I23,Max_Load_France!$B$2:$M$102,8,FALSE))</f>
        <v/>
      </c>
      <c r="S23" s="358" t="str">
        <f>IF(VLOOKUP($I23,Max_Load_France!$B$2:$M$102,9,FALSE)="","",VLOOKUP($I23,Max_Load_France!$B$2:$M$102,9,FALSE))</f>
        <v/>
      </c>
      <c r="T23" s="358" t="str">
        <f>IF(VLOOKUP($I23,Max_Load_France!$B$2:$M$102,10,FALSE)="","",VLOOKUP($I23,Max_Load_France!$B$2:$M$102,10,FALSE))</f>
        <v/>
      </c>
      <c r="U23" s="358" t="str">
        <f>IF(VLOOKUP($I23,Max_Load_France!$B$2:$M$102,11,FALSE)="","",VLOOKUP($I23,Max_Load_France!$B$2:$M$102,11,FALSE))</f>
        <v/>
      </c>
      <c r="V23" s="357">
        <f t="shared" si="4"/>
        <v>5</v>
      </c>
      <c r="W23" s="299">
        <f t="shared" si="5"/>
        <v>37.200000000000003</v>
      </c>
      <c r="X23" s="308">
        <v>8.1999999999999993</v>
      </c>
      <c r="Y23" s="308">
        <v>13.2</v>
      </c>
      <c r="Z23" s="308">
        <v>5.0999999999999996</v>
      </c>
      <c r="AA23" s="308">
        <v>5.3</v>
      </c>
      <c r="AB23" s="308">
        <v>5.4</v>
      </c>
      <c r="AC23" s="309"/>
      <c r="AD23" s="301"/>
      <c r="AE23" s="301"/>
      <c r="AF23" s="301"/>
      <c r="AG23" s="302">
        <f t="shared" si="26"/>
        <v>15.799999999999999</v>
      </c>
      <c r="AH23" s="302" t="str">
        <f t="shared" si="6"/>
        <v/>
      </c>
      <c r="AI23" s="302" t="str">
        <f t="shared" si="7"/>
        <v/>
      </c>
      <c r="AJ23" s="302" t="str">
        <f t="shared" si="8"/>
        <v/>
      </c>
      <c r="AK23" s="326">
        <f t="shared" si="1"/>
        <v>35.627359836901121</v>
      </c>
      <c r="AL23" s="354">
        <v>8.2382777419953293</v>
      </c>
      <c r="AM23" s="354">
        <v>12.613669250869094</v>
      </c>
      <c r="AN23" s="308">
        <v>4.9251376146788992</v>
      </c>
      <c r="AO23" s="308">
        <v>4.9251376146788992</v>
      </c>
      <c r="AP23" s="308">
        <v>4.9251376146788992</v>
      </c>
      <c r="AQ23" s="309"/>
      <c r="AR23" s="301"/>
      <c r="AS23" s="301"/>
      <c r="AT23" s="301"/>
      <c r="AU23" s="331">
        <f t="shared" si="9"/>
        <v>14.775412844036698</v>
      </c>
      <c r="AV23" s="331" t="str">
        <f t="shared" si="10"/>
        <v/>
      </c>
      <c r="AW23" s="302" t="str">
        <f t="shared" si="11"/>
        <v/>
      </c>
      <c r="AX23" s="302" t="str">
        <f t="shared" si="12"/>
        <v/>
      </c>
      <c r="AY23" s="349">
        <f t="shared" si="27"/>
        <v>-4.2275273201582843E-2</v>
      </c>
      <c r="AZ23" s="392">
        <f t="shared" si="28"/>
        <v>4.668017316503654E-3</v>
      </c>
      <c r="BA23" s="392">
        <f t="shared" si="29"/>
        <v>-4.4418996146280691E-2</v>
      </c>
      <c r="BB23" s="392" t="str">
        <f t="shared" si="30"/>
        <v/>
      </c>
      <c r="BC23" s="392" t="str">
        <f t="shared" si="31"/>
        <v/>
      </c>
      <c r="BD23" s="392" t="str">
        <f t="shared" si="32"/>
        <v/>
      </c>
      <c r="BE23" s="349" t="str">
        <f t="shared" si="33"/>
        <v/>
      </c>
      <c r="BF23" s="349">
        <f t="shared" si="34"/>
        <v>-3.428674221982362E-2</v>
      </c>
      <c r="BG23" s="349">
        <f t="shared" si="35"/>
        <v>-7.0728751947377475E-2</v>
      </c>
      <c r="BH23" s="349">
        <f t="shared" si="36"/>
        <v>-8.7937478763166876E-2</v>
      </c>
      <c r="BI23" s="349" t="str">
        <f t="shared" si="37"/>
        <v/>
      </c>
      <c r="BJ23" s="392">
        <f t="shared" si="38"/>
        <v>-6.4847288352107679E-2</v>
      </c>
      <c r="BK23" s="392" t="str">
        <f t="shared" si="39"/>
        <v/>
      </c>
      <c r="BL23" s="288" t="str">
        <f t="shared" si="2"/>
        <v/>
      </c>
      <c r="BM23" s="136" t="str">
        <f t="shared" si="3"/>
        <v/>
      </c>
      <c r="BN23" s="334">
        <v>51.073700000000002</v>
      </c>
      <c r="BO23" s="398"/>
      <c r="BP23" s="94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</row>
    <row r="24" spans="1:79" s="89" customFormat="1" ht="11.25">
      <c r="A24" s="359" t="s">
        <v>382</v>
      </c>
      <c r="B24" s="365" t="s">
        <v>258</v>
      </c>
      <c r="C24" s="366"/>
      <c r="D24" s="367">
        <v>0.47638888888888892</v>
      </c>
      <c r="E24" s="368">
        <v>40</v>
      </c>
      <c r="F24" s="369"/>
      <c r="G24" s="369"/>
      <c r="H24" s="359"/>
      <c r="I24" s="365" t="s">
        <v>94</v>
      </c>
      <c r="J24" s="358">
        <f>IF(ISERROR(VLOOKUP(I24,Max_Load_France!$B$2:$C$102,2,FALSE)/1000),"",VLOOKUP(I24,Max_Load_France!$B$2:$C$102,2,FALSE)/1000)</f>
        <v>40</v>
      </c>
      <c r="K24" s="296"/>
      <c r="L24" s="297">
        <f t="shared" si="40"/>
        <v>1.115</v>
      </c>
      <c r="M24" s="358">
        <f>IF(VLOOKUP($I24,Max_Load_France!$B$2:$M$102,3,FALSE)="","",VLOOKUP($I24,Max_Load_France!$B$2:$M$102,3,FALSE))</f>
        <v>0</v>
      </c>
      <c r="N24" s="358">
        <f>IF(VLOOKUP($I24,Max_Load_France!$B$2:$M$102,4,FALSE)="","",VLOOKUP($I24,Max_Load_France!$B$2:$M$102,4,FALSE))</f>
        <v>0</v>
      </c>
      <c r="O24" s="358">
        <f>IF(VLOOKUP($I24,Max_Load_France!$B$2:$M$102,5,FALSE)="","",VLOOKUP($I24,Max_Load_France!$B$2:$M$102,5,FALSE))</f>
        <v>1</v>
      </c>
      <c r="P24" s="358">
        <f>IF(VLOOKUP($I24,Max_Load_France!$B$2:$M$102,6,FALSE)="","",VLOOKUP($I24,Max_Load_France!$B$2:$M$102,6,FALSE))</f>
        <v>1</v>
      </c>
      <c r="Q24" s="358">
        <f>IF(VLOOKUP($I24,Max_Load_France!$B$2:$M$102,7,FALSE)="","",VLOOKUP($I24,Max_Load_France!$B$2:$M$102,7,FALSE))</f>
        <v>1</v>
      </c>
      <c r="R24" s="358" t="str">
        <f>IF(VLOOKUP($I24,Max_Load_France!$B$2:$M$102,8,FALSE)="","",VLOOKUP($I24,Max_Load_France!$B$2:$M$102,8,FALSE))</f>
        <v/>
      </c>
      <c r="S24" s="358" t="str">
        <f>IF(VLOOKUP($I24,Max_Load_France!$B$2:$M$102,9,FALSE)="","",VLOOKUP($I24,Max_Load_France!$B$2:$M$102,9,FALSE))</f>
        <v/>
      </c>
      <c r="T24" s="358" t="str">
        <f>IF(VLOOKUP($I24,Max_Load_France!$B$2:$M$102,10,FALSE)="","",VLOOKUP($I24,Max_Load_France!$B$2:$M$102,10,FALSE))</f>
        <v/>
      </c>
      <c r="U24" s="358" t="str">
        <f>IF(VLOOKUP($I24,Max_Load_France!$B$2:$M$102,11,FALSE)="","",VLOOKUP($I24,Max_Load_France!$B$2:$M$102,11,FALSE))</f>
        <v/>
      </c>
      <c r="V24" s="357">
        <f t="shared" si="4"/>
        <v>5</v>
      </c>
      <c r="W24" s="299">
        <f t="shared" si="5"/>
        <v>44.6</v>
      </c>
      <c r="X24" s="308">
        <v>6.3</v>
      </c>
      <c r="Y24" s="308">
        <v>12</v>
      </c>
      <c r="Z24" s="308">
        <v>8.9</v>
      </c>
      <c r="AA24" s="308">
        <v>8.5</v>
      </c>
      <c r="AB24" s="308">
        <v>8.9</v>
      </c>
      <c r="AC24" s="309"/>
      <c r="AD24" s="301"/>
      <c r="AE24" s="301"/>
      <c r="AF24" s="301"/>
      <c r="AG24" s="302">
        <f t="shared" si="26"/>
        <v>26.299999999999997</v>
      </c>
      <c r="AH24" s="302" t="str">
        <f t="shared" si="6"/>
        <v/>
      </c>
      <c r="AI24" s="302" t="str">
        <f t="shared" si="7"/>
        <v/>
      </c>
      <c r="AJ24" s="302" t="str">
        <f t="shared" si="8"/>
        <v/>
      </c>
      <c r="AK24" s="326">
        <f t="shared" si="1"/>
        <v>41.871294597349639</v>
      </c>
      <c r="AL24" s="354">
        <v>4.8136564179072385</v>
      </c>
      <c r="AM24" s="354">
        <v>13.295589249778795</v>
      </c>
      <c r="AN24" s="308">
        <v>7.9206829765545352</v>
      </c>
      <c r="AO24" s="308">
        <v>7.9206829765545352</v>
      </c>
      <c r="AP24" s="308">
        <v>7.9206829765545352</v>
      </c>
      <c r="AQ24" s="309"/>
      <c r="AR24" s="301"/>
      <c r="AS24" s="301"/>
      <c r="AT24" s="301"/>
      <c r="AU24" s="331">
        <f t="shared" si="9"/>
        <v>23.762048929663607</v>
      </c>
      <c r="AV24" s="331" t="str">
        <f t="shared" si="10"/>
        <v/>
      </c>
      <c r="AW24" s="302" t="str">
        <f t="shared" si="11"/>
        <v/>
      </c>
      <c r="AX24" s="302" t="str">
        <f t="shared" si="12"/>
        <v/>
      </c>
      <c r="AY24" s="349" t="str">
        <f t="shared" si="27"/>
        <v/>
      </c>
      <c r="AZ24" s="392" t="str">
        <f t="shared" si="28"/>
        <v/>
      </c>
      <c r="BA24" s="392" t="str">
        <f t="shared" si="29"/>
        <v/>
      </c>
      <c r="BB24" s="392" t="str">
        <f t="shared" si="30"/>
        <v/>
      </c>
      <c r="BC24" s="392" t="str">
        <f t="shared" si="31"/>
        <v/>
      </c>
      <c r="BD24" s="392" t="str">
        <f t="shared" si="32"/>
        <v/>
      </c>
      <c r="BE24" s="349" t="str">
        <f t="shared" si="33"/>
        <v/>
      </c>
      <c r="BF24" s="349" t="str">
        <f t="shared" si="34"/>
        <v/>
      </c>
      <c r="BG24" s="349" t="str">
        <f t="shared" si="35"/>
        <v/>
      </c>
      <c r="BH24" s="349" t="str">
        <f t="shared" si="36"/>
        <v/>
      </c>
      <c r="BI24" s="349" t="str">
        <f t="shared" si="37"/>
        <v/>
      </c>
      <c r="BJ24" s="392" t="b">
        <f t="shared" si="38"/>
        <v>0</v>
      </c>
      <c r="BK24" s="392" t="str">
        <f t="shared" si="39"/>
        <v/>
      </c>
      <c r="BL24" s="288" t="str">
        <f t="shared" si="2"/>
        <v/>
      </c>
      <c r="BM24" s="136" t="str">
        <f t="shared" si="3"/>
        <v/>
      </c>
      <c r="BN24" s="334">
        <v>363.35300000000001</v>
      </c>
      <c r="BO24" s="398" t="s">
        <v>380</v>
      </c>
      <c r="BP24" s="94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</row>
    <row r="25" spans="1:79" s="89" customFormat="1" ht="11.25">
      <c r="A25" s="397" t="s">
        <v>223</v>
      </c>
      <c r="B25" s="358" t="s">
        <v>259</v>
      </c>
      <c r="C25" s="370"/>
      <c r="D25" s="367">
        <v>0.60347222222222219</v>
      </c>
      <c r="E25" s="368">
        <v>56.713680000000004</v>
      </c>
      <c r="F25" s="358"/>
      <c r="G25" s="358"/>
      <c r="H25" s="358"/>
      <c r="I25" s="365" t="s">
        <v>94</v>
      </c>
      <c r="J25" s="358">
        <f>IF(ISERROR(VLOOKUP(I25,Max_Load_France!$B$2:$C$102,2,FALSE)/1000),"",VLOOKUP(I25,Max_Load_France!$B$2:$C$102,2,FALSE)/1000)</f>
        <v>40</v>
      </c>
      <c r="K25" s="296"/>
      <c r="L25" s="297">
        <f t="shared" si="40"/>
        <v>1.0349999999999999</v>
      </c>
      <c r="M25" s="358">
        <f>IF(VLOOKUP($I25,Max_Load_France!$B$2:$M$102,3,FALSE)="","",VLOOKUP($I25,Max_Load_France!$B$2:$M$102,3,FALSE))</f>
        <v>0</v>
      </c>
      <c r="N25" s="358">
        <f>IF(VLOOKUP($I25,Max_Load_France!$B$2:$M$102,4,FALSE)="","",VLOOKUP($I25,Max_Load_France!$B$2:$M$102,4,FALSE))</f>
        <v>0</v>
      </c>
      <c r="O25" s="358">
        <f>IF(VLOOKUP($I25,Max_Load_France!$B$2:$M$102,5,FALSE)="","",VLOOKUP($I25,Max_Load_France!$B$2:$M$102,5,FALSE))</f>
        <v>1</v>
      </c>
      <c r="P25" s="358">
        <f>IF(VLOOKUP($I25,Max_Load_France!$B$2:$M$102,6,FALSE)="","",VLOOKUP($I25,Max_Load_France!$B$2:$M$102,6,FALSE))</f>
        <v>1</v>
      </c>
      <c r="Q25" s="358">
        <f>IF(VLOOKUP($I25,Max_Load_France!$B$2:$M$102,7,FALSE)="","",VLOOKUP($I25,Max_Load_France!$B$2:$M$102,7,FALSE))</f>
        <v>1</v>
      </c>
      <c r="R25" s="358" t="str">
        <f>IF(VLOOKUP($I25,Max_Load_France!$B$2:$M$102,8,FALSE)="","",VLOOKUP($I25,Max_Load_France!$B$2:$M$102,8,FALSE))</f>
        <v/>
      </c>
      <c r="S25" s="358" t="str">
        <f>IF(VLOOKUP($I25,Max_Load_France!$B$2:$M$102,9,FALSE)="","",VLOOKUP($I25,Max_Load_France!$B$2:$M$102,9,FALSE))</f>
        <v/>
      </c>
      <c r="T25" s="358" t="str">
        <f>IF(VLOOKUP($I25,Max_Load_France!$B$2:$M$102,10,FALSE)="","",VLOOKUP($I25,Max_Load_France!$B$2:$M$102,10,FALSE))</f>
        <v/>
      </c>
      <c r="U25" s="358" t="str">
        <f>IF(VLOOKUP($I25,Max_Load_France!$B$2:$M$102,11,FALSE)="","",VLOOKUP($I25,Max_Load_France!$B$2:$M$102,11,FALSE))</f>
        <v/>
      </c>
      <c r="V25" s="357">
        <f t="shared" si="4"/>
        <v>5</v>
      </c>
      <c r="W25" s="299">
        <f t="shared" si="5"/>
        <v>41.4</v>
      </c>
      <c r="X25" s="308">
        <v>6.5</v>
      </c>
      <c r="Y25" s="308">
        <v>9.3000000000000007</v>
      </c>
      <c r="Z25" s="308">
        <v>8.5</v>
      </c>
      <c r="AA25" s="308">
        <v>8.6</v>
      </c>
      <c r="AB25" s="308">
        <v>8.5</v>
      </c>
      <c r="AC25" s="309"/>
      <c r="AD25" s="301"/>
      <c r="AE25" s="301"/>
      <c r="AF25" s="301"/>
      <c r="AG25" s="302">
        <f t="shared" si="26"/>
        <v>25.6</v>
      </c>
      <c r="AH25" s="302" t="str">
        <f t="shared" si="6"/>
        <v/>
      </c>
      <c r="AI25" s="302" t="str">
        <f t="shared" si="7"/>
        <v/>
      </c>
      <c r="AJ25" s="302" t="str">
        <f t="shared" si="8"/>
        <v/>
      </c>
      <c r="AK25" s="326">
        <f t="shared" si="1"/>
        <v>43.618328236493369</v>
      </c>
      <c r="AL25" s="354">
        <v>6.9971564954275403</v>
      </c>
      <c r="AM25" s="354">
        <v>9.6534347380077286</v>
      </c>
      <c r="AN25" s="308">
        <v>8.9892456676860348</v>
      </c>
      <c r="AO25" s="308">
        <v>8.9892456676860348</v>
      </c>
      <c r="AP25" s="308">
        <v>8.9892456676860348</v>
      </c>
      <c r="AQ25" s="309"/>
      <c r="AR25" s="301"/>
      <c r="AS25" s="301"/>
      <c r="AT25" s="301"/>
      <c r="AU25" s="331">
        <f t="shared" si="9"/>
        <v>26.967737003058105</v>
      </c>
      <c r="AV25" s="331" t="str">
        <f t="shared" si="10"/>
        <v/>
      </c>
      <c r="AW25" s="302"/>
      <c r="AX25" s="302"/>
      <c r="AY25" s="349">
        <f>IF(AND($BO$10="Yes",$BO25="MP"),"",IF(AK25=0,"",IF($W25/$V25&lt;$BN$6,"",IF($BN25&lt;$BN$10,IF(W25&gt;0,(AK25-W25)/W25,""),""))))</f>
        <v>5.3582807644767402E-2</v>
      </c>
      <c r="AZ25" s="392">
        <f>IF(AND($BO$10="Yes",$BO25="MP"),"",IF(M25=0,IF(AL25&lt;$BN$7,"",IF($W25/$V25&lt;$BN$6,"",IF($BN25&lt;$BN$10,IF(X25&gt;0,(AL25-X25)/X25,""),""))),""))</f>
        <v>7.6485614681160038E-2</v>
      </c>
      <c r="BA25" s="392">
        <f>IF(N25=0,IF(AM25&lt;$BN$7,"",IF($W25/$V25&lt;$BN$6,"",IF($BN25&lt;$BN$10,IF(Y25&gt;0,(AM25-Y25)/Y25,""),""))),"")</f>
        <v>3.8003735269648155E-2</v>
      </c>
      <c r="BB25" s="392" t="str">
        <f>IF(O25=0,IF(AN25&lt;$BN$7,"",IF($W25/$V25&lt;$BN$6,"",IF($BN25&lt;$BN$10,IF(Z25&gt;0,(AN25-Z25)/Z25,""),""))),"")</f>
        <v/>
      </c>
      <c r="BC25" s="392" t="str">
        <f>IF(P25=0,IF(AO25&lt;$BN$7,"",IF($W25/$V25&lt;$BN$6,"",IF($BN25&lt;$BN$10,IF(AA25&gt;0,(AO25-AA25)/AA25,""),""))),"")</f>
        <v/>
      </c>
      <c r="BD25" s="392" t="str">
        <f>IF(Q25=0,IF(AP25&lt;$BN$7,"",IF($W25/$V25&lt;$BN$6,"",IF($BN25&lt;$BN$10,IF(AB25&gt;0,(AP25-AB25)/AB25,""),""))),"")</f>
        <v/>
      </c>
      <c r="BE25" s="349" t="str">
        <f>IF(AND($BO$10="Yes",$BO25="MP"),"",IF(N25&gt;0,IF(AM25&lt;$BN$7,"",IF($W25/$V25&lt;$BN$6,"",IF($BN25&lt;$BN$10,IF(Y25&gt;0,(AM25-Y25)/Y25,""),""))),""))</f>
        <v/>
      </c>
      <c r="BF25" s="349">
        <f>IF(O25&gt;0,IF(AN25&lt;$BN$7,"",IF($W25/$V25&lt;$BN$6,"",IF($BN25&lt;$BN$10,IF(Z25&gt;0,(AN25-Z25)/Z25,""),""))),"")</f>
        <v>5.7558313845415862E-2</v>
      </c>
      <c r="BG25" s="349">
        <f>IF(P25&gt;0,IF(AO25&lt;$BN$7,"",IF($W25/$V25&lt;$BN$6,"",IF($BN25&lt;$BN$10,IF(AA25&gt;0,(AO25-AA25)/AA25,""),""))),"")</f>
        <v>4.5261124149538978E-2</v>
      </c>
      <c r="BH25" s="349">
        <f>IF(Q25&gt;0,IF(AP25&lt;$BN$7,"",IF($W25/$V25&lt;$BN$6,"",IF($BN25&lt;$BN$10,IF(AB25&gt;0,(AP25-AB25)/AB25,""),""))),"")</f>
        <v>5.7558313845415862E-2</v>
      </c>
      <c r="BI25" s="349" t="str">
        <f>IF(R25&gt;0,IF(AQ25&lt;$BN$7,"",IF($W25/$V25&lt;$BN$6,"",IF($BN25&lt;$BN$10,IF(AC25&gt;0,(AQ25-AC25)/AC25,""),""))),"")</f>
        <v/>
      </c>
      <c r="BJ25" s="392">
        <f>IF(AND($BO$10="Yes",$BO25="MP"),"",IF(AG25&lt;$BN$6*COUNTIF(M25:R25,1),"",IF($BN25&lt;$BN$10,IF($BN25&lt;$BN$10,IF(AG25&lt;&gt;"",(AU25-AG25)/AG25,""),""))))</f>
        <v>5.3427226681957152E-2</v>
      </c>
      <c r="BK25" s="392" t="str">
        <f>IF(AND($BO$10="Yes",$BO25="MP"),"",IF(AH25&lt;$BN$6*COUNTIF(M25:R25,2),"",IF($BN25&lt;$BN$10,IF(AH25&lt;&gt;"",(AV25-AH25)/AH25,""),"")))</f>
        <v/>
      </c>
      <c r="BL25" s="288" t="str">
        <f t="shared" si="2"/>
        <v/>
      </c>
      <c r="BM25" s="136" t="str">
        <f t="shared" si="3"/>
        <v/>
      </c>
      <c r="BN25" s="334">
        <v>84.1327</v>
      </c>
      <c r="BO25" s="398"/>
      <c r="BP25" s="94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</row>
    <row r="26" spans="1:79" s="89" customFormat="1" ht="11.25">
      <c r="A26" s="359" t="s">
        <v>224</v>
      </c>
      <c r="B26" s="358" t="s">
        <v>260</v>
      </c>
      <c r="C26" s="370"/>
      <c r="D26" s="367">
        <v>0.61249999999999993</v>
      </c>
      <c r="E26" s="371">
        <v>41.420159999999996</v>
      </c>
      <c r="F26" s="358"/>
      <c r="G26" s="358"/>
      <c r="H26" s="358"/>
      <c r="I26" s="365" t="s">
        <v>129</v>
      </c>
      <c r="J26" s="358">
        <f>IF(ISERROR(VLOOKUP(I26,Max_Load_France!$B$2:$C$102,2,FALSE)/1000),"",VLOOKUP(I26,Max_Load_France!$B$2:$C$102,2,FALSE)/1000)</f>
        <v>40</v>
      </c>
      <c r="K26" s="296"/>
      <c r="L26" s="297">
        <f t="shared" si="40"/>
        <v>1.0574999999999999</v>
      </c>
      <c r="M26" s="358">
        <f>IF(VLOOKUP($I26,Max_Load_France!$B$2:$M$102,3,FALSE)="","",VLOOKUP($I26,Max_Load_France!$B$2:$M$102,3,FALSE))</f>
        <v>0</v>
      </c>
      <c r="N26" s="358">
        <f>IF(VLOOKUP($I26,Max_Load_France!$B$2:$M$102,4,FALSE)="","",VLOOKUP($I26,Max_Load_France!$B$2:$M$102,4,FALSE))</f>
        <v>1</v>
      </c>
      <c r="O26" s="358">
        <f>IF(VLOOKUP($I26,Max_Load_France!$B$2:$M$102,5,FALSE)="","",VLOOKUP($I26,Max_Load_France!$B$2:$M$102,5,FALSE))</f>
        <v>1</v>
      </c>
      <c r="P26" s="358">
        <f>IF(VLOOKUP($I26,Max_Load_France!$B$2:$M$102,6,FALSE)="","",VLOOKUP($I26,Max_Load_France!$B$2:$M$102,6,FALSE))</f>
        <v>2</v>
      </c>
      <c r="Q26" s="358">
        <f>IF(VLOOKUP($I26,Max_Load_France!$B$2:$M$102,7,FALSE)="","",VLOOKUP($I26,Max_Load_France!$B$2:$M$102,7,FALSE))</f>
        <v>2</v>
      </c>
      <c r="R26" s="358" t="str">
        <f>IF(VLOOKUP($I26,Max_Load_France!$B$2:$M$102,8,FALSE)="","",VLOOKUP($I26,Max_Load_France!$B$2:$M$102,8,FALSE))</f>
        <v/>
      </c>
      <c r="S26" s="358" t="str">
        <f>IF(VLOOKUP($I26,Max_Load_France!$B$2:$M$102,9,FALSE)="","",VLOOKUP($I26,Max_Load_France!$B$2:$M$102,9,FALSE))</f>
        <v/>
      </c>
      <c r="T26" s="358" t="str">
        <f>IF(VLOOKUP($I26,Max_Load_France!$B$2:$M$102,10,FALSE)="","",VLOOKUP($I26,Max_Load_France!$B$2:$M$102,10,FALSE))</f>
        <v/>
      </c>
      <c r="U26" s="358" t="str">
        <f>IF(VLOOKUP($I26,Max_Load_France!$B$2:$M$102,11,FALSE)="","",VLOOKUP($I26,Max_Load_France!$B$2:$M$102,11,FALSE))</f>
        <v/>
      </c>
      <c r="V26" s="357">
        <f t="shared" si="4"/>
        <v>5</v>
      </c>
      <c r="W26" s="299">
        <f t="shared" si="5"/>
        <v>42.3</v>
      </c>
      <c r="X26" s="308">
        <v>5.9</v>
      </c>
      <c r="Y26" s="308">
        <v>7.5</v>
      </c>
      <c r="Z26" s="308">
        <v>7.3</v>
      </c>
      <c r="AA26" s="308">
        <v>10.8</v>
      </c>
      <c r="AB26" s="308">
        <v>10.8</v>
      </c>
      <c r="AC26" s="309"/>
      <c r="AD26" s="301"/>
      <c r="AE26" s="301"/>
      <c r="AF26" s="301"/>
      <c r="AG26" s="302">
        <f t="shared" si="26"/>
        <v>14.8</v>
      </c>
      <c r="AH26" s="302">
        <f t="shared" si="6"/>
        <v>21.6</v>
      </c>
      <c r="AI26" s="302" t="str">
        <f t="shared" si="7"/>
        <v/>
      </c>
      <c r="AJ26" s="302" t="str">
        <f t="shared" si="8"/>
        <v/>
      </c>
      <c r="AK26" s="326">
        <f t="shared" si="1"/>
        <v>41.797879714576958</v>
      </c>
      <c r="AL26" s="354">
        <v>6.7467764523854532</v>
      </c>
      <c r="AM26" s="354">
        <v>6.5663428136695918</v>
      </c>
      <c r="AN26" s="308">
        <v>7.0602956167176343</v>
      </c>
      <c r="AO26" s="308">
        <v>10.71223241590214</v>
      </c>
      <c r="AP26" s="308">
        <v>10.71223241590214</v>
      </c>
      <c r="AQ26" s="309"/>
      <c r="AR26" s="301"/>
      <c r="AS26" s="301"/>
      <c r="AT26" s="301"/>
      <c r="AU26" s="331">
        <f t="shared" si="9"/>
        <v>13.626638430387226</v>
      </c>
      <c r="AV26" s="331">
        <f t="shared" si="10"/>
        <v>21.424464831804279</v>
      </c>
      <c r="AW26" s="302"/>
      <c r="AX26" s="302"/>
      <c r="AY26" s="349">
        <f t="shared" ref="AY26:AY29" si="41">IF(AND($BO$10="Yes",$BO26="MP"),"",IF(AK26=0,"",IF($W26/$V26&lt;$BN$6,"",IF($BN26&lt;$BN$10,IF(W26&gt;0,(AK26-W26)/W26,""),""))))</f>
        <v>-1.1870455920166421E-2</v>
      </c>
      <c r="AZ26" s="392">
        <f t="shared" ref="AZ26:AZ29" si="42">IF(AND($BO$10="Yes",$BO26="MP"),"",IF(M26=0,IF(AL26&lt;$BN$7,"",IF($W26/$V26&lt;$BN$6,"",IF($BN26&lt;$BN$10,IF(X26&gt;0,(AL26-X26)/X26,""),""))),""))</f>
        <v>0.14352143260770386</v>
      </c>
      <c r="BA26" s="392" t="str">
        <f t="shared" ref="BA26:BA29" si="43">IF(N26=0,IF(AM26&lt;$BN$7,"",IF($W26/$V26&lt;$BN$6,"",IF($BN26&lt;$BN$10,IF(Y26&gt;0,(AM26-Y26)/Y26,""),""))),"")</f>
        <v/>
      </c>
      <c r="BB26" s="392" t="str">
        <f t="shared" ref="BB26:BB29" si="44">IF(O26=0,IF(AN26&lt;$BN$7,"",IF($W26/$V26&lt;$BN$6,"",IF($BN26&lt;$BN$10,IF(Z26&gt;0,(AN26-Z26)/Z26,""),""))),"")</f>
        <v/>
      </c>
      <c r="BC26" s="392" t="str">
        <f t="shared" ref="BC26:BC29" si="45">IF(P26=0,IF(AO26&lt;$BN$7,"",IF($W26/$V26&lt;$BN$6,"",IF($BN26&lt;$BN$10,IF(AA26&gt;0,(AO26-AA26)/AA26,""),""))),"")</f>
        <v/>
      </c>
      <c r="BD26" s="392" t="str">
        <f t="shared" ref="BD26:BD29" si="46">IF(Q26=0,IF(AP26&lt;$BN$7,"",IF($W26/$V26&lt;$BN$6,"",IF($BN26&lt;$BN$10,IF(AB26&gt;0,(AP26-AB26)/AB26,""),""))),"")</f>
        <v/>
      </c>
      <c r="BE26" s="349">
        <f t="shared" ref="BE26:BE29" si="47">IF(AND($BO$10="Yes",$BO26="MP"),"",IF(N26&gt;0,IF(AM26&lt;$BN$7,"",IF($W26/$V26&lt;$BN$6,"",IF($BN26&lt;$BN$10,IF(Y26&gt;0,(AM26-Y26)/Y26,""),""))),""))</f>
        <v>-0.12448762484405443</v>
      </c>
      <c r="BF26" s="349">
        <f t="shared" ref="BF26:BF29" si="48">IF(O26&gt;0,IF(AN26&lt;$BN$7,"",IF($W26/$V26&lt;$BN$6,"",IF($BN26&lt;$BN$10,IF(Z26&gt;0,(AN26-Z26)/Z26,""),""))),"")</f>
        <v>-3.2836216887995283E-2</v>
      </c>
      <c r="BG26" s="349">
        <f t="shared" ref="BG26:BG29" si="49">IF(P26&gt;0,IF(AO26&lt;$BN$7,"",IF($W26/$V26&lt;$BN$6,"",IF($BN26&lt;$BN$10,IF(AA26&gt;0,(AO26-AA26)/AA26,""),""))),"")</f>
        <v>-8.1266281572093622E-3</v>
      </c>
      <c r="BH26" s="349">
        <f t="shared" ref="BH26:BH29" si="50">IF(Q26&gt;0,IF(AP26&lt;$BN$7,"",IF($W26/$V26&lt;$BN$6,"",IF($BN26&lt;$BN$10,IF(AB26&gt;0,(AP26-AB26)/AB26,""),""))),"")</f>
        <v>-8.1266281572093622E-3</v>
      </c>
      <c r="BI26" s="349" t="str">
        <f t="shared" ref="BI26:BI29" si="51">IF(R26&gt;0,IF(AQ26&lt;$BN$7,"",IF($W26/$V26&lt;$BN$6,"",IF($BN26&lt;$BN$10,IF(AC26&gt;0,(AQ26-AC26)/AC26,""),""))),"")</f>
        <v/>
      </c>
      <c r="BJ26" s="392">
        <f t="shared" ref="BJ26:BJ29" si="52">IF(AND($BO$10="Yes",$BO26="MP"),"",IF(AG26&lt;$BN$6*COUNTIF(M26:R26,1),"",IF($BN26&lt;$BN$10,IF($BN26&lt;$BN$10,IF(AG26&lt;&gt;"",(AU26-AG26)/AG26,""),""))))</f>
        <v>-7.9281187135998285E-2</v>
      </c>
      <c r="BK26" s="392">
        <f t="shared" ref="BK26:BK29" si="53">IF(AND($BO$10="Yes",$BO26="MP"),"",IF(AH26&lt;$BN$6*COUNTIF(M26:R26,2),"",IF($BN26&lt;$BN$10,IF(AH26&lt;&gt;"",(AV26-AH26)/AH26,""),"")))</f>
        <v>-8.1266281572093622E-3</v>
      </c>
      <c r="BL26" s="288" t="str">
        <f t="shared" si="2"/>
        <v/>
      </c>
      <c r="BM26" s="136" t="str">
        <f t="shared" si="3"/>
        <v/>
      </c>
      <c r="BN26" s="334">
        <v>130.92400000000001</v>
      </c>
      <c r="BO26" s="398" t="s">
        <v>380</v>
      </c>
      <c r="BP26" s="94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</row>
    <row r="27" spans="1:79" s="89" customFormat="1" ht="11.25">
      <c r="A27" s="359" t="s">
        <v>225</v>
      </c>
      <c r="B27" s="358" t="s">
        <v>261</v>
      </c>
      <c r="C27" s="370"/>
      <c r="D27" s="367">
        <v>0.61736111111111114</v>
      </c>
      <c r="E27" s="371">
        <v>67.025520000000014</v>
      </c>
      <c r="F27" s="358"/>
      <c r="G27" s="358"/>
      <c r="H27" s="358"/>
      <c r="I27" s="365" t="s">
        <v>94</v>
      </c>
      <c r="J27" s="358">
        <f>IF(ISERROR(VLOOKUP(I27,Max_Load_France!$B$2:$C$102,2,FALSE)/1000),"",VLOOKUP(I27,Max_Load_France!$B$2:$C$102,2,FALSE)/1000)</f>
        <v>40</v>
      </c>
      <c r="K27" s="296"/>
      <c r="L27" s="297">
        <f t="shared" si="40"/>
        <v>0.86999999999999988</v>
      </c>
      <c r="M27" s="358">
        <f>IF(VLOOKUP($I27,Max_Load_France!$B$2:$M$102,3,FALSE)="","",VLOOKUP($I27,Max_Load_France!$B$2:$M$102,3,FALSE))</f>
        <v>0</v>
      </c>
      <c r="N27" s="358">
        <f>IF(VLOOKUP($I27,Max_Load_France!$B$2:$M$102,4,FALSE)="","",VLOOKUP($I27,Max_Load_France!$B$2:$M$102,4,FALSE))</f>
        <v>0</v>
      </c>
      <c r="O27" s="358">
        <f>IF(VLOOKUP($I27,Max_Load_France!$B$2:$M$102,5,FALSE)="","",VLOOKUP($I27,Max_Load_France!$B$2:$M$102,5,FALSE))</f>
        <v>1</v>
      </c>
      <c r="P27" s="358">
        <f>IF(VLOOKUP($I27,Max_Load_France!$B$2:$M$102,6,FALSE)="","",VLOOKUP($I27,Max_Load_France!$B$2:$M$102,6,FALSE))</f>
        <v>1</v>
      </c>
      <c r="Q27" s="358">
        <f>IF(VLOOKUP($I27,Max_Load_France!$B$2:$M$102,7,FALSE)="","",VLOOKUP($I27,Max_Load_France!$B$2:$M$102,7,FALSE))</f>
        <v>1</v>
      </c>
      <c r="R27" s="358" t="str">
        <f>IF(VLOOKUP($I27,Max_Load_France!$B$2:$M$102,8,FALSE)="","",VLOOKUP($I27,Max_Load_France!$B$2:$M$102,8,FALSE))</f>
        <v/>
      </c>
      <c r="S27" s="358" t="str">
        <f>IF(VLOOKUP($I27,Max_Load_France!$B$2:$M$102,9,FALSE)="","",VLOOKUP($I27,Max_Load_France!$B$2:$M$102,9,FALSE))</f>
        <v/>
      </c>
      <c r="T27" s="358" t="str">
        <f>IF(VLOOKUP($I27,Max_Load_France!$B$2:$M$102,10,FALSE)="","",VLOOKUP($I27,Max_Load_France!$B$2:$M$102,10,FALSE))</f>
        <v/>
      </c>
      <c r="U27" s="358" t="str">
        <f>IF(VLOOKUP($I27,Max_Load_France!$B$2:$M$102,11,FALSE)="","",VLOOKUP($I27,Max_Load_France!$B$2:$M$102,11,FALSE))</f>
        <v/>
      </c>
      <c r="V27" s="357">
        <f t="shared" si="4"/>
        <v>5</v>
      </c>
      <c r="W27" s="299">
        <f t="shared" si="5"/>
        <v>34.799999999999997</v>
      </c>
      <c r="X27" s="308">
        <v>7.1</v>
      </c>
      <c r="Y27" s="308">
        <v>10</v>
      </c>
      <c r="Z27" s="308">
        <v>5.9</v>
      </c>
      <c r="AA27" s="308">
        <v>6</v>
      </c>
      <c r="AB27" s="308">
        <v>5.8</v>
      </c>
      <c r="AC27" s="309"/>
      <c r="AD27" s="301"/>
      <c r="AE27" s="301"/>
      <c r="AF27" s="301"/>
      <c r="AG27" s="302">
        <f t="shared" si="26"/>
        <v>17.7</v>
      </c>
      <c r="AH27" s="302" t="str">
        <f t="shared" si="6"/>
        <v/>
      </c>
      <c r="AI27" s="302" t="str">
        <f t="shared" si="7"/>
        <v/>
      </c>
      <c r="AJ27" s="302" t="str">
        <f t="shared" si="8"/>
        <v/>
      </c>
      <c r="AK27" s="326">
        <f t="shared" si="1"/>
        <v>34.697991845056059</v>
      </c>
      <c r="AL27" s="354">
        <v>5.8388243274038469</v>
      </c>
      <c r="AM27" s="354">
        <v>11.369870881566591</v>
      </c>
      <c r="AN27" s="308">
        <v>5.8297655453618749</v>
      </c>
      <c r="AO27" s="308">
        <v>5.8297655453618749</v>
      </c>
      <c r="AP27" s="308">
        <v>5.8297655453618749</v>
      </c>
      <c r="AQ27" s="309"/>
      <c r="AR27" s="301"/>
      <c r="AS27" s="301"/>
      <c r="AT27" s="301"/>
      <c r="AU27" s="331">
        <f t="shared" si="9"/>
        <v>17.489296636085626</v>
      </c>
      <c r="AV27" s="331" t="str">
        <f t="shared" si="10"/>
        <v/>
      </c>
      <c r="AW27" s="302"/>
      <c r="AX27" s="302"/>
      <c r="AY27" s="349">
        <f t="shared" si="41"/>
        <v>-2.9312688202281102E-3</v>
      </c>
      <c r="AZ27" s="392">
        <f t="shared" si="42"/>
        <v>-0.17763037642199334</v>
      </c>
      <c r="BA27" s="392">
        <f t="shared" si="43"/>
        <v>0.13698708815665911</v>
      </c>
      <c r="BB27" s="392" t="str">
        <f t="shared" si="44"/>
        <v/>
      </c>
      <c r="BC27" s="392" t="str">
        <f t="shared" si="45"/>
        <v/>
      </c>
      <c r="BD27" s="392" t="str">
        <f t="shared" si="46"/>
        <v/>
      </c>
      <c r="BE27" s="349" t="str">
        <f t="shared" si="47"/>
        <v/>
      </c>
      <c r="BF27" s="349">
        <f t="shared" si="48"/>
        <v>-1.1904144853919576E-2</v>
      </c>
      <c r="BG27" s="349">
        <f t="shared" si="49"/>
        <v>-2.8372409106354191E-2</v>
      </c>
      <c r="BH27" s="349">
        <f t="shared" si="50"/>
        <v>5.131990579633627E-3</v>
      </c>
      <c r="BI27" s="349" t="str">
        <f t="shared" si="51"/>
        <v/>
      </c>
      <c r="BJ27" s="392">
        <f t="shared" si="52"/>
        <v>-1.1904144853919376E-2</v>
      </c>
      <c r="BK27" s="392" t="str">
        <f t="shared" si="53"/>
        <v/>
      </c>
      <c r="BL27" s="288" t="str">
        <f t="shared" si="2"/>
        <v/>
      </c>
      <c r="BM27" s="136" t="str">
        <f t="shared" si="3"/>
        <v/>
      </c>
      <c r="BN27" s="334">
        <v>102.934</v>
      </c>
      <c r="BO27" s="398"/>
      <c r="BP27" s="94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</row>
    <row r="28" spans="1:79" s="89" customFormat="1" ht="11.25">
      <c r="A28" s="359" t="s">
        <v>226</v>
      </c>
      <c r="B28" s="358" t="s">
        <v>262</v>
      </c>
      <c r="C28" s="370"/>
      <c r="D28" s="367">
        <v>0.61944444444444446</v>
      </c>
      <c r="E28" s="371">
        <v>43.49736</v>
      </c>
      <c r="F28" s="358"/>
      <c r="G28" s="358"/>
      <c r="H28" s="358"/>
      <c r="I28" s="365" t="s">
        <v>94</v>
      </c>
      <c r="J28" s="358">
        <f>IF(ISERROR(VLOOKUP(I28,Max_Load_France!$B$2:$C$102,2,FALSE)/1000),"",VLOOKUP(I28,Max_Load_France!$B$2:$C$102,2,FALSE)/1000)</f>
        <v>40</v>
      </c>
      <c r="K28" s="296"/>
      <c r="L28" s="297">
        <f t="shared" si="40"/>
        <v>0.97499999999999998</v>
      </c>
      <c r="M28" s="358">
        <f>IF(VLOOKUP($I28,Max_Load_France!$B$2:$M$102,3,FALSE)="","",VLOOKUP($I28,Max_Load_France!$B$2:$M$102,3,FALSE))</f>
        <v>0</v>
      </c>
      <c r="N28" s="358">
        <f>IF(VLOOKUP($I28,Max_Load_France!$B$2:$M$102,4,FALSE)="","",VLOOKUP($I28,Max_Load_France!$B$2:$M$102,4,FALSE))</f>
        <v>0</v>
      </c>
      <c r="O28" s="358">
        <f>IF(VLOOKUP($I28,Max_Load_France!$B$2:$M$102,5,FALSE)="","",VLOOKUP($I28,Max_Load_France!$B$2:$M$102,5,FALSE))</f>
        <v>1</v>
      </c>
      <c r="P28" s="358">
        <f>IF(VLOOKUP($I28,Max_Load_France!$B$2:$M$102,6,FALSE)="","",VLOOKUP($I28,Max_Load_France!$B$2:$M$102,6,FALSE))</f>
        <v>1</v>
      </c>
      <c r="Q28" s="358">
        <f>IF(VLOOKUP($I28,Max_Load_France!$B$2:$M$102,7,FALSE)="","",VLOOKUP($I28,Max_Load_France!$B$2:$M$102,7,FALSE))</f>
        <v>1</v>
      </c>
      <c r="R28" s="358" t="str">
        <f>IF(VLOOKUP($I28,Max_Load_France!$B$2:$M$102,8,FALSE)="","",VLOOKUP($I28,Max_Load_France!$B$2:$M$102,8,FALSE))</f>
        <v/>
      </c>
      <c r="S28" s="358" t="str">
        <f>IF(VLOOKUP($I28,Max_Load_France!$B$2:$M$102,9,FALSE)="","",VLOOKUP($I28,Max_Load_France!$B$2:$M$102,9,FALSE))</f>
        <v/>
      </c>
      <c r="T28" s="358" t="str">
        <f>IF(VLOOKUP($I28,Max_Load_France!$B$2:$M$102,10,FALSE)="","",VLOOKUP($I28,Max_Load_France!$B$2:$M$102,10,FALSE))</f>
        <v/>
      </c>
      <c r="U28" s="358" t="str">
        <f>IF(VLOOKUP($I28,Max_Load_France!$B$2:$M$102,11,FALSE)="","",VLOOKUP($I28,Max_Load_France!$B$2:$M$102,11,FALSE))</f>
        <v/>
      </c>
      <c r="V28" s="357">
        <f t="shared" si="4"/>
        <v>5</v>
      </c>
      <c r="W28" s="299">
        <f t="shared" si="5"/>
        <v>39</v>
      </c>
      <c r="X28" s="308">
        <v>6.9</v>
      </c>
      <c r="Y28" s="308">
        <v>12.2</v>
      </c>
      <c r="Z28" s="308">
        <v>6.1</v>
      </c>
      <c r="AA28" s="308">
        <v>6.4</v>
      </c>
      <c r="AB28" s="308">
        <v>7.4</v>
      </c>
      <c r="AC28" s="309"/>
      <c r="AD28" s="301"/>
      <c r="AE28" s="301"/>
      <c r="AF28" s="301"/>
      <c r="AG28" s="302">
        <f t="shared" si="26"/>
        <v>19.899999999999999</v>
      </c>
      <c r="AH28" s="302" t="str">
        <f t="shared" si="6"/>
        <v/>
      </c>
      <c r="AI28" s="302" t="str">
        <f t="shared" si="7"/>
        <v/>
      </c>
      <c r="AJ28" s="302" t="str">
        <f t="shared" si="8"/>
        <v/>
      </c>
      <c r="AK28" s="326">
        <f t="shared" si="1"/>
        <v>34.23466870540264</v>
      </c>
      <c r="AL28" s="354">
        <v>6.1359608966703201</v>
      </c>
      <c r="AM28" s="354">
        <v>10.898065606897465</v>
      </c>
      <c r="AN28" s="308">
        <v>5.73354740061162</v>
      </c>
      <c r="AO28" s="308">
        <v>5.73354740061162</v>
      </c>
      <c r="AP28" s="308">
        <v>5.73354740061162</v>
      </c>
      <c r="AQ28" s="309"/>
      <c r="AR28" s="301"/>
      <c r="AS28" s="301"/>
      <c r="AT28" s="301"/>
      <c r="AU28" s="331">
        <f t="shared" si="9"/>
        <v>17.20064220183486</v>
      </c>
      <c r="AV28" s="331" t="str">
        <f t="shared" si="10"/>
        <v/>
      </c>
      <c r="AW28" s="302"/>
      <c r="AX28" s="302"/>
      <c r="AY28" s="349">
        <f t="shared" si="41"/>
        <v>-0.1221879819127528</v>
      </c>
      <c r="AZ28" s="392">
        <f t="shared" si="42"/>
        <v>-0.11073030483038844</v>
      </c>
      <c r="BA28" s="392">
        <f t="shared" si="43"/>
        <v>-0.1067159338608635</v>
      </c>
      <c r="BB28" s="392" t="str">
        <f t="shared" si="44"/>
        <v/>
      </c>
      <c r="BC28" s="392" t="str">
        <f t="shared" si="45"/>
        <v/>
      </c>
      <c r="BD28" s="392" t="str">
        <f t="shared" si="46"/>
        <v/>
      </c>
      <c r="BE28" s="349" t="str">
        <f t="shared" si="47"/>
        <v/>
      </c>
      <c r="BF28" s="349">
        <f t="shared" si="48"/>
        <v>-6.0074196621045836E-2</v>
      </c>
      <c r="BG28" s="349">
        <f t="shared" si="49"/>
        <v>-0.10413321865443442</v>
      </c>
      <c r="BH28" s="349">
        <f t="shared" si="50"/>
        <v>-0.22519629721464599</v>
      </c>
      <c r="BI28" s="349" t="str">
        <f t="shared" si="51"/>
        <v/>
      </c>
      <c r="BJ28" s="392">
        <f t="shared" si="52"/>
        <v>-0.13564612051081099</v>
      </c>
      <c r="BK28" s="392" t="str">
        <f t="shared" si="53"/>
        <v/>
      </c>
      <c r="BL28" s="288" t="str">
        <f t="shared" si="2"/>
        <v/>
      </c>
      <c r="BM28" s="136" t="str">
        <f t="shared" si="3"/>
        <v/>
      </c>
      <c r="BN28" s="334">
        <v>106.85599999999999</v>
      </c>
      <c r="BO28" s="398" t="s">
        <v>380</v>
      </c>
      <c r="BP28" s="94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</row>
    <row r="29" spans="1:79" s="89" customFormat="1" ht="11.25">
      <c r="A29" s="359" t="s">
        <v>227</v>
      </c>
      <c r="B29" s="358" t="s">
        <v>263</v>
      </c>
      <c r="C29" s="370"/>
      <c r="D29" s="367">
        <v>0.62430555555555556</v>
      </c>
      <c r="E29" s="371">
        <v>43.755479999999999</v>
      </c>
      <c r="F29" s="358"/>
      <c r="G29" s="358"/>
      <c r="H29" s="358"/>
      <c r="I29" s="365" t="s">
        <v>94</v>
      </c>
      <c r="J29" s="358">
        <f>IF(ISERROR(VLOOKUP(I29,Max_Load_France!$B$2:$C$102,2,FALSE)/1000),"",VLOOKUP(I29,Max_Load_France!$B$2:$C$102,2,FALSE)/1000)</f>
        <v>40</v>
      </c>
      <c r="K29" s="296"/>
      <c r="L29" s="297">
        <f t="shared" si="40"/>
        <v>1.0450000000000002</v>
      </c>
      <c r="M29" s="358">
        <f>IF(VLOOKUP($I29,Max_Load_France!$B$2:$M$102,3,FALSE)="","",VLOOKUP($I29,Max_Load_France!$B$2:$M$102,3,FALSE))</f>
        <v>0</v>
      </c>
      <c r="N29" s="358">
        <f>IF(VLOOKUP($I29,Max_Load_France!$B$2:$M$102,4,FALSE)="","",VLOOKUP($I29,Max_Load_France!$B$2:$M$102,4,FALSE))</f>
        <v>0</v>
      </c>
      <c r="O29" s="358">
        <f>IF(VLOOKUP($I29,Max_Load_France!$B$2:$M$102,5,FALSE)="","",VLOOKUP($I29,Max_Load_France!$B$2:$M$102,5,FALSE))</f>
        <v>1</v>
      </c>
      <c r="P29" s="358">
        <f>IF(VLOOKUP($I29,Max_Load_France!$B$2:$M$102,6,FALSE)="","",VLOOKUP($I29,Max_Load_France!$B$2:$M$102,6,FALSE))</f>
        <v>1</v>
      </c>
      <c r="Q29" s="358">
        <f>IF(VLOOKUP($I29,Max_Load_France!$B$2:$M$102,7,FALSE)="","",VLOOKUP($I29,Max_Load_France!$B$2:$M$102,7,FALSE))</f>
        <v>1</v>
      </c>
      <c r="R29" s="358" t="str">
        <f>IF(VLOOKUP($I29,Max_Load_France!$B$2:$M$102,8,FALSE)="","",VLOOKUP($I29,Max_Load_France!$B$2:$M$102,8,FALSE))</f>
        <v/>
      </c>
      <c r="S29" s="358" t="str">
        <f>IF(VLOOKUP($I29,Max_Load_France!$B$2:$M$102,9,FALSE)="","",VLOOKUP($I29,Max_Load_France!$B$2:$M$102,9,FALSE))</f>
        <v/>
      </c>
      <c r="T29" s="358" t="str">
        <f>IF(VLOOKUP($I29,Max_Load_France!$B$2:$M$102,10,FALSE)="","",VLOOKUP($I29,Max_Load_France!$B$2:$M$102,10,FALSE))</f>
        <v/>
      </c>
      <c r="U29" s="358" t="str">
        <f>IF(VLOOKUP($I29,Max_Load_France!$B$2:$M$102,11,FALSE)="","",VLOOKUP($I29,Max_Load_France!$B$2:$M$102,11,FALSE))</f>
        <v/>
      </c>
      <c r="V29" s="357">
        <f t="shared" si="4"/>
        <v>5</v>
      </c>
      <c r="W29" s="299">
        <f t="shared" si="5"/>
        <v>41.800000000000004</v>
      </c>
      <c r="X29" s="308">
        <v>6.3</v>
      </c>
      <c r="Y29" s="308">
        <v>12.7</v>
      </c>
      <c r="Z29" s="308">
        <v>7.2</v>
      </c>
      <c r="AA29" s="308">
        <v>7.9</v>
      </c>
      <c r="AB29" s="308">
        <v>7.7</v>
      </c>
      <c r="AC29" s="309"/>
      <c r="AD29" s="301"/>
      <c r="AE29" s="301"/>
      <c r="AF29" s="301"/>
      <c r="AG29" s="302">
        <f t="shared" si="26"/>
        <v>22.8</v>
      </c>
      <c r="AH29" s="302" t="str">
        <f t="shared" si="6"/>
        <v/>
      </c>
      <c r="AI29" s="302" t="str">
        <f t="shared" si="7"/>
        <v/>
      </c>
      <c r="AJ29" s="302" t="str">
        <f t="shared" si="8"/>
        <v/>
      </c>
      <c r="AK29" s="326">
        <f t="shared" si="1"/>
        <v>38.823781855249749</v>
      </c>
      <c r="AL29" s="354">
        <v>6.3842951354598236</v>
      </c>
      <c r="AM29" s="354">
        <v>9.916581521013164</v>
      </c>
      <c r="AN29" s="308">
        <v>7.5076350662589197</v>
      </c>
      <c r="AO29" s="308">
        <v>7.5076350662589197</v>
      </c>
      <c r="AP29" s="308">
        <v>7.5076350662589197</v>
      </c>
      <c r="AQ29" s="309"/>
      <c r="AR29" s="301"/>
      <c r="AS29" s="301"/>
      <c r="AT29" s="301"/>
      <c r="AU29" s="331">
        <f t="shared" si="9"/>
        <v>22.522905198776758</v>
      </c>
      <c r="AV29" s="331" t="str">
        <f t="shared" si="10"/>
        <v/>
      </c>
      <c r="AW29" s="302"/>
      <c r="AX29" s="302"/>
      <c r="AY29" s="349" t="str">
        <f t="shared" si="41"/>
        <v/>
      </c>
      <c r="AZ29" s="392" t="str">
        <f t="shared" si="42"/>
        <v/>
      </c>
      <c r="BA29" s="392" t="str">
        <f t="shared" si="43"/>
        <v/>
      </c>
      <c r="BB29" s="392" t="str">
        <f t="shared" si="44"/>
        <v/>
      </c>
      <c r="BC29" s="392" t="str">
        <f t="shared" si="45"/>
        <v/>
      </c>
      <c r="BD29" s="392" t="str">
        <f t="shared" si="46"/>
        <v/>
      </c>
      <c r="BE29" s="349" t="str">
        <f t="shared" si="47"/>
        <v/>
      </c>
      <c r="BF29" s="349" t="str">
        <f t="shared" si="48"/>
        <v/>
      </c>
      <c r="BG29" s="349" t="str">
        <f t="shared" si="49"/>
        <v/>
      </c>
      <c r="BH29" s="349" t="str">
        <f t="shared" si="50"/>
        <v/>
      </c>
      <c r="BI29" s="349" t="str">
        <f t="shared" si="51"/>
        <v/>
      </c>
      <c r="BJ29" s="392" t="b">
        <f t="shared" si="52"/>
        <v>0</v>
      </c>
      <c r="BK29" s="392" t="str">
        <f t="shared" si="53"/>
        <v/>
      </c>
      <c r="BL29" s="288" t="str">
        <f t="shared" si="2"/>
        <v/>
      </c>
      <c r="BM29" s="136" t="str">
        <f t="shared" si="3"/>
        <v/>
      </c>
      <c r="BN29" s="334">
        <v>149.65100000000001</v>
      </c>
      <c r="BO29" s="398"/>
      <c r="BP29" s="94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</row>
    <row r="30" spans="1:79" s="89" customFormat="1" ht="11.25">
      <c r="A30" s="359" t="s">
        <v>228</v>
      </c>
      <c r="B30" s="358" t="s">
        <v>264</v>
      </c>
      <c r="C30" s="370"/>
      <c r="D30" s="307">
        <v>0.62708333333333333</v>
      </c>
      <c r="E30" s="371">
        <v>56.496600000000001</v>
      </c>
      <c r="F30" s="296"/>
      <c r="G30" s="296"/>
      <c r="H30" s="358"/>
      <c r="I30" s="365" t="s">
        <v>94</v>
      </c>
      <c r="J30" s="358">
        <f>IF(ISERROR(VLOOKUP(I30,Max_Load_France!$B$2:$C$102,2,FALSE)/1000),"",VLOOKUP(I30,Max_Load_France!$B$2:$C$102,2,FALSE)/1000)</f>
        <v>40</v>
      </c>
      <c r="K30" s="296"/>
      <c r="L30" s="297">
        <f t="shared" si="40"/>
        <v>1.0899999999999999</v>
      </c>
      <c r="M30" s="358">
        <f>IF(VLOOKUP($I30,Max_Load_France!$B$2:$M$102,3,FALSE)="","",VLOOKUP($I30,Max_Load_France!$B$2:$M$102,3,FALSE))</f>
        <v>0</v>
      </c>
      <c r="N30" s="358">
        <f>IF(VLOOKUP($I30,Max_Load_France!$B$2:$M$102,4,FALSE)="","",VLOOKUP($I30,Max_Load_France!$B$2:$M$102,4,FALSE))</f>
        <v>0</v>
      </c>
      <c r="O30" s="358">
        <f>IF(VLOOKUP($I30,Max_Load_France!$B$2:$M$102,5,FALSE)="","",VLOOKUP($I30,Max_Load_France!$B$2:$M$102,5,FALSE))</f>
        <v>1</v>
      </c>
      <c r="P30" s="358">
        <f>IF(VLOOKUP($I30,Max_Load_France!$B$2:$M$102,6,FALSE)="","",VLOOKUP($I30,Max_Load_France!$B$2:$M$102,6,FALSE))</f>
        <v>1</v>
      </c>
      <c r="Q30" s="358">
        <f>IF(VLOOKUP($I30,Max_Load_France!$B$2:$M$102,7,FALSE)="","",VLOOKUP($I30,Max_Load_France!$B$2:$M$102,7,FALSE))</f>
        <v>1</v>
      </c>
      <c r="R30" s="358" t="str">
        <f>IF(VLOOKUP($I30,Max_Load_France!$B$2:$M$102,8,FALSE)="","",VLOOKUP($I30,Max_Load_France!$B$2:$M$102,8,FALSE))</f>
        <v/>
      </c>
      <c r="S30" s="358" t="str">
        <f>IF(VLOOKUP($I30,Max_Load_France!$B$2:$M$102,9,FALSE)="","",VLOOKUP($I30,Max_Load_France!$B$2:$M$102,9,FALSE))</f>
        <v/>
      </c>
      <c r="T30" s="358" t="str">
        <f>IF(VLOOKUP($I30,Max_Load_France!$B$2:$M$102,10,FALSE)="","",VLOOKUP($I30,Max_Load_France!$B$2:$M$102,10,FALSE))</f>
        <v/>
      </c>
      <c r="U30" s="358" t="str">
        <f>IF(VLOOKUP($I30,Max_Load_France!$B$2:$M$102,11,FALSE)="","",VLOOKUP($I30,Max_Load_France!$B$2:$M$102,11,FALSE))</f>
        <v/>
      </c>
      <c r="V30" s="357">
        <f t="shared" si="4"/>
        <v>5</v>
      </c>
      <c r="W30" s="299">
        <f t="shared" si="5"/>
        <v>43.599999999999994</v>
      </c>
      <c r="X30" s="308">
        <v>7.2</v>
      </c>
      <c r="Y30" s="308">
        <v>12.2</v>
      </c>
      <c r="Z30" s="308">
        <v>8.1999999999999993</v>
      </c>
      <c r="AA30" s="308">
        <v>8.1</v>
      </c>
      <c r="AB30" s="308">
        <v>7.9</v>
      </c>
      <c r="AC30" s="308"/>
      <c r="AD30" s="308"/>
      <c r="AE30" s="308"/>
      <c r="AF30" s="308"/>
      <c r="AG30" s="302">
        <f t="shared" si="26"/>
        <v>24.199999999999996</v>
      </c>
      <c r="AH30" s="302" t="str">
        <f t="shared" si="6"/>
        <v/>
      </c>
      <c r="AI30" s="302" t="str">
        <f t="shared" si="7"/>
        <v/>
      </c>
      <c r="AJ30" s="302" t="str">
        <f t="shared" si="8"/>
        <v/>
      </c>
      <c r="AK30" s="326">
        <f t="shared" si="1"/>
        <v>42.903425076452599</v>
      </c>
      <c r="AL30" s="354">
        <v>7.2737250326922256</v>
      </c>
      <c r="AM30" s="354">
        <v>12.213950808286366</v>
      </c>
      <c r="AN30" s="309">
        <v>7.8052497451580019</v>
      </c>
      <c r="AO30" s="309">
        <v>7.8052497451580019</v>
      </c>
      <c r="AP30" s="309">
        <v>7.8052497451580019</v>
      </c>
      <c r="AQ30" s="309"/>
      <c r="AR30" s="309"/>
      <c r="AS30" s="309"/>
      <c r="AT30" s="309"/>
      <c r="AU30" s="331">
        <f t="shared" si="9"/>
        <v>23.415749235474006</v>
      </c>
      <c r="AV30" s="331" t="str">
        <f t="shared" si="10"/>
        <v/>
      </c>
      <c r="AW30" s="302"/>
      <c r="AX30" s="302"/>
      <c r="AY30" s="349">
        <f>IF(AND($BO$10="Yes",$BO30="MP"),"",IF(AK30=0,"",IF($W30/$V30&lt;$BN$6,"",IF($BN30&lt;$BN$10,IF(W30&gt;0,(AK30-W30)/W30,""),""))))</f>
        <v>-1.597648907218796E-2</v>
      </c>
      <c r="AZ30" s="392">
        <f>IF(AND($BO$10="Yes",$BO30="MP"),"",IF(M30=0,IF(AL30&lt;$BN$7,"",IF($W30/$V30&lt;$BN$6,"",IF($BN30&lt;$BN$10,IF(X30&gt;0,(AL30-X30)/X30,""),""))),""))</f>
        <v>1.0239587873920196E-2</v>
      </c>
      <c r="BA30" s="392">
        <f>IF(N30=0,IF(AM30&lt;$BN$7,"",IF($W30/$V30&lt;$BN$6,"",IF($BN30&lt;$BN$10,IF(Y30&gt;0,(AM30-Y30)/Y30,""),""))),"")</f>
        <v>1.1435088759317279E-3</v>
      </c>
      <c r="BB30" s="392" t="str">
        <f>IF(O30=0,IF(AN30&lt;$BN$7,"",IF($W30/$V30&lt;$BN$6,"",IF($BN30&lt;$BN$10,IF(Z30&gt;0,(AN30-Z30)/Z30,""),""))),"")</f>
        <v/>
      </c>
      <c r="BC30" s="392" t="str">
        <f>IF(P30=0,IF(AO30&lt;$BN$7,"",IF($W30/$V30&lt;$BN$6,"",IF($BN30&lt;$BN$10,IF(AA30&gt;0,(AO30-AA30)/AA30,""),""))),"")</f>
        <v/>
      </c>
      <c r="BD30" s="392" t="str">
        <f>IF(Q30=0,IF(AP30&lt;$BN$7,"",IF($W30/$V30&lt;$BN$6,"",IF($BN30&lt;$BN$10,IF(AB30&gt;0,(AP30-AB30)/AB30,""),""))),"")</f>
        <v/>
      </c>
      <c r="BE30" s="349" t="str">
        <f>IF(AND($BO$10="Yes",$BO30="MP"),"",IF(N30&gt;0,IF(AM30&lt;$BN$7,"",IF($W30/$V30&lt;$BN$6,"",IF($BN30&lt;$BN$10,IF(Y30&gt;0,(AM30-Y30)/Y30,""),""))),""))</f>
        <v/>
      </c>
      <c r="BF30" s="349">
        <f>IF(O30&gt;0,IF(AN30&lt;$BN$7,"",IF($W30/$V30&lt;$BN$6,"",IF($BN30&lt;$BN$10,IF(Z30&gt;0,(AN30-Z30)/Z30,""),""))),"")</f>
        <v>-4.8140274980731403E-2</v>
      </c>
      <c r="BG30" s="349">
        <f>IF(P30&gt;0,IF(AO30&lt;$BN$7,"",IF($W30/$V30&lt;$BN$6,"",IF($BN30&lt;$BN$10,IF(AA30&gt;0,(AO30-AA30)/AA30,""),""))),"")</f>
        <v>-3.6388920350863926E-2</v>
      </c>
      <c r="BH30" s="349">
        <f>IF(Q30&gt;0,IF(AP30&lt;$BN$7,"",IF($W30/$V30&lt;$BN$6,"",IF($BN30&lt;$BN$10,IF(AB30&gt;0,(AP30-AB30)/AB30,""),""))),"")</f>
        <v>-1.1993703144556772E-2</v>
      </c>
      <c r="BI30" s="349" t="str">
        <f>IF(R30&gt;0,IF(AQ30&lt;$BN$7,"",IF($W30/$V30&lt;$BN$6,"",IF($BN30&lt;$BN$10,IF(AC30&gt;0,(AQ30-AC30)/AC30,""),""))),"")</f>
        <v/>
      </c>
      <c r="BJ30" s="392">
        <f>IF(AND($BO$10="Yes",$BO30="MP"),"",IF(AG30&lt;$BN$6*COUNTIF(M30:R30,1),"",IF($BN30&lt;$BN$10,IF($BN30&lt;$BN$10,IF(AG30&lt;&gt;"",(AU30-AG30)/AG30,""),""))))</f>
        <v>-3.2407056385371467E-2</v>
      </c>
      <c r="BK30" s="392" t="str">
        <f>IF(AND($BO$10="Yes",$BO30="MP"),"",IF(AH30&lt;$BN$6*COUNTIF(M30:R30,2),"",IF($BN30&lt;$BN$10,IF(AH30&lt;&gt;"",(AV30-AH30)/AH30,""),"")))</f>
        <v/>
      </c>
      <c r="BL30" s="288" t="str">
        <f t="shared" si="2"/>
        <v/>
      </c>
      <c r="BM30" s="136" t="str">
        <f t="shared" si="3"/>
        <v/>
      </c>
      <c r="BN30" s="334">
        <v>72.545000000000002</v>
      </c>
      <c r="BO30" s="398"/>
      <c r="BP30" s="94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</row>
    <row r="31" spans="1:79" s="89" customFormat="1" ht="11.25">
      <c r="A31" s="359" t="s">
        <v>229</v>
      </c>
      <c r="B31" s="358" t="s">
        <v>265</v>
      </c>
      <c r="C31" s="370"/>
      <c r="D31" s="367">
        <v>0.62986111111111109</v>
      </c>
      <c r="E31" s="310">
        <v>59.698799999999999</v>
      </c>
      <c r="F31" s="358"/>
      <c r="G31" s="358"/>
      <c r="H31" s="358"/>
      <c r="I31" s="365" t="s">
        <v>94</v>
      </c>
      <c r="J31" s="358">
        <f>IF(ISERROR(VLOOKUP(I31,Max_Load_France!$B$2:$C$102,2,FALSE)/1000),"",VLOOKUP(I31,Max_Load_France!$B$2:$C$102,2,FALSE)/1000)</f>
        <v>40</v>
      </c>
      <c r="K31" s="296"/>
      <c r="L31" s="297">
        <f t="shared" si="40"/>
        <v>1.0024999999999999</v>
      </c>
      <c r="M31" s="358">
        <f>IF(VLOOKUP($I31,Max_Load_France!$B$2:$M$102,3,FALSE)="","",VLOOKUP($I31,Max_Load_France!$B$2:$M$102,3,FALSE))</f>
        <v>0</v>
      </c>
      <c r="N31" s="358">
        <f>IF(VLOOKUP($I31,Max_Load_France!$B$2:$M$102,4,FALSE)="","",VLOOKUP($I31,Max_Load_France!$B$2:$M$102,4,FALSE))</f>
        <v>0</v>
      </c>
      <c r="O31" s="358">
        <f>IF(VLOOKUP($I31,Max_Load_France!$B$2:$M$102,5,FALSE)="","",VLOOKUP($I31,Max_Load_France!$B$2:$M$102,5,FALSE))</f>
        <v>1</v>
      </c>
      <c r="P31" s="358">
        <f>IF(VLOOKUP($I31,Max_Load_France!$B$2:$M$102,6,FALSE)="","",VLOOKUP($I31,Max_Load_France!$B$2:$M$102,6,FALSE))</f>
        <v>1</v>
      </c>
      <c r="Q31" s="358">
        <f>IF(VLOOKUP($I31,Max_Load_France!$B$2:$M$102,7,FALSE)="","",VLOOKUP($I31,Max_Load_France!$B$2:$M$102,7,FALSE))</f>
        <v>1</v>
      </c>
      <c r="R31" s="358" t="str">
        <f>IF(VLOOKUP($I31,Max_Load_France!$B$2:$M$102,8,FALSE)="","",VLOOKUP($I31,Max_Load_France!$B$2:$M$102,8,FALSE))</f>
        <v/>
      </c>
      <c r="S31" s="358" t="str">
        <f>IF(VLOOKUP($I31,Max_Load_France!$B$2:$M$102,9,FALSE)="","",VLOOKUP($I31,Max_Load_France!$B$2:$M$102,9,FALSE))</f>
        <v/>
      </c>
      <c r="T31" s="358" t="str">
        <f>IF(VLOOKUP($I31,Max_Load_France!$B$2:$M$102,10,FALSE)="","",VLOOKUP($I31,Max_Load_France!$B$2:$M$102,10,FALSE))</f>
        <v/>
      </c>
      <c r="U31" s="358" t="str">
        <f>IF(VLOOKUP($I31,Max_Load_France!$B$2:$M$102,11,FALSE)="","",VLOOKUP($I31,Max_Load_France!$B$2:$M$102,11,FALSE))</f>
        <v/>
      </c>
      <c r="V31" s="357">
        <f t="shared" si="4"/>
        <v>5</v>
      </c>
      <c r="W31" s="299">
        <f t="shared" si="5"/>
        <v>40.1</v>
      </c>
      <c r="X31" s="308">
        <v>6.7</v>
      </c>
      <c r="Y31" s="308">
        <v>10.199999999999999</v>
      </c>
      <c r="Z31" s="308">
        <v>7.8</v>
      </c>
      <c r="AA31" s="308">
        <v>7.7</v>
      </c>
      <c r="AB31" s="308">
        <v>7.7</v>
      </c>
      <c r="AC31" s="309"/>
      <c r="AD31" s="301"/>
      <c r="AE31" s="301"/>
      <c r="AF31" s="301"/>
      <c r="AG31" s="302">
        <f t="shared" si="26"/>
        <v>23.2</v>
      </c>
      <c r="AH31" s="302" t="str">
        <f t="shared" si="6"/>
        <v/>
      </c>
      <c r="AI31" s="302" t="str">
        <f t="shared" si="7"/>
        <v/>
      </c>
      <c r="AJ31" s="302" t="str">
        <f t="shared" si="8"/>
        <v/>
      </c>
      <c r="AK31" s="326">
        <f t="shared" si="1"/>
        <v>39.979510703363914</v>
      </c>
      <c r="AL31" s="354">
        <v>6.9801631213939777</v>
      </c>
      <c r="AM31" s="354">
        <v>10.415463789921006</v>
      </c>
      <c r="AN31" s="308">
        <v>7.5279612640163096</v>
      </c>
      <c r="AO31" s="308">
        <v>7.5279612640163096</v>
      </c>
      <c r="AP31" s="308">
        <v>7.5279612640163096</v>
      </c>
      <c r="AQ31" s="309"/>
      <c r="AR31" s="301"/>
      <c r="AS31" s="301"/>
      <c r="AT31" s="301"/>
      <c r="AU31" s="331">
        <f t="shared" si="9"/>
        <v>22.58388379204893</v>
      </c>
      <c r="AV31" s="331" t="str">
        <f t="shared" si="10"/>
        <v/>
      </c>
      <c r="AW31" s="302"/>
      <c r="AX31" s="302"/>
      <c r="AY31" s="349">
        <f t="shared" ref="AY31:AY36" si="54">IF(AND($BO$10="Yes",$BO31="MP"),"",IF(AK31=0,"",IF($W31/$V31&lt;$BN$6,"",IF($BN31&lt;$BN$10,IF(W31&gt;0,(AK31-W31)/W31,""),""))))</f>
        <v>-3.0047206143662673E-3</v>
      </c>
      <c r="AZ31" s="392">
        <f t="shared" ref="AZ31:AZ36" si="55">IF(AND($BO$10="Yes",$BO31="MP"),"",IF(M31=0,IF(AL31&lt;$BN$7,"",IF($W31/$V31&lt;$BN$6,"",IF($BN31&lt;$BN$10,IF(X31&gt;0,(AL31-X31)/X31,""),""))),""))</f>
        <v>4.1815391252832457E-2</v>
      </c>
      <c r="BA31" s="392">
        <f t="shared" ref="BA31:BA36" si="56">IF(N31=0,IF(AM31&lt;$BN$7,"",IF($W31/$V31&lt;$BN$6,"",IF($BN31&lt;$BN$10,IF(Y31&gt;0,(AM31-Y31)/Y31,""),""))),"")</f>
        <v>2.1123900972647703E-2</v>
      </c>
      <c r="BB31" s="392" t="str">
        <f t="shared" ref="BB31:BB36" si="57">IF(O31=0,IF(AN31&lt;$BN$7,"",IF($W31/$V31&lt;$BN$6,"",IF($BN31&lt;$BN$10,IF(Z31&gt;0,(AN31-Z31)/Z31,""),""))),"")</f>
        <v/>
      </c>
      <c r="BC31" s="392" t="str">
        <f t="shared" ref="BC31:BC36" si="58">IF(P31=0,IF(AO31&lt;$BN$7,"",IF($W31/$V31&lt;$BN$6,"",IF($BN31&lt;$BN$10,IF(AA31&gt;0,(AO31-AA31)/AA31,""),""))),"")</f>
        <v/>
      </c>
      <c r="BD31" s="392" t="str">
        <f t="shared" ref="BD31:BD36" si="59">IF(Q31=0,IF(AP31&lt;$BN$7,"",IF($W31/$V31&lt;$BN$6,"",IF($BN31&lt;$BN$10,IF(AB31&gt;0,(AP31-AB31)/AB31,""),""))),"")</f>
        <v/>
      </c>
      <c r="BE31" s="349" t="str">
        <f t="shared" ref="BE31:BE36" si="60">IF(AND($BO$10="Yes",$BO31="MP"),"",IF(N31&gt;0,IF(AM31&lt;$BN$7,"",IF($W31/$V31&lt;$BN$6,"",IF($BN31&lt;$BN$10,IF(Y31&gt;0,(AM31-Y31)/Y31,""),""))),""))</f>
        <v/>
      </c>
      <c r="BF31" s="349">
        <f t="shared" ref="BF31:BF36" si="61">IF(O31&gt;0,IF(AN31&lt;$BN$7,"",IF($W31/$V31&lt;$BN$6,"",IF($BN31&lt;$BN$10,IF(Z31&gt;0,(AN31-Z31)/Z31,""),""))),"")</f>
        <v>-3.4876761023550029E-2</v>
      </c>
      <c r="BG31" s="349">
        <f t="shared" ref="BG31:BG36" si="62">IF(P31&gt;0,IF(AO31&lt;$BN$7,"",IF($W31/$V31&lt;$BN$6,"",IF($BN31&lt;$BN$10,IF(AA31&gt;0,(AO31-AA31)/AA31,""),""))),"")</f>
        <v>-2.2342692984894878E-2</v>
      </c>
      <c r="BH31" s="349">
        <f t="shared" ref="BH31:BH36" si="63">IF(Q31&gt;0,IF(AP31&lt;$BN$7,"",IF($W31/$V31&lt;$BN$6,"",IF($BN31&lt;$BN$10,IF(AB31&gt;0,(AP31-AB31)/AB31,""),""))),"")</f>
        <v>-2.2342692984894878E-2</v>
      </c>
      <c r="BI31" s="349" t="str">
        <f t="shared" ref="BI31:BI36" si="64">IF(R31&gt;0,IF(AQ31&lt;$BN$7,"",IF($W31/$V31&lt;$BN$6,"",IF($BN31&lt;$BN$10,IF(AC31&gt;0,(AQ31-AC31)/AC31,""),""))),"")</f>
        <v/>
      </c>
      <c r="BJ31" s="392">
        <f t="shared" ref="BJ31:BJ36" si="65">IF(AND($BO$10="Yes",$BO31="MP"),"",IF(AG31&lt;$BN$6*COUNTIF(M31:R31,1),"",IF($BN31&lt;$BN$10,IF($BN31&lt;$BN$10,IF(AG31&lt;&gt;"",(AU31-AG31)/AG31,""),""))))</f>
        <v>-2.6556733101339207E-2</v>
      </c>
      <c r="BK31" s="392" t="str">
        <f t="shared" ref="BK31:BK36" si="66">IF(AND($BO$10="Yes",$BO31="MP"),"",IF(AH31&lt;$BN$6*COUNTIF(M31:R31,2),"",IF($BN31&lt;$BN$10,IF(AH31&lt;&gt;"",(AV31-AH31)/AH31,""),"")))</f>
        <v/>
      </c>
      <c r="BL31" s="288" t="str">
        <f t="shared" si="2"/>
        <v/>
      </c>
      <c r="BM31" s="136" t="str">
        <f t="shared" si="3"/>
        <v/>
      </c>
      <c r="BN31" s="334">
        <v>62.024299999999997</v>
      </c>
      <c r="BO31" s="398"/>
      <c r="BP31" s="94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</row>
    <row r="32" spans="1:79" s="89" customFormat="1" ht="11.25">
      <c r="A32" s="359" t="s">
        <v>230</v>
      </c>
      <c r="B32" s="358" t="s">
        <v>266</v>
      </c>
      <c r="C32" s="370"/>
      <c r="D32" s="367">
        <v>0.6381944444444444</v>
      </c>
      <c r="E32" s="371">
        <v>60.186239999999998</v>
      </c>
      <c r="F32" s="358"/>
      <c r="G32" s="358"/>
      <c r="H32" s="358"/>
      <c r="I32" s="365" t="s">
        <v>94</v>
      </c>
      <c r="J32" s="358">
        <f>IF(ISERROR(VLOOKUP(I32,Max_Load_France!$B$2:$C$102,2,FALSE)/1000),"",VLOOKUP(I32,Max_Load_France!$B$2:$C$102,2,FALSE)/1000)</f>
        <v>40</v>
      </c>
      <c r="K32" s="296"/>
      <c r="L32" s="297">
        <f t="shared" si="40"/>
        <v>0.79500000000000004</v>
      </c>
      <c r="M32" s="358">
        <f>IF(VLOOKUP($I32,Max_Load_France!$B$2:$M$102,3,FALSE)="","",VLOOKUP($I32,Max_Load_France!$B$2:$M$102,3,FALSE))</f>
        <v>0</v>
      </c>
      <c r="N32" s="358">
        <f>IF(VLOOKUP($I32,Max_Load_France!$B$2:$M$102,4,FALSE)="","",VLOOKUP($I32,Max_Load_France!$B$2:$M$102,4,FALSE))</f>
        <v>0</v>
      </c>
      <c r="O32" s="358">
        <f>IF(VLOOKUP($I32,Max_Load_France!$B$2:$M$102,5,FALSE)="","",VLOOKUP($I32,Max_Load_France!$B$2:$M$102,5,FALSE))</f>
        <v>1</v>
      </c>
      <c r="P32" s="358">
        <f>IF(VLOOKUP($I32,Max_Load_France!$B$2:$M$102,6,FALSE)="","",VLOOKUP($I32,Max_Load_France!$B$2:$M$102,6,FALSE))</f>
        <v>1</v>
      </c>
      <c r="Q32" s="358">
        <f>IF(VLOOKUP($I32,Max_Load_France!$B$2:$M$102,7,FALSE)="","",VLOOKUP($I32,Max_Load_France!$B$2:$M$102,7,FALSE))</f>
        <v>1</v>
      </c>
      <c r="R32" s="358" t="str">
        <f>IF(VLOOKUP($I32,Max_Load_France!$B$2:$M$102,8,FALSE)="","",VLOOKUP($I32,Max_Load_France!$B$2:$M$102,8,FALSE))</f>
        <v/>
      </c>
      <c r="S32" s="358" t="str">
        <f>IF(VLOOKUP($I32,Max_Load_France!$B$2:$M$102,9,FALSE)="","",VLOOKUP($I32,Max_Load_France!$B$2:$M$102,9,FALSE))</f>
        <v/>
      </c>
      <c r="T32" s="358" t="str">
        <f>IF(VLOOKUP($I32,Max_Load_France!$B$2:$M$102,10,FALSE)="","",VLOOKUP($I32,Max_Load_France!$B$2:$M$102,10,FALSE))</f>
        <v/>
      </c>
      <c r="U32" s="358" t="str">
        <f>IF(VLOOKUP($I32,Max_Load_France!$B$2:$M$102,11,FALSE)="","",VLOOKUP($I32,Max_Load_France!$B$2:$M$102,11,FALSE))</f>
        <v/>
      </c>
      <c r="V32" s="357">
        <f t="shared" si="4"/>
        <v>5</v>
      </c>
      <c r="W32" s="299">
        <f t="shared" si="5"/>
        <v>31.8</v>
      </c>
      <c r="X32" s="308">
        <v>7.3</v>
      </c>
      <c r="Y32" s="308">
        <v>9.9</v>
      </c>
      <c r="Z32" s="308">
        <v>5</v>
      </c>
      <c r="AA32" s="308">
        <v>4.8</v>
      </c>
      <c r="AB32" s="308">
        <v>4.8</v>
      </c>
      <c r="AC32" s="309"/>
      <c r="AD32" s="301"/>
      <c r="AE32" s="301"/>
      <c r="AF32" s="301"/>
      <c r="AG32" s="302">
        <f t="shared" si="26"/>
        <v>14.600000000000001</v>
      </c>
      <c r="AH32" s="302" t="str">
        <f t="shared" si="6"/>
        <v/>
      </c>
      <c r="AI32" s="302" t="str">
        <f t="shared" si="7"/>
        <v/>
      </c>
      <c r="AJ32" s="302" t="str">
        <f t="shared" si="8"/>
        <v/>
      </c>
      <c r="AK32" s="326">
        <f t="shared" si="1"/>
        <v>31.298939857288481</v>
      </c>
      <c r="AL32" s="354">
        <v>6.6188476929133691</v>
      </c>
      <c r="AM32" s="354">
        <v>10.633761889145752</v>
      </c>
      <c r="AN32" s="308">
        <v>4.6821100917431187</v>
      </c>
      <c r="AO32" s="308">
        <v>4.6821100917431187</v>
      </c>
      <c r="AP32" s="308">
        <v>4.6821100917431187</v>
      </c>
      <c r="AQ32" s="309"/>
      <c r="AR32" s="300"/>
      <c r="AS32" s="301"/>
      <c r="AT32" s="301"/>
      <c r="AU32" s="331">
        <f t="shared" si="9"/>
        <v>14.046330275229355</v>
      </c>
      <c r="AV32" s="331" t="str">
        <f t="shared" si="10"/>
        <v/>
      </c>
      <c r="AW32" s="302"/>
      <c r="AX32" s="302"/>
      <c r="AY32" s="349">
        <f t="shared" si="54"/>
        <v>-1.5756608261368547E-2</v>
      </c>
      <c r="AZ32" s="392">
        <f t="shared" si="55"/>
        <v>-9.330853521734668E-2</v>
      </c>
      <c r="BA32" s="392">
        <f t="shared" si="56"/>
        <v>7.4117362539974946E-2</v>
      </c>
      <c r="BB32" s="392" t="str">
        <f t="shared" si="57"/>
        <v/>
      </c>
      <c r="BC32" s="392" t="str">
        <f t="shared" si="58"/>
        <v/>
      </c>
      <c r="BD32" s="392" t="str">
        <f t="shared" si="59"/>
        <v/>
      </c>
      <c r="BE32" s="349" t="str">
        <f t="shared" si="60"/>
        <v/>
      </c>
      <c r="BF32" s="349">
        <f t="shared" si="61"/>
        <v>-6.3577981651376264E-2</v>
      </c>
      <c r="BG32" s="349">
        <f t="shared" si="62"/>
        <v>-2.4560397553516911E-2</v>
      </c>
      <c r="BH32" s="349">
        <f t="shared" si="63"/>
        <v>-2.4560397553516911E-2</v>
      </c>
      <c r="BI32" s="349" t="str">
        <f t="shared" si="64"/>
        <v/>
      </c>
      <c r="BJ32" s="392">
        <f t="shared" si="65"/>
        <v>-3.7922583888400432E-2</v>
      </c>
      <c r="BK32" s="392" t="str">
        <f t="shared" si="66"/>
        <v/>
      </c>
      <c r="BL32" s="288" t="str">
        <f t="shared" si="2"/>
        <v/>
      </c>
      <c r="BM32" s="136" t="str">
        <f t="shared" si="3"/>
        <v/>
      </c>
      <c r="BN32" s="334">
        <v>41.752600000000001</v>
      </c>
      <c r="BO32" s="398"/>
      <c r="BP32" s="94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</row>
    <row r="33" spans="1:79" s="89" customFormat="1" ht="11.25">
      <c r="A33" s="359" t="s">
        <v>231</v>
      </c>
      <c r="B33" s="358" t="s">
        <v>267</v>
      </c>
      <c r="C33" s="370"/>
      <c r="D33" s="367">
        <v>0.64027777777777783</v>
      </c>
      <c r="E33" s="371">
        <v>77.201999999999998</v>
      </c>
      <c r="F33" s="358"/>
      <c r="G33" s="358"/>
      <c r="H33" s="358"/>
      <c r="I33" s="365" t="s">
        <v>94</v>
      </c>
      <c r="J33" s="358">
        <f>IF(ISERROR(VLOOKUP(I33,Max_Load_France!$B$2:$C$102,2,FALSE)/1000),"",VLOOKUP(I33,Max_Load_France!$B$2:$C$102,2,FALSE)/1000)</f>
        <v>40</v>
      </c>
      <c r="K33" s="296"/>
      <c r="L33" s="297">
        <f t="shared" si="40"/>
        <v>0.36</v>
      </c>
      <c r="M33" s="358">
        <f>IF(VLOOKUP($I33,Max_Load_France!$B$2:$M$102,3,FALSE)="","",VLOOKUP($I33,Max_Load_France!$B$2:$M$102,3,FALSE))</f>
        <v>0</v>
      </c>
      <c r="N33" s="358">
        <f>IF(VLOOKUP($I33,Max_Load_France!$B$2:$M$102,4,FALSE)="","",VLOOKUP($I33,Max_Load_France!$B$2:$M$102,4,FALSE))</f>
        <v>0</v>
      </c>
      <c r="O33" s="358">
        <f>IF(VLOOKUP($I33,Max_Load_France!$B$2:$M$102,5,FALSE)="","",VLOOKUP($I33,Max_Load_France!$B$2:$M$102,5,FALSE))</f>
        <v>1</v>
      </c>
      <c r="P33" s="358">
        <f>IF(VLOOKUP($I33,Max_Load_France!$B$2:$M$102,6,FALSE)="","",VLOOKUP($I33,Max_Load_France!$B$2:$M$102,6,FALSE))</f>
        <v>1</v>
      </c>
      <c r="Q33" s="358">
        <f>IF(VLOOKUP($I33,Max_Load_France!$B$2:$M$102,7,FALSE)="","",VLOOKUP($I33,Max_Load_France!$B$2:$M$102,7,FALSE))</f>
        <v>1</v>
      </c>
      <c r="R33" s="358" t="str">
        <f>IF(VLOOKUP($I33,Max_Load_France!$B$2:$M$102,8,FALSE)="","",VLOOKUP($I33,Max_Load_France!$B$2:$M$102,8,FALSE))</f>
        <v/>
      </c>
      <c r="S33" s="358" t="str">
        <f>IF(VLOOKUP($I33,Max_Load_France!$B$2:$M$102,9,FALSE)="","",VLOOKUP($I33,Max_Load_France!$B$2:$M$102,9,FALSE))</f>
        <v/>
      </c>
      <c r="T33" s="358" t="str">
        <f>IF(VLOOKUP($I33,Max_Load_France!$B$2:$M$102,10,FALSE)="","",VLOOKUP($I33,Max_Load_France!$B$2:$M$102,10,FALSE))</f>
        <v/>
      </c>
      <c r="U33" s="358" t="str">
        <f>IF(VLOOKUP($I33,Max_Load_France!$B$2:$M$102,11,FALSE)="","",VLOOKUP($I33,Max_Load_France!$B$2:$M$102,11,FALSE))</f>
        <v/>
      </c>
      <c r="V33" s="357">
        <f t="shared" si="4"/>
        <v>5</v>
      </c>
      <c r="W33" s="299">
        <f t="shared" si="5"/>
        <v>14.399999999999999</v>
      </c>
      <c r="X33" s="308">
        <v>5.9</v>
      </c>
      <c r="Y33" s="308">
        <v>3.4</v>
      </c>
      <c r="Z33" s="308">
        <v>1.7</v>
      </c>
      <c r="AA33" s="308">
        <v>1.7</v>
      </c>
      <c r="AB33" s="308">
        <v>1.7</v>
      </c>
      <c r="AC33" s="309"/>
      <c r="AD33" s="301"/>
      <c r="AE33" s="301"/>
      <c r="AF33" s="301"/>
      <c r="AG33" s="302">
        <f t="shared" si="26"/>
        <v>5.0999999999999996</v>
      </c>
      <c r="AH33" s="302" t="str">
        <f t="shared" si="6"/>
        <v/>
      </c>
      <c r="AI33" s="302" t="str">
        <f t="shared" si="7"/>
        <v/>
      </c>
      <c r="AJ33" s="302" t="str">
        <f t="shared" si="8"/>
        <v/>
      </c>
      <c r="AK33" s="326">
        <f t="shared" si="1"/>
        <v>14.780988786952092</v>
      </c>
      <c r="AL33" s="354">
        <v>7.4415909708800809</v>
      </c>
      <c r="AM33" s="354">
        <v>2.6267066845735378</v>
      </c>
      <c r="AN33" s="308">
        <v>1.5708970438328236</v>
      </c>
      <c r="AO33" s="308">
        <v>1.5708970438328236</v>
      </c>
      <c r="AP33" s="308">
        <v>1.5708970438328236</v>
      </c>
      <c r="AQ33" s="309"/>
      <c r="AR33" s="300"/>
      <c r="AS33" s="301"/>
      <c r="AT33" s="301"/>
      <c r="AU33" s="331">
        <f t="shared" si="9"/>
        <v>4.7126911314984703</v>
      </c>
      <c r="AV33" s="331" t="str">
        <f t="shared" si="10"/>
        <v/>
      </c>
      <c r="AW33" s="302"/>
      <c r="AX33" s="302"/>
      <c r="AY33" s="349" t="str">
        <f t="shared" si="54"/>
        <v/>
      </c>
      <c r="AZ33" s="392" t="str">
        <f t="shared" si="55"/>
        <v/>
      </c>
      <c r="BA33" s="392" t="str">
        <f t="shared" si="56"/>
        <v/>
      </c>
      <c r="BB33" s="392" t="str">
        <f t="shared" si="57"/>
        <v/>
      </c>
      <c r="BC33" s="392" t="str">
        <f t="shared" si="58"/>
        <v/>
      </c>
      <c r="BD33" s="392" t="str">
        <f t="shared" si="59"/>
        <v/>
      </c>
      <c r="BE33" s="349" t="str">
        <f t="shared" si="60"/>
        <v/>
      </c>
      <c r="BF33" s="349" t="str">
        <f t="shared" si="61"/>
        <v/>
      </c>
      <c r="BG33" s="349" t="str">
        <f t="shared" si="62"/>
        <v/>
      </c>
      <c r="BH33" s="349" t="str">
        <f t="shared" si="63"/>
        <v/>
      </c>
      <c r="BI33" s="349" t="str">
        <f t="shared" si="64"/>
        <v/>
      </c>
      <c r="BJ33" s="392" t="str">
        <f t="shared" si="65"/>
        <v/>
      </c>
      <c r="BK33" s="392" t="str">
        <f t="shared" si="66"/>
        <v/>
      </c>
      <c r="BL33" s="288" t="str">
        <f t="shared" si="2"/>
        <v/>
      </c>
      <c r="BM33" s="136" t="str">
        <f t="shared" si="3"/>
        <v/>
      </c>
      <c r="BN33" s="334">
        <v>14.703200000000001</v>
      </c>
      <c r="BO33" s="398"/>
      <c r="BP33" s="94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</row>
    <row r="34" spans="1:79" s="89" customFormat="1" ht="11.25">
      <c r="A34" s="359" t="s">
        <v>232</v>
      </c>
      <c r="B34" s="358" t="s">
        <v>268</v>
      </c>
      <c r="C34" s="370"/>
      <c r="D34" s="367">
        <v>0.64444444444444449</v>
      </c>
      <c r="E34" s="371">
        <v>63.833760000000005</v>
      </c>
      <c r="F34" s="358"/>
      <c r="G34" s="358"/>
      <c r="H34" s="358"/>
      <c r="I34" s="365" t="s">
        <v>94</v>
      </c>
      <c r="J34" s="358">
        <f>IF(ISERROR(VLOOKUP(I34,Max_Load_France!$B$2:$C$102,2,FALSE)/1000),"",VLOOKUP(I34,Max_Load_France!$B$2:$C$102,2,FALSE)/1000)</f>
        <v>40</v>
      </c>
      <c r="K34" s="296"/>
      <c r="L34" s="297">
        <f t="shared" si="40"/>
        <v>0.91249999999999998</v>
      </c>
      <c r="M34" s="358">
        <f>IF(VLOOKUP($I34,Max_Load_France!$B$2:$M$102,3,FALSE)="","",VLOOKUP($I34,Max_Load_France!$B$2:$M$102,3,FALSE))</f>
        <v>0</v>
      </c>
      <c r="N34" s="358">
        <f>IF(VLOOKUP($I34,Max_Load_France!$B$2:$M$102,4,FALSE)="","",VLOOKUP($I34,Max_Load_France!$B$2:$M$102,4,FALSE))</f>
        <v>0</v>
      </c>
      <c r="O34" s="358">
        <f>IF(VLOOKUP($I34,Max_Load_France!$B$2:$M$102,5,FALSE)="","",VLOOKUP($I34,Max_Load_France!$B$2:$M$102,5,FALSE))</f>
        <v>1</v>
      </c>
      <c r="P34" s="358">
        <f>IF(VLOOKUP($I34,Max_Load_France!$B$2:$M$102,6,FALSE)="","",VLOOKUP($I34,Max_Load_France!$B$2:$M$102,6,FALSE))</f>
        <v>1</v>
      </c>
      <c r="Q34" s="358">
        <f>IF(VLOOKUP($I34,Max_Load_France!$B$2:$M$102,7,FALSE)="","",VLOOKUP($I34,Max_Load_France!$B$2:$M$102,7,FALSE))</f>
        <v>1</v>
      </c>
      <c r="R34" s="358" t="str">
        <f>IF(VLOOKUP($I34,Max_Load_France!$B$2:$M$102,8,FALSE)="","",VLOOKUP($I34,Max_Load_France!$B$2:$M$102,8,FALSE))</f>
        <v/>
      </c>
      <c r="S34" s="358" t="str">
        <f>IF(VLOOKUP($I34,Max_Load_France!$B$2:$M$102,9,FALSE)="","",VLOOKUP($I34,Max_Load_France!$B$2:$M$102,9,FALSE))</f>
        <v/>
      </c>
      <c r="T34" s="358" t="str">
        <f>IF(VLOOKUP($I34,Max_Load_France!$B$2:$M$102,10,FALSE)="","",VLOOKUP($I34,Max_Load_France!$B$2:$M$102,10,FALSE))</f>
        <v/>
      </c>
      <c r="U34" s="358" t="str">
        <f>IF(VLOOKUP($I34,Max_Load_France!$B$2:$M$102,11,FALSE)="","",VLOOKUP($I34,Max_Load_France!$B$2:$M$102,11,FALSE))</f>
        <v/>
      </c>
      <c r="V34" s="357">
        <f t="shared" si="4"/>
        <v>5</v>
      </c>
      <c r="W34" s="299">
        <f t="shared" si="5"/>
        <v>36.5</v>
      </c>
      <c r="X34" s="308">
        <v>6</v>
      </c>
      <c r="Y34" s="308">
        <v>10.7</v>
      </c>
      <c r="Z34" s="308">
        <v>6.6</v>
      </c>
      <c r="AA34" s="308">
        <v>6.6</v>
      </c>
      <c r="AB34" s="308">
        <v>6.6</v>
      </c>
      <c r="AC34" s="309"/>
      <c r="AD34" s="301"/>
      <c r="AE34" s="301"/>
      <c r="AF34" s="301"/>
      <c r="AG34" s="302">
        <f t="shared" si="26"/>
        <v>19.799999999999997</v>
      </c>
      <c r="AH34" s="302" t="str">
        <f t="shared" si="6"/>
        <v/>
      </c>
      <c r="AI34" s="302" t="str">
        <f t="shared" si="7"/>
        <v/>
      </c>
      <c r="AJ34" s="302" t="str">
        <f t="shared" si="8"/>
        <v/>
      </c>
      <c r="AK34" s="326">
        <f t="shared" si="1"/>
        <v>35.370163098878692</v>
      </c>
      <c r="AL34" s="354">
        <v>5.0579210460867623</v>
      </c>
      <c r="AM34" s="354">
        <v>10.977196181232301</v>
      </c>
      <c r="AN34" s="308">
        <v>6.4450152905198772</v>
      </c>
      <c r="AO34" s="308">
        <v>6.4450152905198772</v>
      </c>
      <c r="AP34" s="308">
        <v>6.4450152905198772</v>
      </c>
      <c r="AQ34" s="309"/>
      <c r="AR34" s="300"/>
      <c r="AS34" s="301"/>
      <c r="AT34" s="301"/>
      <c r="AU34" s="331">
        <f t="shared" si="9"/>
        <v>19.335045871559633</v>
      </c>
      <c r="AV34" s="331" t="str">
        <f t="shared" si="10"/>
        <v/>
      </c>
      <c r="AW34" s="302"/>
      <c r="AX34" s="302"/>
      <c r="AY34" s="349">
        <f t="shared" si="54"/>
        <v>-3.0954435647159131E-2</v>
      </c>
      <c r="AZ34" s="392">
        <f t="shared" si="55"/>
        <v>-0.15701315898553961</v>
      </c>
      <c r="BA34" s="392">
        <f t="shared" si="56"/>
        <v>2.590618516189739E-2</v>
      </c>
      <c r="BB34" s="392" t="str">
        <f t="shared" si="57"/>
        <v/>
      </c>
      <c r="BC34" s="392" t="str">
        <f t="shared" si="58"/>
        <v/>
      </c>
      <c r="BD34" s="392" t="str">
        <f t="shared" si="59"/>
        <v/>
      </c>
      <c r="BE34" s="349" t="str">
        <f t="shared" si="60"/>
        <v/>
      </c>
      <c r="BF34" s="349">
        <f t="shared" si="61"/>
        <v>-2.3482531739412491E-2</v>
      </c>
      <c r="BG34" s="349">
        <f t="shared" si="62"/>
        <v>-2.3482531739412491E-2</v>
      </c>
      <c r="BH34" s="349">
        <f t="shared" si="63"/>
        <v>-2.3482531739412491E-2</v>
      </c>
      <c r="BI34" s="349" t="str">
        <f t="shared" si="64"/>
        <v/>
      </c>
      <c r="BJ34" s="392">
        <f t="shared" si="65"/>
        <v>-2.3482531739412359E-2</v>
      </c>
      <c r="BK34" s="392" t="str">
        <f t="shared" si="66"/>
        <v/>
      </c>
      <c r="BL34" s="288" t="str">
        <f t="shared" si="2"/>
        <v/>
      </c>
      <c r="BM34" s="136" t="str">
        <f t="shared" si="3"/>
        <v/>
      </c>
      <c r="BN34" s="334">
        <v>83.456199999999995</v>
      </c>
      <c r="BO34" s="398"/>
      <c r="BP34" s="94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</row>
    <row r="35" spans="1:79" s="89" customFormat="1" ht="11.25">
      <c r="A35" s="359" t="s">
        <v>233</v>
      </c>
      <c r="B35" s="358" t="s">
        <v>269</v>
      </c>
      <c r="C35" s="370"/>
      <c r="D35" s="367">
        <v>0.64652777777777781</v>
      </c>
      <c r="E35" s="371">
        <v>71.580600000000004</v>
      </c>
      <c r="F35" s="358"/>
      <c r="G35" s="358"/>
      <c r="H35" s="358"/>
      <c r="I35" s="365" t="s">
        <v>94</v>
      </c>
      <c r="J35" s="358">
        <f>IF(ISERROR(VLOOKUP(I35,Max_Load_France!$B$2:$C$102,2,FALSE)/1000),"",VLOOKUP(I35,Max_Load_France!$B$2:$C$102,2,FALSE)/1000)</f>
        <v>40</v>
      </c>
      <c r="K35" s="296"/>
      <c r="L35" s="297">
        <f t="shared" si="40"/>
        <v>0.72</v>
      </c>
      <c r="M35" s="358">
        <f>IF(VLOOKUP($I35,Max_Load_France!$B$2:$M$102,3,FALSE)="","",VLOOKUP($I35,Max_Load_France!$B$2:$M$102,3,FALSE))</f>
        <v>0</v>
      </c>
      <c r="N35" s="358">
        <f>IF(VLOOKUP($I35,Max_Load_France!$B$2:$M$102,4,FALSE)="","",VLOOKUP($I35,Max_Load_France!$B$2:$M$102,4,FALSE))</f>
        <v>0</v>
      </c>
      <c r="O35" s="358">
        <f>IF(VLOOKUP($I35,Max_Load_France!$B$2:$M$102,5,FALSE)="","",VLOOKUP($I35,Max_Load_France!$B$2:$M$102,5,FALSE))</f>
        <v>1</v>
      </c>
      <c r="P35" s="358">
        <f>IF(VLOOKUP($I35,Max_Load_France!$B$2:$M$102,6,FALSE)="","",VLOOKUP($I35,Max_Load_France!$B$2:$M$102,6,FALSE))</f>
        <v>1</v>
      </c>
      <c r="Q35" s="358">
        <f>IF(VLOOKUP($I35,Max_Load_France!$B$2:$M$102,7,FALSE)="","",VLOOKUP($I35,Max_Load_France!$B$2:$M$102,7,FALSE))</f>
        <v>1</v>
      </c>
      <c r="R35" s="358" t="str">
        <f>IF(VLOOKUP($I35,Max_Load_France!$B$2:$M$102,8,FALSE)="","",VLOOKUP($I35,Max_Load_France!$B$2:$M$102,8,FALSE))</f>
        <v/>
      </c>
      <c r="S35" s="358" t="str">
        <f>IF(VLOOKUP($I35,Max_Load_France!$B$2:$M$102,9,FALSE)="","",VLOOKUP($I35,Max_Load_France!$B$2:$M$102,9,FALSE))</f>
        <v/>
      </c>
      <c r="T35" s="358" t="str">
        <f>IF(VLOOKUP($I35,Max_Load_France!$B$2:$M$102,10,FALSE)="","",VLOOKUP($I35,Max_Load_France!$B$2:$M$102,10,FALSE))</f>
        <v/>
      </c>
      <c r="U35" s="358" t="str">
        <f>IF(VLOOKUP($I35,Max_Load_France!$B$2:$M$102,11,FALSE)="","",VLOOKUP($I35,Max_Load_France!$B$2:$M$102,11,FALSE))</f>
        <v/>
      </c>
      <c r="V35" s="357">
        <f t="shared" si="4"/>
        <v>5</v>
      </c>
      <c r="W35" s="299">
        <f t="shared" si="5"/>
        <v>28.8</v>
      </c>
      <c r="X35" s="308">
        <v>7.3</v>
      </c>
      <c r="Y35" s="308">
        <v>11.7</v>
      </c>
      <c r="Z35" s="308">
        <v>3.3</v>
      </c>
      <c r="AA35" s="308">
        <v>3.3</v>
      </c>
      <c r="AB35" s="308">
        <v>3.2</v>
      </c>
      <c r="AC35" s="309"/>
      <c r="AD35" s="301"/>
      <c r="AE35" s="301"/>
      <c r="AF35" s="301"/>
      <c r="AG35" s="302">
        <f t="shared" si="26"/>
        <v>9.8000000000000007</v>
      </c>
      <c r="AH35" s="302" t="str">
        <f t="shared" si="6"/>
        <v/>
      </c>
      <c r="AI35" s="302" t="str">
        <f t="shared" si="7"/>
        <v/>
      </c>
      <c r="AJ35" s="302" t="str">
        <f t="shared" si="8"/>
        <v/>
      </c>
      <c r="AK35" s="326">
        <f t="shared" si="1"/>
        <v>30.803323139653408</v>
      </c>
      <c r="AL35" s="354">
        <v>8.4613803950029585</v>
      </c>
      <c r="AM35" s="354">
        <v>12.043104824161158</v>
      </c>
      <c r="AN35" s="308">
        <v>3.432945973496432</v>
      </c>
      <c r="AO35" s="308">
        <v>3.432945973496432</v>
      </c>
      <c r="AP35" s="308">
        <v>3.432945973496432</v>
      </c>
      <c r="AQ35" s="309"/>
      <c r="AR35" s="300"/>
      <c r="AS35" s="301"/>
      <c r="AT35" s="301"/>
      <c r="AU35" s="331">
        <f t="shared" si="9"/>
        <v>10.298837920489296</v>
      </c>
      <c r="AV35" s="331" t="str">
        <f t="shared" si="10"/>
        <v/>
      </c>
      <c r="AW35" s="302"/>
      <c r="AX35" s="302"/>
      <c r="AY35" s="349">
        <f t="shared" si="54"/>
        <v>6.9559831237965525E-2</v>
      </c>
      <c r="AZ35" s="392">
        <f t="shared" si="55"/>
        <v>0.15909320479492584</v>
      </c>
      <c r="BA35" s="392">
        <f t="shared" si="56"/>
        <v>2.9325198646252923E-2</v>
      </c>
      <c r="BB35" s="392" t="str">
        <f t="shared" si="57"/>
        <v/>
      </c>
      <c r="BC35" s="392" t="str">
        <f t="shared" si="58"/>
        <v/>
      </c>
      <c r="BD35" s="392" t="str">
        <f t="shared" si="59"/>
        <v/>
      </c>
      <c r="BE35" s="349" t="str">
        <f t="shared" si="60"/>
        <v/>
      </c>
      <c r="BF35" s="349">
        <f t="shared" si="61"/>
        <v>4.0286658635282496E-2</v>
      </c>
      <c r="BG35" s="349">
        <f t="shared" si="62"/>
        <v>4.0286658635282496E-2</v>
      </c>
      <c r="BH35" s="349">
        <f t="shared" si="63"/>
        <v>7.2795616717634959E-2</v>
      </c>
      <c r="BI35" s="349" t="str">
        <f t="shared" si="64"/>
        <v/>
      </c>
      <c r="BJ35" s="392">
        <f t="shared" si="65"/>
        <v>5.0901828621356671E-2</v>
      </c>
      <c r="BK35" s="392" t="str">
        <f t="shared" si="66"/>
        <v/>
      </c>
      <c r="BL35" s="288" t="str">
        <f t="shared" si="2"/>
        <v/>
      </c>
      <c r="BM35" s="136" t="str">
        <f t="shared" si="3"/>
        <v/>
      </c>
      <c r="BN35" s="334">
        <v>70.857399999999998</v>
      </c>
      <c r="BO35" s="398"/>
      <c r="BP35" s="94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</row>
    <row r="36" spans="1:79" s="89" customFormat="1" ht="11.25">
      <c r="A36" s="359" t="s">
        <v>234</v>
      </c>
      <c r="B36" s="358" t="s">
        <v>270</v>
      </c>
      <c r="C36" s="370"/>
      <c r="D36" s="367">
        <v>0.64930555555555558</v>
      </c>
      <c r="E36" s="371">
        <v>78.853320000000011</v>
      </c>
      <c r="F36" s="358"/>
      <c r="G36" s="358"/>
      <c r="H36" s="358"/>
      <c r="I36" s="365" t="s">
        <v>94</v>
      </c>
      <c r="J36" s="358">
        <f>IF(ISERROR(VLOOKUP(I36,Max_Load_France!$B$2:$C$102,2,FALSE)/1000),"",VLOOKUP(I36,Max_Load_France!$B$2:$C$102,2,FALSE)/1000)</f>
        <v>40</v>
      </c>
      <c r="K36" s="296"/>
      <c r="L36" s="297">
        <f>W36/J36</f>
        <v>0.66</v>
      </c>
      <c r="M36" s="358">
        <f>IF(VLOOKUP($I36,Max_Load_France!$B$2:$M$102,3,FALSE)="","",VLOOKUP($I36,Max_Load_France!$B$2:$M$102,3,FALSE))</f>
        <v>0</v>
      </c>
      <c r="N36" s="358">
        <f>IF(VLOOKUP($I36,Max_Load_France!$B$2:$M$102,4,FALSE)="","",VLOOKUP($I36,Max_Load_France!$B$2:$M$102,4,FALSE))</f>
        <v>0</v>
      </c>
      <c r="O36" s="358">
        <f>IF(VLOOKUP($I36,Max_Load_France!$B$2:$M$102,5,FALSE)="","",VLOOKUP($I36,Max_Load_France!$B$2:$M$102,5,FALSE))</f>
        <v>1</v>
      </c>
      <c r="P36" s="358">
        <f>IF(VLOOKUP($I36,Max_Load_France!$B$2:$M$102,6,FALSE)="","",VLOOKUP($I36,Max_Load_France!$B$2:$M$102,6,FALSE))</f>
        <v>1</v>
      </c>
      <c r="Q36" s="358">
        <f>IF(VLOOKUP($I36,Max_Load_France!$B$2:$M$102,7,FALSE)="","",VLOOKUP($I36,Max_Load_France!$B$2:$M$102,7,FALSE))</f>
        <v>1</v>
      </c>
      <c r="R36" s="358" t="str">
        <f>IF(VLOOKUP($I36,Max_Load_France!$B$2:$M$102,8,FALSE)="","",VLOOKUP($I36,Max_Load_France!$B$2:$M$102,8,FALSE))</f>
        <v/>
      </c>
      <c r="S36" s="358" t="str">
        <f>IF(VLOOKUP($I36,Max_Load_France!$B$2:$M$102,9,FALSE)="","",VLOOKUP($I36,Max_Load_France!$B$2:$M$102,9,FALSE))</f>
        <v/>
      </c>
      <c r="T36" s="358" t="str">
        <f>IF(VLOOKUP($I36,Max_Load_France!$B$2:$M$102,10,FALSE)="","",VLOOKUP($I36,Max_Load_France!$B$2:$M$102,10,FALSE))</f>
        <v/>
      </c>
      <c r="U36" s="358" t="str">
        <f>IF(VLOOKUP($I36,Max_Load_France!$B$2:$M$102,11,FALSE)="","",VLOOKUP($I36,Max_Load_France!$B$2:$M$102,11,FALSE))</f>
        <v/>
      </c>
      <c r="V36" s="357">
        <f t="shared" si="4"/>
        <v>5</v>
      </c>
      <c r="W36" s="299">
        <f t="shared" si="5"/>
        <v>26.400000000000002</v>
      </c>
      <c r="X36" s="308">
        <v>6.3</v>
      </c>
      <c r="Y36" s="308">
        <v>7</v>
      </c>
      <c r="Z36" s="308">
        <v>4.4000000000000004</v>
      </c>
      <c r="AA36" s="308">
        <v>4.4000000000000004</v>
      </c>
      <c r="AB36" s="308">
        <v>4.3</v>
      </c>
      <c r="AC36" s="309"/>
      <c r="AD36" s="301"/>
      <c r="AE36" s="301"/>
      <c r="AF36" s="301"/>
      <c r="AG36" s="302">
        <f t="shared" si="26"/>
        <v>13.100000000000001</v>
      </c>
      <c r="AH36" s="302" t="str">
        <f t="shared" si="6"/>
        <v/>
      </c>
      <c r="AI36" s="302" t="str">
        <f t="shared" si="7"/>
        <v/>
      </c>
      <c r="AJ36" s="302" t="str">
        <f t="shared" si="8"/>
        <v/>
      </c>
      <c r="AK36" s="326">
        <f t="shared" si="1"/>
        <v>25.93850152905199</v>
      </c>
      <c r="AL36" s="354">
        <v>5.8828861114675703</v>
      </c>
      <c r="AM36" s="354">
        <v>7.0889181698779948</v>
      </c>
      <c r="AN36" s="308">
        <v>4.3222324159021408</v>
      </c>
      <c r="AO36" s="308">
        <v>4.3222324159021408</v>
      </c>
      <c r="AP36" s="308">
        <v>4.3222324159021408</v>
      </c>
      <c r="AQ36" s="309"/>
      <c r="AR36" s="300"/>
      <c r="AS36" s="301"/>
      <c r="AT36" s="301"/>
      <c r="AU36" s="331">
        <f t="shared" si="9"/>
        <v>12.966697247706422</v>
      </c>
      <c r="AV36" s="331" t="str">
        <f t="shared" si="10"/>
        <v/>
      </c>
      <c r="AW36" s="302"/>
      <c r="AX36" s="302"/>
      <c r="AY36" s="349">
        <f t="shared" si="54"/>
        <v>-1.7481002687424693E-2</v>
      </c>
      <c r="AZ36" s="392">
        <f t="shared" si="55"/>
        <v>-6.6208553735306264E-2</v>
      </c>
      <c r="BA36" s="392">
        <f t="shared" si="56"/>
        <v>1.2702595696856405E-2</v>
      </c>
      <c r="BB36" s="392" t="str">
        <f t="shared" si="57"/>
        <v/>
      </c>
      <c r="BC36" s="392" t="str">
        <f t="shared" si="58"/>
        <v/>
      </c>
      <c r="BD36" s="392" t="str">
        <f t="shared" si="59"/>
        <v/>
      </c>
      <c r="BE36" s="349" t="str">
        <f t="shared" si="60"/>
        <v/>
      </c>
      <c r="BF36" s="349">
        <f t="shared" si="61"/>
        <v>-1.7674450931331714E-2</v>
      </c>
      <c r="BG36" s="349">
        <f t="shared" si="62"/>
        <v>-1.7674450931331714E-2</v>
      </c>
      <c r="BH36" s="349">
        <f t="shared" si="63"/>
        <v>5.1703292795676698E-3</v>
      </c>
      <c r="BI36" s="349" t="str">
        <f t="shared" si="64"/>
        <v/>
      </c>
      <c r="BJ36" s="392">
        <f t="shared" si="65"/>
        <v>-1.0175782617830458E-2</v>
      </c>
      <c r="BK36" s="392" t="str">
        <f t="shared" si="66"/>
        <v/>
      </c>
      <c r="BL36" s="288" t="str">
        <f t="shared" ref="BL36:BL47" si="67">IF(AI36&lt;&gt;"",(AW36-AI36)/AI36,"")</f>
        <v/>
      </c>
      <c r="BM36" s="136" t="str">
        <f t="shared" ref="BM36:BM47" si="68">IF(AJ36&lt;&gt;"",(AX36-AJ36)/AJ36,"")</f>
        <v/>
      </c>
      <c r="BN36" s="334">
        <v>37.372</v>
      </c>
      <c r="BO36" s="398"/>
      <c r="BP36" s="94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</row>
    <row r="37" spans="1:79" s="89" customFormat="1" ht="11.25">
      <c r="A37" s="397" t="s">
        <v>235</v>
      </c>
      <c r="B37" s="358" t="s">
        <v>271</v>
      </c>
      <c r="C37" s="370"/>
      <c r="D37" s="367">
        <v>0.65138888888888891</v>
      </c>
      <c r="E37" s="371">
        <v>51.738840000000003</v>
      </c>
      <c r="F37" s="358"/>
      <c r="G37" s="358"/>
      <c r="H37" s="358"/>
      <c r="I37" s="365" t="s">
        <v>94</v>
      </c>
      <c r="J37" s="358">
        <f>IF(ISERROR(VLOOKUP(I37,Max_Load_France!$B$2:$C$102,2,FALSE)/1000),"",VLOOKUP(I37,Max_Load_France!$B$2:$C$102,2,FALSE)/1000)</f>
        <v>40</v>
      </c>
      <c r="K37" s="296"/>
      <c r="L37" s="297">
        <f>W37/J37</f>
        <v>1.0225</v>
      </c>
      <c r="M37" s="358">
        <f>IF(VLOOKUP($I37,Max_Load_France!$B$2:$M$102,3,FALSE)="","",VLOOKUP($I37,Max_Load_France!$B$2:$M$102,3,FALSE))</f>
        <v>0</v>
      </c>
      <c r="N37" s="358">
        <f>IF(VLOOKUP($I37,Max_Load_France!$B$2:$M$102,4,FALSE)="","",VLOOKUP($I37,Max_Load_France!$B$2:$M$102,4,FALSE))</f>
        <v>0</v>
      </c>
      <c r="O37" s="358">
        <f>IF(VLOOKUP($I37,Max_Load_France!$B$2:$M$102,5,FALSE)="","",VLOOKUP($I37,Max_Load_France!$B$2:$M$102,5,FALSE))</f>
        <v>1</v>
      </c>
      <c r="P37" s="358">
        <f>IF(VLOOKUP($I37,Max_Load_France!$B$2:$M$102,6,FALSE)="","",VLOOKUP($I37,Max_Load_France!$B$2:$M$102,6,FALSE))</f>
        <v>1</v>
      </c>
      <c r="Q37" s="358">
        <f>IF(VLOOKUP($I37,Max_Load_France!$B$2:$M$102,7,FALSE)="","",VLOOKUP($I37,Max_Load_France!$B$2:$M$102,7,FALSE))</f>
        <v>1</v>
      </c>
      <c r="R37" s="358" t="str">
        <f>IF(VLOOKUP($I37,Max_Load_France!$B$2:$M$102,8,FALSE)="","",VLOOKUP($I37,Max_Load_France!$B$2:$M$102,8,FALSE))</f>
        <v/>
      </c>
      <c r="S37" s="358" t="str">
        <f>IF(VLOOKUP($I37,Max_Load_France!$B$2:$M$102,9,FALSE)="","",VLOOKUP($I37,Max_Load_France!$B$2:$M$102,9,FALSE))</f>
        <v/>
      </c>
      <c r="T37" s="358" t="str">
        <f>IF(VLOOKUP($I37,Max_Load_France!$B$2:$M$102,10,FALSE)="","",VLOOKUP($I37,Max_Load_France!$B$2:$M$102,10,FALSE))</f>
        <v/>
      </c>
      <c r="U37" s="358" t="str">
        <f>IF(VLOOKUP($I37,Max_Load_France!$B$2:$M$102,11,FALSE)="","",VLOOKUP($I37,Max_Load_France!$B$2:$M$102,11,FALSE))</f>
        <v/>
      </c>
      <c r="V37" s="357">
        <f t="shared" si="4"/>
        <v>5</v>
      </c>
      <c r="W37" s="299">
        <f t="shared" si="5"/>
        <v>40.9</v>
      </c>
      <c r="X37" s="308">
        <v>6.1</v>
      </c>
      <c r="Y37" s="308">
        <v>11.2</v>
      </c>
      <c r="Z37" s="308">
        <v>8.1</v>
      </c>
      <c r="AA37" s="308">
        <v>7.9</v>
      </c>
      <c r="AB37" s="308">
        <v>7.6</v>
      </c>
      <c r="AC37" s="309"/>
      <c r="AD37" s="301"/>
      <c r="AE37" s="301"/>
      <c r="AF37" s="301"/>
      <c r="AG37" s="302">
        <f t="shared" si="26"/>
        <v>23.6</v>
      </c>
      <c r="AH37" s="302" t="str">
        <f t="shared" si="6"/>
        <v/>
      </c>
      <c r="AI37" s="302" t="str">
        <f t="shared" si="7"/>
        <v/>
      </c>
      <c r="AJ37" s="302" t="str">
        <f t="shared" si="8"/>
        <v/>
      </c>
      <c r="AK37" s="326">
        <f t="shared" si="1"/>
        <v>36.716687054026508</v>
      </c>
      <c r="AL37" s="354">
        <v>4.3434514082406945</v>
      </c>
      <c r="AM37" s="354">
        <v>10.646935951596207</v>
      </c>
      <c r="AN37" s="308">
        <v>7.2420998980632003</v>
      </c>
      <c r="AO37" s="308">
        <v>7.2420998980632003</v>
      </c>
      <c r="AP37" s="308">
        <v>7.2420998980632003</v>
      </c>
      <c r="AQ37" s="309"/>
      <c r="AR37" s="300"/>
      <c r="AS37" s="301"/>
      <c r="AT37" s="301"/>
      <c r="AU37" s="331">
        <f t="shared" si="9"/>
        <v>21.726299694189599</v>
      </c>
      <c r="AV37" s="331" t="str">
        <f t="shared" si="10"/>
        <v/>
      </c>
      <c r="AW37" s="302"/>
      <c r="AX37" s="302"/>
      <c r="AY37" s="349" t="str">
        <f>IF(AND($BO$10="Yes",$BO37="MP"),"",IF(AK37=0,"",IF($W37/$V37&lt;$BN$6,"",IF($BN37&lt;$BN$10,IF(W37&gt;0,(AK37-W37)/W37,""),""))))</f>
        <v/>
      </c>
      <c r="AZ37" s="392" t="str">
        <f>IF(AND($BO$10="Yes",$BO37="MP"),"",IF(M37=0,IF(AL37&lt;$BN$7,"",IF($W37/$V37&lt;$BN$6,"",IF($BN37&lt;$BN$10,IF(X37&gt;0,(AL37-X37)/X37,""),""))),""))</f>
        <v/>
      </c>
      <c r="BA37" s="392" t="str">
        <f>IF(N37=0,IF(AM37&lt;$BN$7,"",IF($W37/$V37&lt;$BN$6,"",IF($BN37&lt;$BN$10,IF(Y37&gt;0,(AM37-Y37)/Y37,""),""))),"")</f>
        <v/>
      </c>
      <c r="BB37" s="392" t="str">
        <f>IF(O37=0,IF(AN37&lt;$BN$7,"",IF($W37/$V37&lt;$BN$6,"",IF($BN37&lt;$BN$10,IF(Z37&gt;0,(AN37-Z37)/Z37,""),""))),"")</f>
        <v/>
      </c>
      <c r="BC37" s="392" t="str">
        <f>IF(P37=0,IF(AO37&lt;$BN$7,"",IF($W37/$V37&lt;$BN$6,"",IF($BN37&lt;$BN$10,IF(AA37&gt;0,(AO37-AA37)/AA37,""),""))),"")</f>
        <v/>
      </c>
      <c r="BD37" s="392" t="str">
        <f>IF(Q37=0,IF(AP37&lt;$BN$7,"",IF($W37/$V37&lt;$BN$6,"",IF($BN37&lt;$BN$10,IF(AB37&gt;0,(AP37-AB37)/AB37,""),""))),"")</f>
        <v/>
      </c>
      <c r="BE37" s="349" t="str">
        <f>IF(AND($BO$10="Yes",$BO37="MP"),"",IF(N37&gt;0,IF(AM37&lt;$BN$7,"",IF($W37/$V37&lt;$BN$6,"",IF($BN37&lt;$BN$10,IF(Y37&gt;0,(AM37-Y37)/Y37,""),""))),""))</f>
        <v/>
      </c>
      <c r="BF37" s="349" t="str">
        <f>IF(O37&gt;0,IF(AN37&lt;$BN$7,"",IF($W37/$V37&lt;$BN$6,"",IF($BN37&lt;$BN$10,IF(Z37&gt;0,(AN37-Z37)/Z37,""),""))),"")</f>
        <v/>
      </c>
      <c r="BG37" s="349" t="str">
        <f>IF(P37&gt;0,IF(AO37&lt;$BN$7,"",IF($W37/$V37&lt;$BN$6,"",IF($BN37&lt;$BN$10,IF(AA37&gt;0,(AO37-AA37)/AA37,""),""))),"")</f>
        <v/>
      </c>
      <c r="BH37" s="349" t="str">
        <f>IF(Q37&gt;0,IF(AP37&lt;$BN$7,"",IF($W37/$V37&lt;$BN$6,"",IF($BN37&lt;$BN$10,IF(AB37&gt;0,(AP37-AB37)/AB37,""),""))),"")</f>
        <v/>
      </c>
      <c r="BI37" s="349" t="str">
        <f>IF(R37&gt;0,IF(AQ37&lt;$BN$7,"",IF($W37/$V37&lt;$BN$6,"",IF($BN37&lt;$BN$10,IF(AC37&gt;0,(AQ37-AC37)/AC37,""),""))),"")</f>
        <v/>
      </c>
      <c r="BJ37" s="392" t="b">
        <f>IF(AND($BO$10="Yes",$BO37="MP"),"",IF(AG37&lt;$BN$6*COUNTIF(M37:R37,1),"",IF($BN37&lt;$BN$10,IF($BN37&lt;$BN$10,IF(AG37&lt;&gt;"",(AU37-AG37)/AG37,""),""))))</f>
        <v>0</v>
      </c>
      <c r="BK37" s="392" t="str">
        <f>IF(AND($BO$10="Yes",$BO37="MP"),"",IF(AH37&lt;$BN$6*COUNTIF(M37:R37,2),"",IF($BN37&lt;$BN$10,IF(AH37&lt;&gt;"",(AV37-AH37)/AH37,""),"")))</f>
        <v/>
      </c>
      <c r="BL37" s="288" t="str">
        <f t="shared" si="67"/>
        <v/>
      </c>
      <c r="BM37" s="136" t="str">
        <f t="shared" si="68"/>
        <v/>
      </c>
      <c r="BN37" s="334">
        <v>379.10700000000003</v>
      </c>
      <c r="BO37" s="398" t="s">
        <v>380</v>
      </c>
      <c r="BP37" s="94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</row>
    <row r="38" spans="1:79" s="89" customFormat="1" ht="11.25">
      <c r="A38" s="359" t="s">
        <v>236</v>
      </c>
      <c r="B38" s="358" t="s">
        <v>272</v>
      </c>
      <c r="C38" s="370"/>
      <c r="D38" s="367">
        <v>0.65694444444444444</v>
      </c>
      <c r="E38" s="371">
        <v>62.217719999999993</v>
      </c>
      <c r="F38" s="358"/>
      <c r="G38" s="358"/>
      <c r="H38" s="358"/>
      <c r="I38" s="365" t="s">
        <v>94</v>
      </c>
      <c r="J38" s="358">
        <f>IF(ISERROR(VLOOKUP(I38,Max_Load_France!$B$2:$C$102,2,FALSE)/1000),"",VLOOKUP(I38,Max_Load_France!$B$2:$C$102,2,FALSE)/1000)</f>
        <v>40</v>
      </c>
      <c r="K38" s="296"/>
      <c r="L38" s="297">
        <f>W38/J38</f>
        <v>0.68500000000000005</v>
      </c>
      <c r="M38" s="358">
        <f>IF(VLOOKUP($I38,Max_Load_France!$B$2:$M$102,3,FALSE)="","",VLOOKUP($I38,Max_Load_France!$B$2:$M$102,3,FALSE))</f>
        <v>0</v>
      </c>
      <c r="N38" s="358">
        <f>IF(VLOOKUP($I38,Max_Load_France!$B$2:$M$102,4,FALSE)="","",VLOOKUP($I38,Max_Load_France!$B$2:$M$102,4,FALSE))</f>
        <v>0</v>
      </c>
      <c r="O38" s="358">
        <f>IF(VLOOKUP($I38,Max_Load_France!$B$2:$M$102,5,FALSE)="","",VLOOKUP($I38,Max_Load_France!$B$2:$M$102,5,FALSE))</f>
        <v>1</v>
      </c>
      <c r="P38" s="358">
        <f>IF(VLOOKUP($I38,Max_Load_France!$B$2:$M$102,6,FALSE)="","",VLOOKUP($I38,Max_Load_France!$B$2:$M$102,6,FALSE))</f>
        <v>1</v>
      </c>
      <c r="Q38" s="358">
        <f>IF(VLOOKUP($I38,Max_Load_France!$B$2:$M$102,7,FALSE)="","",VLOOKUP($I38,Max_Load_France!$B$2:$M$102,7,FALSE))</f>
        <v>1</v>
      </c>
      <c r="R38" s="358" t="str">
        <f>IF(VLOOKUP($I38,Max_Load_France!$B$2:$M$102,8,FALSE)="","",VLOOKUP($I38,Max_Load_France!$B$2:$M$102,8,FALSE))</f>
        <v/>
      </c>
      <c r="S38" s="358" t="str">
        <f>IF(VLOOKUP($I38,Max_Load_France!$B$2:$M$102,9,FALSE)="","",VLOOKUP($I38,Max_Load_France!$B$2:$M$102,9,FALSE))</f>
        <v/>
      </c>
      <c r="T38" s="358" t="str">
        <f>IF(VLOOKUP($I38,Max_Load_France!$B$2:$M$102,10,FALSE)="","",VLOOKUP($I38,Max_Load_France!$B$2:$M$102,10,FALSE))</f>
        <v/>
      </c>
      <c r="U38" s="358" t="str">
        <f>IF(VLOOKUP($I38,Max_Load_France!$B$2:$M$102,11,FALSE)="","",VLOOKUP($I38,Max_Load_France!$B$2:$M$102,11,FALSE))</f>
        <v/>
      </c>
      <c r="V38" s="357">
        <f t="shared" si="4"/>
        <v>5</v>
      </c>
      <c r="W38" s="299">
        <f t="shared" si="5"/>
        <v>27.400000000000002</v>
      </c>
      <c r="X38" s="308">
        <v>6.5</v>
      </c>
      <c r="Y38" s="308">
        <v>6.5</v>
      </c>
      <c r="Z38" s="308">
        <v>4.8</v>
      </c>
      <c r="AA38" s="308">
        <v>4.8</v>
      </c>
      <c r="AB38" s="308">
        <v>4.8</v>
      </c>
      <c r="AC38" s="309"/>
      <c r="AD38" s="301"/>
      <c r="AE38" s="301"/>
      <c r="AF38" s="301"/>
      <c r="AG38" s="302">
        <f t="shared" si="26"/>
        <v>14.399999999999999</v>
      </c>
      <c r="AH38" s="302" t="str">
        <f t="shared" si="6"/>
        <v/>
      </c>
      <c r="AI38" s="302" t="str">
        <f t="shared" si="7"/>
        <v/>
      </c>
      <c r="AJ38" s="302" t="str">
        <f t="shared" si="8"/>
        <v/>
      </c>
      <c r="AK38" s="326">
        <f t="shared" si="1"/>
        <v>26.380193679918449</v>
      </c>
      <c r="AL38" s="354">
        <v>6.4164120624358771</v>
      </c>
      <c r="AM38" s="354">
        <v>6.6223137275743165</v>
      </c>
      <c r="AN38" s="308">
        <v>4.4471559633027526</v>
      </c>
      <c r="AO38" s="308">
        <v>4.4471559633027526</v>
      </c>
      <c r="AP38" s="308">
        <v>4.4471559633027526</v>
      </c>
      <c r="AQ38" s="309"/>
      <c r="AR38" s="300"/>
      <c r="AS38" s="301"/>
      <c r="AT38" s="301"/>
      <c r="AU38" s="331">
        <f t="shared" si="9"/>
        <v>13.341467889908259</v>
      </c>
      <c r="AV38" s="331" t="str">
        <f t="shared" si="10"/>
        <v/>
      </c>
      <c r="AW38" s="302"/>
      <c r="AX38" s="302"/>
      <c r="AY38" s="349">
        <f t="shared" ref="AY38:AY42" si="69">IF(AND($BO$10="Yes",$BO38="MP"),"",IF(AK38=0,"",IF($W38/$V38&lt;$BN$6,"",IF($BN38&lt;$BN$10,IF(W38&gt;0,(AK38-W38)/W38,""),""))))</f>
        <v>-3.7219208762100484E-2</v>
      </c>
      <c r="AZ38" s="392">
        <f t="shared" ref="AZ38:AZ42" si="70">IF(AND($BO$10="Yes",$BO38="MP"),"",IF(M38=0,IF(AL38&lt;$BN$7,"",IF($W38/$V38&lt;$BN$6,"",IF($BN38&lt;$BN$10,IF(X38&gt;0,(AL38-X38)/X38,""),""))),""))</f>
        <v>-1.2859682702172748E-2</v>
      </c>
      <c r="BA38" s="392">
        <f t="shared" ref="BA38:BA42" si="71">IF(N38=0,IF(AM38&lt;$BN$7,"",IF($W38/$V38&lt;$BN$6,"",IF($BN38&lt;$BN$10,IF(Y38&gt;0,(AM38-Y38)/Y38,""),""))),"")</f>
        <v>1.8817496549894841E-2</v>
      </c>
      <c r="BB38" s="392" t="str">
        <f t="shared" ref="BB38:BB42" si="72">IF(O38=0,IF(AN38&lt;$BN$7,"",IF($W38/$V38&lt;$BN$6,"",IF($BN38&lt;$BN$10,IF(Z38&gt;0,(AN38-Z38)/Z38,""),""))),"")</f>
        <v/>
      </c>
      <c r="BC38" s="392" t="str">
        <f t="shared" ref="BC38:BC42" si="73">IF(P38=0,IF(AO38&lt;$BN$7,"",IF($W38/$V38&lt;$BN$6,"",IF($BN38&lt;$BN$10,IF(AA38&gt;0,(AO38-AA38)/AA38,""),""))),"")</f>
        <v/>
      </c>
      <c r="BD38" s="392" t="str">
        <f t="shared" ref="BD38:BD42" si="74">IF(Q38=0,IF(AP38&lt;$BN$7,"",IF($W38/$V38&lt;$BN$6,"",IF($BN38&lt;$BN$10,IF(AB38&gt;0,(AP38-AB38)/AB38,""),""))),"")</f>
        <v/>
      </c>
      <c r="BE38" s="349" t="str">
        <f t="shared" ref="BE38:BE42" si="75">IF(AND($BO$10="Yes",$BO38="MP"),"",IF(N38&gt;0,IF(AM38&lt;$BN$7,"",IF($W38/$V38&lt;$BN$6,"",IF($BN38&lt;$BN$10,IF(Y38&gt;0,(AM38-Y38)/Y38,""),""))),""))</f>
        <v/>
      </c>
      <c r="BF38" s="349">
        <f t="shared" ref="BF38:BF42" si="76">IF(O38&gt;0,IF(AN38&lt;$BN$7,"",IF($W38/$V38&lt;$BN$6,"",IF($BN38&lt;$BN$10,IF(Z38&gt;0,(AN38-Z38)/Z38,""),""))),"")</f>
        <v>-7.3509174311926495E-2</v>
      </c>
      <c r="BG38" s="349">
        <f t="shared" ref="BG38:BG42" si="77">IF(P38&gt;0,IF(AO38&lt;$BN$7,"",IF($W38/$V38&lt;$BN$6,"",IF($BN38&lt;$BN$10,IF(AA38&gt;0,(AO38-AA38)/AA38,""),""))),"")</f>
        <v>-7.3509174311926495E-2</v>
      </c>
      <c r="BH38" s="349">
        <f t="shared" ref="BH38:BH42" si="78">IF(Q38&gt;0,IF(AP38&lt;$BN$7,"",IF($W38/$V38&lt;$BN$6,"",IF($BN38&lt;$BN$10,IF(AB38&gt;0,(AP38-AB38)/AB38,""),""))),"")</f>
        <v>-7.3509174311926495E-2</v>
      </c>
      <c r="BI38" s="349" t="str">
        <f t="shared" ref="BI38:BI42" si="79">IF(R38&gt;0,IF(AQ38&lt;$BN$7,"",IF($W38/$V38&lt;$BN$6,"",IF($BN38&lt;$BN$10,IF(AC38&gt;0,(AQ38-AC38)/AC38,""),""))),"")</f>
        <v/>
      </c>
      <c r="BJ38" s="392">
        <f t="shared" ref="BJ38:BJ42" si="80">IF(AND($BO$10="Yes",$BO38="MP"),"",IF(AG38&lt;$BN$6*COUNTIF(M38:R38,1),"",IF($BN38&lt;$BN$10,IF($BN38&lt;$BN$10,IF(AG38&lt;&gt;"",(AU38-AG38)/AG38,""),""))))</f>
        <v>-7.3509174311926384E-2</v>
      </c>
      <c r="BK38" s="392" t="str">
        <f t="shared" ref="BK38:BK42" si="81">IF(AND($BO$10="Yes",$BO38="MP"),"",IF(AH38&lt;$BN$6*COUNTIF(M38:R38,2),"",IF($BN38&lt;$BN$10,IF(AH38&lt;&gt;"",(AV38-AH38)/AH38,""),"")))</f>
        <v/>
      </c>
      <c r="BL38" s="288" t="str">
        <f t="shared" si="67"/>
        <v/>
      </c>
      <c r="BM38" s="136" t="str">
        <f t="shared" si="68"/>
        <v/>
      </c>
      <c r="BN38" s="334">
        <v>38.749600000000001</v>
      </c>
      <c r="BO38" s="398"/>
      <c r="BP38" s="94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</row>
    <row r="39" spans="1:79" s="89" customFormat="1" ht="11.25">
      <c r="A39" s="359" t="s">
        <v>237</v>
      </c>
      <c r="B39" s="358" t="s">
        <v>273</v>
      </c>
      <c r="C39" s="370"/>
      <c r="D39" s="367">
        <v>0.65833333333333333</v>
      </c>
      <c r="E39" s="371">
        <v>64.391400000000004</v>
      </c>
      <c r="F39" s="358"/>
      <c r="G39" s="358"/>
      <c r="H39" s="358"/>
      <c r="I39" s="365" t="s">
        <v>94</v>
      </c>
      <c r="J39" s="358">
        <f>IF(ISERROR(VLOOKUP(I39,Max_Load_France!$B$2:$C$102,2,FALSE)/1000),"",VLOOKUP(I39,Max_Load_France!$B$2:$C$102,2,FALSE)/1000)</f>
        <v>40</v>
      </c>
      <c r="K39" s="296"/>
      <c r="L39" s="297">
        <f>W39/J39</f>
        <v>0.97499999999999998</v>
      </c>
      <c r="M39" s="358">
        <f>IF(VLOOKUP($I39,Max_Load_France!$B$2:$M$102,3,FALSE)="","",VLOOKUP($I39,Max_Load_France!$B$2:$M$102,3,FALSE))</f>
        <v>0</v>
      </c>
      <c r="N39" s="358">
        <f>IF(VLOOKUP($I39,Max_Load_France!$B$2:$M$102,4,FALSE)="","",VLOOKUP($I39,Max_Load_France!$B$2:$M$102,4,FALSE))</f>
        <v>0</v>
      </c>
      <c r="O39" s="358">
        <f>IF(VLOOKUP($I39,Max_Load_France!$B$2:$M$102,5,FALSE)="","",VLOOKUP($I39,Max_Load_France!$B$2:$M$102,5,FALSE))</f>
        <v>1</v>
      </c>
      <c r="P39" s="358">
        <f>IF(VLOOKUP($I39,Max_Load_France!$B$2:$M$102,6,FALSE)="","",VLOOKUP($I39,Max_Load_France!$B$2:$M$102,6,FALSE))</f>
        <v>1</v>
      </c>
      <c r="Q39" s="358">
        <f>IF(VLOOKUP($I39,Max_Load_France!$B$2:$M$102,7,FALSE)="","",VLOOKUP($I39,Max_Load_France!$B$2:$M$102,7,FALSE))</f>
        <v>1</v>
      </c>
      <c r="R39" s="358" t="str">
        <f>IF(VLOOKUP($I39,Max_Load_France!$B$2:$M$102,8,FALSE)="","",VLOOKUP($I39,Max_Load_France!$B$2:$M$102,8,FALSE))</f>
        <v/>
      </c>
      <c r="S39" s="358" t="str">
        <f>IF(VLOOKUP($I39,Max_Load_France!$B$2:$M$102,9,FALSE)="","",VLOOKUP($I39,Max_Load_France!$B$2:$M$102,9,FALSE))</f>
        <v/>
      </c>
      <c r="T39" s="358" t="str">
        <f>IF(VLOOKUP($I39,Max_Load_France!$B$2:$M$102,10,FALSE)="","",VLOOKUP($I39,Max_Load_France!$B$2:$M$102,10,FALSE))</f>
        <v/>
      </c>
      <c r="U39" s="358" t="str">
        <f>IF(VLOOKUP($I39,Max_Load_France!$B$2:$M$102,11,FALSE)="","",VLOOKUP($I39,Max_Load_France!$B$2:$M$102,11,FALSE))</f>
        <v/>
      </c>
      <c r="V39" s="357">
        <f t="shared" si="4"/>
        <v>5</v>
      </c>
      <c r="W39" s="299">
        <f t="shared" si="5"/>
        <v>39</v>
      </c>
      <c r="X39" s="308">
        <v>7</v>
      </c>
      <c r="Y39" s="308">
        <v>11.2</v>
      </c>
      <c r="Z39" s="308">
        <v>6.8</v>
      </c>
      <c r="AA39" s="308">
        <v>7</v>
      </c>
      <c r="AB39" s="308">
        <v>7</v>
      </c>
      <c r="AC39" s="309"/>
      <c r="AD39" s="301"/>
      <c r="AE39" s="301"/>
      <c r="AF39" s="301"/>
      <c r="AG39" s="302">
        <f t="shared" si="26"/>
        <v>20.8</v>
      </c>
      <c r="AH39" s="302" t="str">
        <f t="shared" si="6"/>
        <v/>
      </c>
      <c r="AI39" s="302" t="str">
        <f t="shared" si="7"/>
        <v/>
      </c>
      <c r="AJ39" s="302" t="str">
        <f t="shared" si="8"/>
        <v/>
      </c>
      <c r="AK39" s="326">
        <f t="shared" si="1"/>
        <v>37.207940876656465</v>
      </c>
      <c r="AL39" s="354">
        <v>5.2696177904388559</v>
      </c>
      <c r="AM39" s="354">
        <v>12.328567734535657</v>
      </c>
      <c r="AN39" s="308">
        <v>6.5365851172273191</v>
      </c>
      <c r="AO39" s="308">
        <v>6.5365851172273191</v>
      </c>
      <c r="AP39" s="308">
        <v>6.5365851172273191</v>
      </c>
      <c r="AQ39" s="309"/>
      <c r="AR39" s="300"/>
      <c r="AS39" s="301"/>
      <c r="AT39" s="301"/>
      <c r="AU39" s="331">
        <f t="shared" si="9"/>
        <v>19.609755351681958</v>
      </c>
      <c r="AV39" s="331" t="str">
        <f t="shared" si="10"/>
        <v/>
      </c>
      <c r="AW39" s="302"/>
      <c r="AX39" s="302"/>
      <c r="AY39" s="349">
        <f t="shared" si="69"/>
        <v>-4.5950233931885499E-2</v>
      </c>
      <c r="AZ39" s="392">
        <f t="shared" si="70"/>
        <v>-0.24719745850873487</v>
      </c>
      <c r="BA39" s="392">
        <f t="shared" si="71"/>
        <v>0.10076497629782658</v>
      </c>
      <c r="BB39" s="392" t="str">
        <f t="shared" si="72"/>
        <v/>
      </c>
      <c r="BC39" s="392" t="str">
        <f t="shared" si="73"/>
        <v/>
      </c>
      <c r="BD39" s="392" t="str">
        <f t="shared" si="74"/>
        <v/>
      </c>
      <c r="BE39" s="349" t="str">
        <f t="shared" si="75"/>
        <v/>
      </c>
      <c r="BF39" s="349">
        <f t="shared" si="76"/>
        <v>-3.8737482760688349E-2</v>
      </c>
      <c r="BG39" s="349">
        <f t="shared" si="77"/>
        <v>-6.6202126110382994E-2</v>
      </c>
      <c r="BH39" s="349">
        <f t="shared" si="78"/>
        <v>-6.6202126110382994E-2</v>
      </c>
      <c r="BI39" s="349" t="str">
        <f t="shared" si="79"/>
        <v/>
      </c>
      <c r="BJ39" s="392">
        <f t="shared" si="80"/>
        <v>-5.7223300399905898E-2</v>
      </c>
      <c r="BK39" s="392" t="str">
        <f t="shared" si="81"/>
        <v/>
      </c>
      <c r="BL39" s="288" t="str">
        <f t="shared" si="67"/>
        <v/>
      </c>
      <c r="BM39" s="136" t="str">
        <f t="shared" si="68"/>
        <v/>
      </c>
      <c r="BN39" s="334">
        <v>107.056</v>
      </c>
      <c r="BO39" s="398"/>
      <c r="BP39" s="94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</row>
    <row r="40" spans="1:79" s="89" customFormat="1" ht="11.25">
      <c r="A40" s="359" t="s">
        <v>238</v>
      </c>
      <c r="B40" s="358" t="s">
        <v>274</v>
      </c>
      <c r="C40" s="370"/>
      <c r="D40" s="367">
        <v>0.66180555555555554</v>
      </c>
      <c r="E40" s="371">
        <v>56.932920000000003</v>
      </c>
      <c r="F40" s="358"/>
      <c r="G40" s="358"/>
      <c r="H40" s="358"/>
      <c r="I40" s="365" t="s">
        <v>94</v>
      </c>
      <c r="J40" s="358">
        <f>IF(ISERROR(VLOOKUP(I40,Max_Load_France!$B$2:$C$102,2,FALSE)/1000),"",VLOOKUP(I40,Max_Load_France!$B$2:$C$102,2,FALSE)/1000)</f>
        <v>40</v>
      </c>
      <c r="K40" s="296"/>
      <c r="L40" s="297">
        <f t="shared" ref="L40:L47" si="82">W40/J40</f>
        <v>0.86250000000000004</v>
      </c>
      <c r="M40" s="358">
        <f>IF(VLOOKUP($I40,Max_Load_France!$B$2:$M$102,3,FALSE)="","",VLOOKUP($I40,Max_Load_France!$B$2:$M$102,3,FALSE))</f>
        <v>0</v>
      </c>
      <c r="N40" s="358">
        <f>IF(VLOOKUP($I40,Max_Load_France!$B$2:$M$102,4,FALSE)="","",VLOOKUP($I40,Max_Load_France!$B$2:$M$102,4,FALSE))</f>
        <v>0</v>
      </c>
      <c r="O40" s="358">
        <f>IF(VLOOKUP($I40,Max_Load_France!$B$2:$M$102,5,FALSE)="","",VLOOKUP($I40,Max_Load_France!$B$2:$M$102,5,FALSE))</f>
        <v>1</v>
      </c>
      <c r="P40" s="358">
        <f>IF(VLOOKUP($I40,Max_Load_France!$B$2:$M$102,6,FALSE)="","",VLOOKUP($I40,Max_Load_France!$B$2:$M$102,6,FALSE))</f>
        <v>1</v>
      </c>
      <c r="Q40" s="358">
        <f>IF(VLOOKUP($I40,Max_Load_France!$B$2:$M$102,7,FALSE)="","",VLOOKUP($I40,Max_Load_France!$B$2:$M$102,7,FALSE))</f>
        <v>1</v>
      </c>
      <c r="R40" s="358" t="str">
        <f>IF(VLOOKUP($I40,Max_Load_France!$B$2:$M$102,8,FALSE)="","",VLOOKUP($I40,Max_Load_France!$B$2:$M$102,8,FALSE))</f>
        <v/>
      </c>
      <c r="S40" s="358" t="str">
        <f>IF(VLOOKUP($I40,Max_Load_France!$B$2:$M$102,9,FALSE)="","",VLOOKUP($I40,Max_Load_France!$B$2:$M$102,9,FALSE))</f>
        <v/>
      </c>
      <c r="T40" s="358" t="str">
        <f>IF(VLOOKUP($I40,Max_Load_France!$B$2:$M$102,10,FALSE)="","",VLOOKUP($I40,Max_Load_France!$B$2:$M$102,10,FALSE))</f>
        <v/>
      </c>
      <c r="U40" s="358" t="str">
        <f>IF(VLOOKUP($I40,Max_Load_France!$B$2:$M$102,11,FALSE)="","",VLOOKUP($I40,Max_Load_France!$B$2:$M$102,11,FALSE))</f>
        <v/>
      </c>
      <c r="V40" s="357">
        <f t="shared" si="4"/>
        <v>5</v>
      </c>
      <c r="W40" s="299">
        <f t="shared" si="5"/>
        <v>34.5</v>
      </c>
      <c r="X40" s="308">
        <v>8.5</v>
      </c>
      <c r="Y40" s="308">
        <v>12.1</v>
      </c>
      <c r="Z40" s="308">
        <v>4.7</v>
      </c>
      <c r="AA40" s="308">
        <v>4.8</v>
      </c>
      <c r="AB40" s="308">
        <v>4.4000000000000004</v>
      </c>
      <c r="AC40" s="309"/>
      <c r="AD40" s="301"/>
      <c r="AE40" s="301"/>
      <c r="AF40" s="301"/>
      <c r="AG40" s="302">
        <f t="shared" si="26"/>
        <v>13.9</v>
      </c>
      <c r="AH40" s="302" t="str">
        <f t="shared" si="6"/>
        <v/>
      </c>
      <c r="AI40" s="302" t="str">
        <f t="shared" si="7"/>
        <v/>
      </c>
      <c r="AJ40" s="302" t="str">
        <f t="shared" si="8"/>
        <v/>
      </c>
      <c r="AK40" s="326">
        <f t="shared" si="1"/>
        <v>35.20522935779816</v>
      </c>
      <c r="AL40" s="354">
        <v>6.9564713882753395</v>
      </c>
      <c r="AM40" s="354">
        <v>11.813222801327106</v>
      </c>
      <c r="AN40" s="308">
        <v>5.4785117227319056</v>
      </c>
      <c r="AO40" s="308">
        <v>5.4785117227319056</v>
      </c>
      <c r="AP40" s="308">
        <v>5.4785117227319056</v>
      </c>
      <c r="AQ40" s="309"/>
      <c r="AR40" s="300"/>
      <c r="AS40" s="301"/>
      <c r="AT40" s="301"/>
      <c r="AU40" s="331">
        <f t="shared" si="9"/>
        <v>16.435535168195717</v>
      </c>
      <c r="AV40" s="331" t="str">
        <f t="shared" si="10"/>
        <v/>
      </c>
      <c r="AW40" s="302"/>
      <c r="AX40" s="302"/>
      <c r="AY40" s="349" t="str">
        <f t="shared" si="69"/>
        <v/>
      </c>
      <c r="AZ40" s="392" t="str">
        <f t="shared" si="70"/>
        <v/>
      </c>
      <c r="BA40" s="392" t="str">
        <f t="shared" si="71"/>
        <v/>
      </c>
      <c r="BB40" s="392" t="str">
        <f t="shared" si="72"/>
        <v/>
      </c>
      <c r="BC40" s="392" t="str">
        <f t="shared" si="73"/>
        <v/>
      </c>
      <c r="BD40" s="392" t="str">
        <f t="shared" si="74"/>
        <v/>
      </c>
      <c r="BE40" s="349" t="str">
        <f t="shared" si="75"/>
        <v/>
      </c>
      <c r="BF40" s="349" t="str">
        <f t="shared" si="76"/>
        <v/>
      </c>
      <c r="BG40" s="349" t="str">
        <f t="shared" si="77"/>
        <v/>
      </c>
      <c r="BH40" s="349" t="str">
        <f t="shared" si="78"/>
        <v/>
      </c>
      <c r="BI40" s="349" t="str">
        <f t="shared" si="79"/>
        <v/>
      </c>
      <c r="BJ40" s="392" t="b">
        <f t="shared" si="80"/>
        <v>0</v>
      </c>
      <c r="BK40" s="392" t="str">
        <f t="shared" si="81"/>
        <v/>
      </c>
      <c r="BL40" s="288" t="str">
        <f t="shared" si="67"/>
        <v/>
      </c>
      <c r="BM40" s="136" t="str">
        <f t="shared" si="68"/>
        <v/>
      </c>
      <c r="BN40" s="334">
        <v>150.48699999999999</v>
      </c>
      <c r="BO40" s="398"/>
      <c r="BP40" s="94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</row>
    <row r="41" spans="1:79" s="89" customFormat="1" ht="11.25">
      <c r="A41" s="359" t="s">
        <v>239</v>
      </c>
      <c r="B41" s="358" t="s">
        <v>275</v>
      </c>
      <c r="C41" s="370"/>
      <c r="D41" s="367">
        <v>0.66527777777777775</v>
      </c>
      <c r="E41" s="371">
        <v>54.613440000000004</v>
      </c>
      <c r="F41" s="358"/>
      <c r="G41" s="358"/>
      <c r="H41" s="358"/>
      <c r="I41" s="365" t="s">
        <v>94</v>
      </c>
      <c r="J41" s="358">
        <f>IF(ISERROR(VLOOKUP(I41,Max_Load_France!$B$2:$C$102,2,FALSE)/1000),"",VLOOKUP(I41,Max_Load_France!$B$2:$C$102,2,FALSE)/1000)</f>
        <v>40</v>
      </c>
      <c r="K41" s="296"/>
      <c r="L41" s="297">
        <f t="shared" si="82"/>
        <v>1.0250000000000001</v>
      </c>
      <c r="M41" s="358">
        <f>IF(VLOOKUP($I41,Max_Load_France!$B$2:$M$102,3,FALSE)="","",VLOOKUP($I41,Max_Load_France!$B$2:$M$102,3,FALSE))</f>
        <v>0</v>
      </c>
      <c r="N41" s="358">
        <f>IF(VLOOKUP($I41,Max_Load_France!$B$2:$M$102,4,FALSE)="","",VLOOKUP($I41,Max_Load_France!$B$2:$M$102,4,FALSE))</f>
        <v>0</v>
      </c>
      <c r="O41" s="358">
        <f>IF(VLOOKUP($I41,Max_Load_France!$B$2:$M$102,5,FALSE)="","",VLOOKUP($I41,Max_Load_France!$B$2:$M$102,5,FALSE))</f>
        <v>1</v>
      </c>
      <c r="P41" s="358">
        <f>IF(VLOOKUP($I41,Max_Load_France!$B$2:$M$102,6,FALSE)="","",VLOOKUP($I41,Max_Load_France!$B$2:$M$102,6,FALSE))</f>
        <v>1</v>
      </c>
      <c r="Q41" s="358">
        <f>IF(VLOOKUP($I41,Max_Load_France!$B$2:$M$102,7,FALSE)="","",VLOOKUP($I41,Max_Load_France!$B$2:$M$102,7,FALSE))</f>
        <v>1</v>
      </c>
      <c r="R41" s="358" t="str">
        <f>IF(VLOOKUP($I41,Max_Load_France!$B$2:$M$102,8,FALSE)="","",VLOOKUP($I41,Max_Load_France!$B$2:$M$102,8,FALSE))</f>
        <v/>
      </c>
      <c r="S41" s="358" t="str">
        <f>IF(VLOOKUP($I41,Max_Load_France!$B$2:$M$102,9,FALSE)="","",VLOOKUP($I41,Max_Load_France!$B$2:$M$102,9,FALSE))</f>
        <v/>
      </c>
      <c r="T41" s="358" t="str">
        <f>IF(VLOOKUP($I41,Max_Load_France!$B$2:$M$102,10,FALSE)="","",VLOOKUP($I41,Max_Load_France!$B$2:$M$102,10,FALSE))</f>
        <v/>
      </c>
      <c r="U41" s="358" t="str">
        <f>IF(VLOOKUP($I41,Max_Load_France!$B$2:$M$102,11,FALSE)="","",VLOOKUP($I41,Max_Load_France!$B$2:$M$102,11,FALSE))</f>
        <v/>
      </c>
      <c r="V41" s="357">
        <f t="shared" si="4"/>
        <v>5</v>
      </c>
      <c r="W41" s="299">
        <f t="shared" si="5"/>
        <v>41.000000000000007</v>
      </c>
      <c r="X41" s="308">
        <v>6.7</v>
      </c>
      <c r="Y41" s="308">
        <v>12.4</v>
      </c>
      <c r="Z41" s="308">
        <v>7.5</v>
      </c>
      <c r="AA41" s="308">
        <v>7.2</v>
      </c>
      <c r="AB41" s="308">
        <v>7.2</v>
      </c>
      <c r="AC41" s="309"/>
      <c r="AD41" s="301"/>
      <c r="AE41" s="301"/>
      <c r="AF41" s="301"/>
      <c r="AG41" s="302">
        <f t="shared" si="26"/>
        <v>21.9</v>
      </c>
      <c r="AH41" s="302" t="str">
        <f t="shared" si="6"/>
        <v/>
      </c>
      <c r="AI41" s="302"/>
      <c r="AJ41" s="302"/>
      <c r="AK41" s="326">
        <f t="shared" si="1"/>
        <v>42.772945973496427</v>
      </c>
      <c r="AL41" s="354">
        <v>5.4184445503405643</v>
      </c>
      <c r="AM41" s="354">
        <v>14.526947906336297</v>
      </c>
      <c r="AN41" s="308">
        <v>7.6091845056065237</v>
      </c>
      <c r="AO41" s="308">
        <v>7.6091845056065237</v>
      </c>
      <c r="AP41" s="308">
        <v>7.6091845056065237</v>
      </c>
      <c r="AQ41" s="309"/>
      <c r="AR41" s="300"/>
      <c r="AS41" s="301"/>
      <c r="AT41" s="301"/>
      <c r="AU41" s="331">
        <f t="shared" si="9"/>
        <v>22.82755351681957</v>
      </c>
      <c r="AV41" s="331" t="str">
        <f t="shared" si="10"/>
        <v/>
      </c>
      <c r="AW41" s="302"/>
      <c r="AX41" s="302"/>
      <c r="AY41" s="349">
        <f t="shared" si="69"/>
        <v>4.3242584719424861E-2</v>
      </c>
      <c r="AZ41" s="392">
        <f t="shared" si="70"/>
        <v>-0.19127693278499042</v>
      </c>
      <c r="BA41" s="392">
        <f t="shared" si="71"/>
        <v>0.17152805696260454</v>
      </c>
      <c r="BB41" s="392" t="str">
        <f t="shared" si="72"/>
        <v/>
      </c>
      <c r="BC41" s="392" t="str">
        <f t="shared" si="73"/>
        <v/>
      </c>
      <c r="BD41" s="392" t="str">
        <f t="shared" si="74"/>
        <v/>
      </c>
      <c r="BE41" s="349" t="str">
        <f t="shared" si="75"/>
        <v/>
      </c>
      <c r="BF41" s="349">
        <f t="shared" si="76"/>
        <v>1.4557934080869828E-2</v>
      </c>
      <c r="BG41" s="349">
        <f t="shared" si="77"/>
        <v>5.6831181334239381E-2</v>
      </c>
      <c r="BH41" s="349">
        <f t="shared" si="78"/>
        <v>5.6831181334239381E-2</v>
      </c>
      <c r="BI41" s="349" t="str">
        <f t="shared" si="79"/>
        <v/>
      </c>
      <c r="BJ41" s="392">
        <f t="shared" si="80"/>
        <v>4.2354041863907385E-2</v>
      </c>
      <c r="BK41" s="392" t="str">
        <f t="shared" si="81"/>
        <v/>
      </c>
      <c r="BL41" s="288" t="str">
        <f t="shared" si="67"/>
        <v/>
      </c>
      <c r="BM41" s="136" t="str">
        <f t="shared" si="68"/>
        <v/>
      </c>
      <c r="BN41" s="334">
        <v>118.712</v>
      </c>
      <c r="BO41" s="398"/>
      <c r="BP41" s="94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</row>
    <row r="42" spans="1:79" s="89" customFormat="1" ht="11.25">
      <c r="A42" s="359" t="s">
        <v>240</v>
      </c>
      <c r="B42" s="358" t="s">
        <v>276</v>
      </c>
      <c r="C42" s="370"/>
      <c r="D42" s="367">
        <v>0.66736111111111107</v>
      </c>
      <c r="E42" s="371">
        <v>66.722039999999993</v>
      </c>
      <c r="F42" s="358"/>
      <c r="G42" s="358"/>
      <c r="H42" s="358"/>
      <c r="I42" s="365" t="s">
        <v>108</v>
      </c>
      <c r="J42" s="358">
        <f>IF(ISERROR(VLOOKUP(I42,Max_Load_France!$B$2:$C$102,2,FALSE)/1000),"",VLOOKUP(I42,Max_Load_France!$B$2:$C$102,2,FALSE)/1000)</f>
        <v>26</v>
      </c>
      <c r="K42" s="296"/>
      <c r="L42" s="297">
        <f t="shared" si="82"/>
        <v>0.73076923076923073</v>
      </c>
      <c r="M42" s="358">
        <f>IF(VLOOKUP($I42,Max_Load_France!$B$2:$M$102,3,FALSE)="","",VLOOKUP($I42,Max_Load_France!$B$2:$M$102,3,FALSE))</f>
        <v>0</v>
      </c>
      <c r="N42" s="358">
        <f>IF(VLOOKUP($I42,Max_Load_France!$B$2:$M$102,4,FALSE)="","",VLOOKUP($I42,Max_Load_France!$B$2:$M$102,4,FALSE))</f>
        <v>1</v>
      </c>
      <c r="O42" s="358">
        <f>IF(VLOOKUP($I42,Max_Load_France!$B$2:$M$102,5,FALSE)="","",VLOOKUP($I42,Max_Load_France!$B$2:$M$102,5,FALSE))</f>
        <v>1</v>
      </c>
      <c r="P42" s="358" t="str">
        <f>IF(VLOOKUP($I42,Max_Load_France!$B$2:$M$102,6,FALSE)="","",VLOOKUP($I42,Max_Load_France!$B$2:$M$102,6,FALSE))</f>
        <v/>
      </c>
      <c r="Q42" s="358" t="str">
        <f>IF(VLOOKUP($I42,Max_Load_France!$B$2:$M$102,7,FALSE)="","",VLOOKUP($I42,Max_Load_France!$B$2:$M$102,7,FALSE))</f>
        <v/>
      </c>
      <c r="R42" s="358" t="str">
        <f>IF(VLOOKUP($I42,Max_Load_France!$B$2:$M$102,8,FALSE)="","",VLOOKUP($I42,Max_Load_France!$B$2:$M$102,8,FALSE))</f>
        <v/>
      </c>
      <c r="S42" s="358" t="str">
        <f>IF(VLOOKUP($I42,Max_Load_France!$B$2:$M$102,9,FALSE)="","",VLOOKUP($I42,Max_Load_France!$B$2:$M$102,9,FALSE))</f>
        <v/>
      </c>
      <c r="T42" s="358" t="str">
        <f>IF(VLOOKUP($I42,Max_Load_France!$B$2:$M$102,10,FALSE)="","",VLOOKUP($I42,Max_Load_France!$B$2:$M$102,10,FALSE))</f>
        <v/>
      </c>
      <c r="U42" s="358" t="str">
        <f>IF(VLOOKUP($I42,Max_Load_France!$B$2:$M$102,11,FALSE)="","",VLOOKUP($I42,Max_Load_France!$B$2:$M$102,11,FALSE))</f>
        <v/>
      </c>
      <c r="V42" s="357">
        <f t="shared" si="4"/>
        <v>3</v>
      </c>
      <c r="W42" s="299">
        <f t="shared" si="5"/>
        <v>19</v>
      </c>
      <c r="X42" s="308">
        <v>7.5</v>
      </c>
      <c r="Y42" s="308">
        <f>IF(X51="Yes",5.75,7.4)</f>
        <v>5.75</v>
      </c>
      <c r="Z42" s="308">
        <f>IF(X51="Yes",5.75,4.1)</f>
        <v>5.75</v>
      </c>
      <c r="AA42" s="308"/>
      <c r="AB42" s="308"/>
      <c r="AC42" s="309"/>
      <c r="AD42" s="301"/>
      <c r="AE42" s="301"/>
      <c r="AF42" s="301"/>
      <c r="AG42" s="302">
        <f t="shared" si="26"/>
        <v>11.5</v>
      </c>
      <c r="AH42" s="302" t="str">
        <f t="shared" si="6"/>
        <v/>
      </c>
      <c r="AI42" s="302"/>
      <c r="AJ42" s="302"/>
      <c r="AK42" s="326">
        <f t="shared" si="1"/>
        <v>19.809082568807337</v>
      </c>
      <c r="AL42" s="354">
        <v>9.4517146374676617</v>
      </c>
      <c r="AM42" s="354">
        <v>4.8326890322571074</v>
      </c>
      <c r="AN42" s="308">
        <v>5.5246788990825682</v>
      </c>
      <c r="AO42" s="308"/>
      <c r="AP42" s="308"/>
      <c r="AQ42" s="309"/>
      <c r="AR42" s="300"/>
      <c r="AS42" s="301"/>
      <c r="AT42" s="301"/>
      <c r="AU42" s="331">
        <f t="shared" si="9"/>
        <v>10.357367931339676</v>
      </c>
      <c r="AV42" s="331" t="str">
        <f t="shared" si="10"/>
        <v/>
      </c>
      <c r="AW42" s="302"/>
      <c r="AX42" s="302"/>
      <c r="AY42" s="349">
        <f t="shared" si="69"/>
        <v>4.2583293095123015E-2</v>
      </c>
      <c r="AZ42" s="392">
        <f t="shared" si="70"/>
        <v>0.26022861832902155</v>
      </c>
      <c r="BA42" s="392" t="str">
        <f t="shared" si="71"/>
        <v/>
      </c>
      <c r="BB42" s="392" t="str">
        <f t="shared" si="72"/>
        <v/>
      </c>
      <c r="BC42" s="392" t="str">
        <f t="shared" si="73"/>
        <v/>
      </c>
      <c r="BD42" s="392" t="str">
        <f t="shared" si="74"/>
        <v/>
      </c>
      <c r="BE42" s="349">
        <f t="shared" si="75"/>
        <v>-0.15953234221615523</v>
      </c>
      <c r="BF42" s="349">
        <f t="shared" si="76"/>
        <v>-3.9186278420422931E-2</v>
      </c>
      <c r="BG42" s="349" t="str">
        <f t="shared" si="77"/>
        <v/>
      </c>
      <c r="BH42" s="349" t="str">
        <f t="shared" si="78"/>
        <v/>
      </c>
      <c r="BI42" s="349" t="str">
        <f t="shared" si="79"/>
        <v/>
      </c>
      <c r="BJ42" s="392">
        <f t="shared" si="80"/>
        <v>-9.9359310318289082E-2</v>
      </c>
      <c r="BK42" s="392" t="str">
        <f t="shared" si="81"/>
        <v/>
      </c>
      <c r="BL42" s="288" t="str">
        <f t="shared" si="67"/>
        <v/>
      </c>
      <c r="BM42" s="136" t="str">
        <f t="shared" si="68"/>
        <v/>
      </c>
      <c r="BN42" s="334">
        <v>46.543599999999998</v>
      </c>
      <c r="BO42" s="398"/>
      <c r="BP42" s="94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</row>
    <row r="43" spans="1:79" s="89" customFormat="1" ht="11.25">
      <c r="A43" s="359" t="s">
        <v>241</v>
      </c>
      <c r="B43" s="358" t="s">
        <v>278</v>
      </c>
      <c r="C43" s="370"/>
      <c r="D43" s="367">
        <v>0.67569444444444438</v>
      </c>
      <c r="E43" s="371">
        <v>79.705799999999996</v>
      </c>
      <c r="F43" s="358"/>
      <c r="G43" s="358"/>
      <c r="H43" s="358"/>
      <c r="I43" s="365" t="s">
        <v>94</v>
      </c>
      <c r="J43" s="358">
        <f>IF(ISERROR(VLOOKUP(I43,Max_Load_France!$B$2:$C$102,2,FALSE)/1000),"",VLOOKUP(I43,Max_Load_France!$B$2:$C$102,2,FALSE)/1000)</f>
        <v>40</v>
      </c>
      <c r="K43" s="296"/>
      <c r="L43" s="297">
        <f t="shared" si="82"/>
        <v>0.75249999999999984</v>
      </c>
      <c r="M43" s="358">
        <f>IF(VLOOKUP($I43,Max_Load_France!$B$2:$M$102,3,FALSE)="","",VLOOKUP($I43,Max_Load_France!$B$2:$M$102,3,FALSE))</f>
        <v>0</v>
      </c>
      <c r="N43" s="358">
        <f>IF(VLOOKUP($I43,Max_Load_France!$B$2:$M$102,4,FALSE)="","",VLOOKUP($I43,Max_Load_France!$B$2:$M$102,4,FALSE))</f>
        <v>0</v>
      </c>
      <c r="O43" s="358">
        <f>IF(VLOOKUP($I43,Max_Load_France!$B$2:$M$102,5,FALSE)="","",VLOOKUP($I43,Max_Load_France!$B$2:$M$102,5,FALSE))</f>
        <v>1</v>
      </c>
      <c r="P43" s="358">
        <f>IF(VLOOKUP($I43,Max_Load_France!$B$2:$M$102,6,FALSE)="","",VLOOKUP($I43,Max_Load_France!$B$2:$M$102,6,FALSE))</f>
        <v>1</v>
      </c>
      <c r="Q43" s="358">
        <f>IF(VLOOKUP($I43,Max_Load_France!$B$2:$M$102,7,FALSE)="","",VLOOKUP($I43,Max_Load_France!$B$2:$M$102,7,FALSE))</f>
        <v>1</v>
      </c>
      <c r="R43" s="358" t="str">
        <f>IF(VLOOKUP($I43,Max_Load_France!$B$2:$M$102,8,FALSE)="","",VLOOKUP($I43,Max_Load_France!$B$2:$M$102,8,FALSE))</f>
        <v/>
      </c>
      <c r="S43" s="358" t="str">
        <f>IF(VLOOKUP($I43,Max_Load_France!$B$2:$M$102,9,FALSE)="","",VLOOKUP($I43,Max_Load_France!$B$2:$M$102,9,FALSE))</f>
        <v/>
      </c>
      <c r="T43" s="358" t="str">
        <f>IF(VLOOKUP($I43,Max_Load_France!$B$2:$M$102,10,FALSE)="","",VLOOKUP($I43,Max_Load_France!$B$2:$M$102,10,FALSE))</f>
        <v/>
      </c>
      <c r="U43" s="358" t="str">
        <f>IF(VLOOKUP($I43,Max_Load_France!$B$2:$M$102,11,FALSE)="","",VLOOKUP($I43,Max_Load_France!$B$2:$M$102,11,FALSE))</f>
        <v/>
      </c>
      <c r="V43" s="357">
        <f t="shared" si="4"/>
        <v>5</v>
      </c>
      <c r="W43" s="299">
        <f t="shared" si="5"/>
        <v>30.099999999999994</v>
      </c>
      <c r="X43" s="308">
        <v>7</v>
      </c>
      <c r="Y43" s="308">
        <v>9.9</v>
      </c>
      <c r="Z43" s="308">
        <v>4.4000000000000004</v>
      </c>
      <c r="AA43" s="308">
        <v>4.4000000000000004</v>
      </c>
      <c r="AB43" s="308">
        <v>4.4000000000000004</v>
      </c>
      <c r="AC43" s="309"/>
      <c r="AD43" s="301"/>
      <c r="AE43" s="301"/>
      <c r="AF43" s="301"/>
      <c r="AG43" s="302">
        <f t="shared" si="26"/>
        <v>13.200000000000001</v>
      </c>
      <c r="AH43" s="302" t="str">
        <f t="shared" si="6"/>
        <v/>
      </c>
      <c r="AI43" s="302"/>
      <c r="AJ43" s="302"/>
      <c r="AK43" s="326">
        <f t="shared" si="1"/>
        <v>29.287614678899075</v>
      </c>
      <c r="AL43" s="354">
        <v>8.0077068035710059</v>
      </c>
      <c r="AM43" s="354">
        <v>8.8860852453586574</v>
      </c>
      <c r="AN43" s="308">
        <v>4.1312742099898063</v>
      </c>
      <c r="AO43" s="308">
        <v>4.1312742099898063</v>
      </c>
      <c r="AP43" s="308">
        <v>4.1312742099898063</v>
      </c>
      <c r="AQ43" s="309"/>
      <c r="AR43" s="300"/>
      <c r="AS43" s="301"/>
      <c r="AT43" s="301"/>
      <c r="AU43" s="331">
        <f t="shared" si="9"/>
        <v>12.393822629969419</v>
      </c>
      <c r="AV43" s="331" t="str">
        <f t="shared" si="10"/>
        <v/>
      </c>
      <c r="AW43" s="302"/>
      <c r="AX43" s="302"/>
      <c r="AY43" s="349">
        <f>IF(AND($BO$10="Yes",$BO43="MP"),"",IF(AK43=0,"",IF($W43/$V43&lt;$BN$6,"",IF($BN43&lt;$BN$10,IF(W43&gt;0,(AK43-W43)/W43,""),""))))</f>
        <v>-2.6989545551525558E-2</v>
      </c>
      <c r="AZ43" s="392">
        <f>IF(AND($BO$10="Yes",$BO43="MP"),"",IF(M43=0,IF(AL43&lt;$BN$7,"",IF($W43/$V43&lt;$BN$6,"",IF($BN43&lt;$BN$10,IF(X43&gt;0,(AL43-X43)/X43,""),""))),""))</f>
        <v>0.14395811479585799</v>
      </c>
      <c r="BA43" s="392">
        <f>IF(N43=0,IF(AM43&lt;$BN$7,"",IF($W43/$V43&lt;$BN$6,"",IF($BN43&lt;$BN$10,IF(Y43&gt;0,(AM43-Y43)/Y43,""),""))),"")</f>
        <v>-0.10241563178195383</v>
      </c>
      <c r="BB43" s="392" t="str">
        <f>IF(O43=0,IF(AN43&lt;$BN$7,"",IF($W43/$V43&lt;$BN$6,"",IF($BN43&lt;$BN$10,IF(Z43&gt;0,(AN43-Z43)/Z43,""),""))),"")</f>
        <v/>
      </c>
      <c r="BC43" s="392" t="str">
        <f>IF(P43=0,IF(AO43&lt;$BN$7,"",IF($W43/$V43&lt;$BN$6,"",IF($BN43&lt;$BN$10,IF(AA43&gt;0,(AO43-AA43)/AA43,""),""))),"")</f>
        <v/>
      </c>
      <c r="BD43" s="392" t="str">
        <f>IF(Q43=0,IF(AP43&lt;$BN$7,"",IF($W43/$V43&lt;$BN$6,"",IF($BN43&lt;$BN$10,IF(AB43&gt;0,(AP43-AB43)/AB43,""),""))),"")</f>
        <v/>
      </c>
      <c r="BE43" s="349" t="str">
        <f>IF(AND($BO$10="Yes",$BO43="MP"),"",IF(N43&gt;0,IF(AM43&lt;$BN$7,"",IF($W43/$V43&lt;$BN$6,"",IF($BN43&lt;$BN$10,IF(Y43&gt;0,(AM43-Y43)/Y43,""),""))),""))</f>
        <v/>
      </c>
      <c r="BF43" s="349">
        <f>IF(O43&gt;0,IF(AN43&lt;$BN$7,"",IF($W43/$V43&lt;$BN$6,"",IF($BN43&lt;$BN$10,IF(Z43&gt;0,(AN43-Z43)/Z43,""),""))),"")</f>
        <v>-6.1074043184135E-2</v>
      </c>
      <c r="BG43" s="349">
        <f>IF(P43&gt;0,IF(AO43&lt;$BN$7,"",IF($W43/$V43&lt;$BN$6,"",IF($BN43&lt;$BN$10,IF(AA43&gt;0,(AO43-AA43)/AA43,""),""))),"")</f>
        <v>-6.1074043184135E-2</v>
      </c>
      <c r="BH43" s="349">
        <f>IF(Q43&gt;0,IF(AP43&lt;$BN$7,"",IF($W43/$V43&lt;$BN$6,"",IF($BN43&lt;$BN$10,IF(AB43&gt;0,(AP43-AB43)/AB43,""),""))),"")</f>
        <v>-6.1074043184135E-2</v>
      </c>
      <c r="BI43" s="349" t="str">
        <f>IF(R43&gt;0,IF(AQ43&lt;$BN$7,"",IF($W43/$V43&lt;$BN$6,"",IF($BN43&lt;$BN$10,IF(AC43&gt;0,(AQ43-AC43)/AC43,""),""))),"")</f>
        <v/>
      </c>
      <c r="BJ43" s="392">
        <f>IF(AND($BO$10="Yes",$BO43="MP"),"",IF(AG43&lt;$BN$6*COUNTIF(M43:R43,1),"",IF($BN43&lt;$BN$10,IF($BN43&lt;$BN$10,IF(AG43&lt;&gt;"",(AU43-AG43)/AG43,""),""))))</f>
        <v>-6.1074043184135E-2</v>
      </c>
      <c r="BK43" s="392" t="str">
        <f>IF(AND($BO$10="Yes",$BO43="MP"),"",IF(AH43&lt;$BN$6*COUNTIF(M43:R43,2),"",IF($BN43&lt;$BN$10,IF(AH43&lt;&gt;"",(AV43-AH43)/AH43,""),"")))</f>
        <v/>
      </c>
      <c r="BL43" s="288" t="str">
        <f t="shared" si="67"/>
        <v/>
      </c>
      <c r="BM43" s="136" t="str">
        <f t="shared" si="68"/>
        <v/>
      </c>
      <c r="BN43" s="334">
        <v>43.521500000000003</v>
      </c>
      <c r="BO43" s="398"/>
      <c r="BP43" s="94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</row>
    <row r="44" spans="1:79" s="89" customFormat="1" ht="11.25">
      <c r="A44" s="359" t="s">
        <v>242</v>
      </c>
      <c r="B44" s="358" t="s">
        <v>279</v>
      </c>
      <c r="C44" s="370"/>
      <c r="D44" s="307">
        <v>0.68472222222222223</v>
      </c>
      <c r="E44" s="310">
        <v>89.36712</v>
      </c>
      <c r="F44" s="296"/>
      <c r="G44" s="296"/>
      <c r="H44" s="358"/>
      <c r="I44" s="365" t="s">
        <v>94</v>
      </c>
      <c r="J44" s="358">
        <f>IF(ISERROR(VLOOKUP(I44,Max_Load_France!$B$2:$C$102,2,FALSE)/1000),"",VLOOKUP(I44,Max_Load_France!$B$2:$C$102,2,FALSE)/1000)</f>
        <v>40</v>
      </c>
      <c r="K44" s="296"/>
      <c r="L44" s="297">
        <f t="shared" si="82"/>
        <v>0.42250000000000004</v>
      </c>
      <c r="M44" s="358">
        <f>IF(VLOOKUP($I44,Max_Load_France!$B$2:$M$102,3,FALSE)="","",VLOOKUP($I44,Max_Load_France!$B$2:$M$102,3,FALSE))</f>
        <v>0</v>
      </c>
      <c r="N44" s="358">
        <f>IF(VLOOKUP($I44,Max_Load_France!$B$2:$M$102,4,FALSE)="","",VLOOKUP($I44,Max_Load_France!$B$2:$M$102,4,FALSE))</f>
        <v>0</v>
      </c>
      <c r="O44" s="358">
        <f>IF(VLOOKUP($I44,Max_Load_France!$B$2:$M$102,5,FALSE)="","",VLOOKUP($I44,Max_Load_France!$B$2:$M$102,5,FALSE))</f>
        <v>1</v>
      </c>
      <c r="P44" s="358">
        <f>IF(VLOOKUP($I44,Max_Load_France!$B$2:$M$102,6,FALSE)="","",VLOOKUP($I44,Max_Load_France!$B$2:$M$102,6,FALSE))</f>
        <v>1</v>
      </c>
      <c r="Q44" s="358">
        <f>IF(VLOOKUP($I44,Max_Load_France!$B$2:$M$102,7,FALSE)="","",VLOOKUP($I44,Max_Load_France!$B$2:$M$102,7,FALSE))</f>
        <v>1</v>
      </c>
      <c r="R44" s="358" t="str">
        <f>IF(VLOOKUP($I44,Max_Load_France!$B$2:$M$102,8,FALSE)="","",VLOOKUP($I44,Max_Load_France!$B$2:$M$102,8,FALSE))</f>
        <v/>
      </c>
      <c r="S44" s="358" t="str">
        <f>IF(VLOOKUP($I44,Max_Load_France!$B$2:$M$102,9,FALSE)="","",VLOOKUP($I44,Max_Load_France!$B$2:$M$102,9,FALSE))</f>
        <v/>
      </c>
      <c r="T44" s="358" t="str">
        <f>IF(VLOOKUP($I44,Max_Load_France!$B$2:$M$102,10,FALSE)="","",VLOOKUP($I44,Max_Load_France!$B$2:$M$102,10,FALSE))</f>
        <v/>
      </c>
      <c r="U44" s="358" t="str">
        <f>IF(VLOOKUP($I44,Max_Load_France!$B$2:$M$102,11,FALSE)="","",VLOOKUP($I44,Max_Load_France!$B$2:$M$102,11,FALSE))</f>
        <v/>
      </c>
      <c r="V44" s="357">
        <f t="shared" si="4"/>
        <v>5</v>
      </c>
      <c r="W44" s="299">
        <f t="shared" si="5"/>
        <v>16.900000000000002</v>
      </c>
      <c r="X44" s="308">
        <v>5.7</v>
      </c>
      <c r="Y44" s="308">
        <v>4.0999999999999996</v>
      </c>
      <c r="Z44" s="308">
        <v>2.4</v>
      </c>
      <c r="AA44" s="308">
        <v>2.4</v>
      </c>
      <c r="AB44" s="308">
        <v>2.2999999999999998</v>
      </c>
      <c r="AC44" s="309"/>
      <c r="AD44" s="301"/>
      <c r="AE44" s="301"/>
      <c r="AF44" s="301"/>
      <c r="AG44" s="302">
        <f t="shared" si="26"/>
        <v>7.1</v>
      </c>
      <c r="AH44" s="302" t="str">
        <f t="shared" si="6"/>
        <v/>
      </c>
      <c r="AI44" s="302"/>
      <c r="AJ44" s="302"/>
      <c r="AK44" s="326">
        <f t="shared" si="1"/>
        <v>16.780387359836897</v>
      </c>
      <c r="AL44" s="354">
        <v>5.8139337089974044</v>
      </c>
      <c r="AM44" s="354">
        <v>4.6254444765275693</v>
      </c>
      <c r="AN44" s="308">
        <v>2.113669724770642</v>
      </c>
      <c r="AO44" s="308">
        <v>2.113669724770642</v>
      </c>
      <c r="AP44" s="308">
        <v>2.113669724770642</v>
      </c>
      <c r="AQ44" s="309"/>
      <c r="AR44" s="300"/>
      <c r="AS44" s="309"/>
      <c r="AT44" s="309"/>
      <c r="AU44" s="331">
        <f t="shared" si="9"/>
        <v>6.3410091743119263</v>
      </c>
      <c r="AV44" s="331" t="str">
        <f t="shared" si="10"/>
        <v/>
      </c>
      <c r="AW44" s="302"/>
      <c r="AX44" s="302"/>
      <c r="AY44" s="349">
        <f t="shared" ref="AY44:AY47" si="83">IF(AND($BO$10="Yes",$BO44="MP"),"",IF(AK44=0,"",IF($W44/$V44&lt;$BN$6,"",IF($BN44&lt;$BN$10,IF(W44&gt;0,(AK44-W44)/W44,""),""))))</f>
        <v>-7.0776710155683303E-3</v>
      </c>
      <c r="AZ44" s="392">
        <f t="shared" ref="AZ44:AZ47" si="84">IF(AND($BO$10="Yes",$BO44="MP"),"",IF(M44=0,IF(AL44&lt;$BN$7,"",IF($W44/$V44&lt;$BN$6,"",IF($BN44&lt;$BN$10,IF(X44&gt;0,(AL44-X44)/X44,""),""))),""))</f>
        <v>1.9988369999544592E-2</v>
      </c>
      <c r="BA44" s="392">
        <f t="shared" ref="BA44:BA47" si="85">IF(N44=0,IF(AM44&lt;$BN$7,"",IF($W44/$V44&lt;$BN$6,"",IF($BN44&lt;$BN$10,IF(Y44&gt;0,(AM44-Y44)/Y44,""),""))),"")</f>
        <v>0.12815718939696821</v>
      </c>
      <c r="BB44" s="392" t="str">
        <f t="shared" ref="BB44:BB47" si="86">IF(O44=0,IF(AN44&lt;$BN$7,"",IF($W44/$V44&lt;$BN$6,"",IF($BN44&lt;$BN$10,IF(Z44&gt;0,(AN44-Z44)/Z44,""),""))),"")</f>
        <v/>
      </c>
      <c r="BC44" s="392" t="str">
        <f t="shared" ref="BC44:BC47" si="87">IF(P44=0,IF(AO44&lt;$BN$7,"",IF($W44/$V44&lt;$BN$6,"",IF($BN44&lt;$BN$10,IF(AA44&gt;0,(AO44-AA44)/AA44,""),""))),"")</f>
        <v/>
      </c>
      <c r="BD44" s="392" t="str">
        <f t="shared" ref="BD44:BD47" si="88">IF(Q44=0,IF(AP44&lt;$BN$7,"",IF($W44/$V44&lt;$BN$6,"",IF($BN44&lt;$BN$10,IF(AB44&gt;0,(AP44-AB44)/AB44,""),""))),"")</f>
        <v/>
      </c>
      <c r="BE44" s="349" t="str">
        <f t="shared" ref="BE44:BE47" si="89">IF(AND($BO$10="Yes",$BO44="MP"),"",IF(N44&gt;0,IF(AM44&lt;$BN$7,"",IF($W44/$V44&lt;$BN$6,"",IF($BN44&lt;$BN$10,IF(Y44&gt;0,(AM44-Y44)/Y44,""),""))),""))</f>
        <v/>
      </c>
      <c r="BF44" s="349" t="str">
        <f t="shared" ref="BF44:BF47" si="90">IF(O44&gt;0,IF(AN44&lt;$BN$7,"",IF($W44/$V44&lt;$BN$6,"",IF($BN44&lt;$BN$10,IF(Z44&gt;0,(AN44-Z44)/Z44,""),""))),"")</f>
        <v/>
      </c>
      <c r="BG44" s="349" t="str">
        <f t="shared" ref="BG44:BG47" si="91">IF(P44&gt;0,IF(AO44&lt;$BN$7,"",IF($W44/$V44&lt;$BN$6,"",IF($BN44&lt;$BN$10,IF(AA44&gt;0,(AO44-AA44)/AA44,""),""))),"")</f>
        <v/>
      </c>
      <c r="BH44" s="349" t="str">
        <f t="shared" ref="BH44:BH47" si="92">IF(Q44&gt;0,IF(AP44&lt;$BN$7,"",IF($W44/$V44&lt;$BN$6,"",IF($BN44&lt;$BN$10,IF(AB44&gt;0,(AP44-AB44)/AB44,""),""))),"")</f>
        <v/>
      </c>
      <c r="BI44" s="349" t="str">
        <f t="shared" ref="BI44:BI47" si="93">IF(R44&gt;0,IF(AQ44&lt;$BN$7,"",IF($W44/$V44&lt;$BN$6,"",IF($BN44&lt;$BN$10,IF(AC44&gt;0,(AQ44-AC44)/AC44,""),""))),"")</f>
        <v/>
      </c>
      <c r="BJ44" s="392" t="str">
        <f t="shared" ref="BJ44:BJ47" si="94">IF(AND($BO$10="Yes",$BO44="MP"),"",IF(AG44&lt;$BN$6*COUNTIF(M44:R44,1),"",IF($BN44&lt;$BN$10,IF($BN44&lt;$BN$10,IF(AG44&lt;&gt;"",(AU44-AG44)/AG44,""),""))))</f>
        <v/>
      </c>
      <c r="BK44" s="392" t="str">
        <f t="shared" ref="BK44:BK47" si="95">IF(AND($BO$10="Yes",$BO44="MP"),"",IF(AH44&lt;$BN$6*COUNTIF(M44:R44,2),"",IF($BN44&lt;$BN$10,IF(AH44&lt;&gt;"",(AV44-AH44)/AH44,""),"")))</f>
        <v/>
      </c>
      <c r="BL44" s="288" t="str">
        <f t="shared" si="67"/>
        <v/>
      </c>
      <c r="BM44" s="136" t="str">
        <f t="shared" si="68"/>
        <v/>
      </c>
      <c r="BN44" s="334">
        <v>21.467199999999998</v>
      </c>
      <c r="BO44" s="398"/>
      <c r="BP44" s="94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</row>
    <row r="45" spans="1:79" s="89" customFormat="1">
      <c r="A45" s="359" t="s">
        <v>243</v>
      </c>
      <c r="B45" s="358" t="s">
        <v>281</v>
      </c>
      <c r="C45" s="370"/>
      <c r="D45" s="367">
        <v>0.68819444444444444</v>
      </c>
      <c r="E45" s="310">
        <v>62.217719999999993</v>
      </c>
      <c r="F45" s="358"/>
      <c r="G45" s="358"/>
      <c r="H45" s="358"/>
      <c r="I45" s="365" t="s">
        <v>130</v>
      </c>
      <c r="J45" s="358">
        <f>IF(ISERROR(VLOOKUP(I45,Max_Load_France!$B$2:$C$102,2,FALSE)/1000),"",VLOOKUP(I45,Max_Load_France!$B$2:$C$102,2,FALSE)/1000)</f>
        <v>40</v>
      </c>
      <c r="K45" s="298"/>
      <c r="L45" s="297">
        <f t="shared" si="82"/>
        <v>0.64250000000000007</v>
      </c>
      <c r="M45" s="358">
        <f>IF(VLOOKUP($I45,Max_Load_France!$B$2:$M$102,3,FALSE)="","",VLOOKUP($I45,Max_Load_France!$B$2:$M$102,3,FALSE))</f>
        <v>0</v>
      </c>
      <c r="N45" s="358">
        <f>IF(VLOOKUP($I45,Max_Load_France!$B$2:$M$102,4,FALSE)="","",VLOOKUP($I45,Max_Load_France!$B$2:$M$102,4,FALSE))</f>
        <v>1</v>
      </c>
      <c r="O45" s="358">
        <f>IF(VLOOKUP($I45,Max_Load_France!$B$2:$M$102,5,FALSE)="","",VLOOKUP($I45,Max_Load_France!$B$2:$M$102,5,FALSE))</f>
        <v>1</v>
      </c>
      <c r="P45" s="358">
        <f>IF(VLOOKUP($I45,Max_Load_France!$B$2:$M$102,6,FALSE)="","",VLOOKUP($I45,Max_Load_France!$B$2:$M$102,6,FALSE))</f>
        <v>2</v>
      </c>
      <c r="Q45" s="358">
        <f>IF(VLOOKUP($I45,Max_Load_France!$B$2:$M$102,7,FALSE)="","",VLOOKUP($I45,Max_Load_France!$B$2:$M$102,7,FALSE))</f>
        <v>2</v>
      </c>
      <c r="R45" s="358" t="str">
        <f>IF(VLOOKUP($I45,Max_Load_France!$B$2:$M$102,8,FALSE)="","",VLOOKUP($I45,Max_Load_France!$B$2:$M$102,8,FALSE))</f>
        <v/>
      </c>
      <c r="S45" s="358" t="str">
        <f>IF(VLOOKUP($I45,Max_Load_France!$B$2:$M$102,9,FALSE)="","",VLOOKUP($I45,Max_Load_France!$B$2:$M$102,9,FALSE))</f>
        <v/>
      </c>
      <c r="T45" s="358" t="str">
        <f>IF(VLOOKUP($I45,Max_Load_France!$B$2:$M$102,10,FALSE)="","",VLOOKUP($I45,Max_Load_France!$B$2:$M$102,10,FALSE))</f>
        <v/>
      </c>
      <c r="U45" s="358" t="str">
        <f>IF(VLOOKUP($I45,Max_Load_France!$B$2:$M$102,11,FALSE)="","",VLOOKUP($I45,Max_Load_France!$B$2:$M$102,11,FALSE))</f>
        <v/>
      </c>
      <c r="V45" s="357">
        <f t="shared" si="4"/>
        <v>5</v>
      </c>
      <c r="W45" s="299">
        <f t="shared" si="5"/>
        <v>25.700000000000003</v>
      </c>
      <c r="X45" s="308">
        <v>5.7</v>
      </c>
      <c r="Y45" s="308">
        <f>IF(X51="Yes",5.55,8.5)</f>
        <v>5.55</v>
      </c>
      <c r="Z45" s="308">
        <f>IF(X51="Yes",5.55,2.6)</f>
        <v>5.55</v>
      </c>
      <c r="AA45" s="308">
        <v>4.5</v>
      </c>
      <c r="AB45" s="308">
        <v>4.4000000000000004</v>
      </c>
      <c r="AC45" s="309"/>
      <c r="AD45" s="301"/>
      <c r="AE45" s="301"/>
      <c r="AF45" s="301"/>
      <c r="AG45" s="302">
        <f t="shared" si="26"/>
        <v>11.1</v>
      </c>
      <c r="AH45" s="302">
        <f t="shared" si="6"/>
        <v>8.9</v>
      </c>
      <c r="AI45" s="302"/>
      <c r="AJ45" s="302"/>
      <c r="AK45" s="326">
        <f t="shared" si="1"/>
        <v>25.947125382262996</v>
      </c>
      <c r="AL45" s="354">
        <v>6.5567256368994116</v>
      </c>
      <c r="AM45" s="354">
        <v>5.0687075944971216</v>
      </c>
      <c r="AN45" s="308">
        <v>5.5487461773700302</v>
      </c>
      <c r="AO45" s="308">
        <v>4.386472986748216</v>
      </c>
      <c r="AP45" s="308">
        <v>4.386472986748216</v>
      </c>
      <c r="AQ45" s="309"/>
      <c r="AR45" s="300"/>
      <c r="AS45" s="311"/>
      <c r="AT45" s="311"/>
      <c r="AU45" s="331">
        <f t="shared" si="9"/>
        <v>10.617453771867151</v>
      </c>
      <c r="AV45" s="331">
        <f t="shared" si="10"/>
        <v>8.7729459734964319</v>
      </c>
      <c r="AW45" s="302"/>
      <c r="AX45" s="302"/>
      <c r="AY45" s="349">
        <f t="shared" si="83"/>
        <v>9.6157736289102444E-3</v>
      </c>
      <c r="AZ45" s="392">
        <f t="shared" si="84"/>
        <v>0.15030274331568622</v>
      </c>
      <c r="BA45" s="392" t="str">
        <f t="shared" si="85"/>
        <v/>
      </c>
      <c r="BB45" s="392" t="str">
        <f t="shared" si="86"/>
        <v/>
      </c>
      <c r="BC45" s="392" t="str">
        <f t="shared" si="87"/>
        <v/>
      </c>
      <c r="BD45" s="392" t="str">
        <f t="shared" si="88"/>
        <v/>
      </c>
      <c r="BE45" s="349">
        <f t="shared" si="89"/>
        <v>-8.6719352342860948E-2</v>
      </c>
      <c r="BF45" s="349">
        <f t="shared" si="90"/>
        <v>-2.2591398738191847E-4</v>
      </c>
      <c r="BG45" s="349">
        <f t="shared" si="91"/>
        <v>-2.522822516706312E-2</v>
      </c>
      <c r="BH45" s="349">
        <f t="shared" si="92"/>
        <v>-3.0743211935873641E-3</v>
      </c>
      <c r="BI45" s="349" t="str">
        <f t="shared" si="93"/>
        <v/>
      </c>
      <c r="BJ45" s="392">
        <f t="shared" si="94"/>
        <v>-4.347263316512151E-2</v>
      </c>
      <c r="BK45" s="392">
        <f t="shared" si="95"/>
        <v>-1.4275733315007691E-2</v>
      </c>
      <c r="BL45" s="288" t="str">
        <f t="shared" si="67"/>
        <v/>
      </c>
      <c r="BM45" s="136" t="str">
        <f t="shared" si="68"/>
        <v/>
      </c>
      <c r="BN45" s="334">
        <v>132.667</v>
      </c>
      <c r="BO45" s="398"/>
      <c r="BP45" s="94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</row>
    <row r="46" spans="1:79" s="89" customFormat="1">
      <c r="A46" s="359" t="s">
        <v>244</v>
      </c>
      <c r="B46" s="358" t="s">
        <v>280</v>
      </c>
      <c r="C46" s="370"/>
      <c r="D46" s="367">
        <v>0.68680555555555556</v>
      </c>
      <c r="E46" s="371">
        <v>60.932159999999996</v>
      </c>
      <c r="F46" s="358"/>
      <c r="G46" s="358"/>
      <c r="H46" s="358"/>
      <c r="I46" s="365" t="s">
        <v>94</v>
      </c>
      <c r="J46" s="358">
        <f>IF(ISERROR(VLOOKUP(I46,Max_Load_France!$B$2:$C$102,2,FALSE)/1000),"",VLOOKUP(I46,Max_Load_France!$B$2:$C$102,2,FALSE)/1000)</f>
        <v>40</v>
      </c>
      <c r="K46" s="298"/>
      <c r="L46" s="297">
        <f t="shared" si="82"/>
        <v>0.95749999999999991</v>
      </c>
      <c r="M46" s="358">
        <f>IF(VLOOKUP($I46,Max_Load_France!$B$2:$M$102,3,FALSE)="","",VLOOKUP($I46,Max_Load_France!$B$2:$M$102,3,FALSE))</f>
        <v>0</v>
      </c>
      <c r="N46" s="358">
        <f>IF(VLOOKUP($I46,Max_Load_France!$B$2:$M$102,4,FALSE)="","",VLOOKUP($I46,Max_Load_France!$B$2:$M$102,4,FALSE))</f>
        <v>0</v>
      </c>
      <c r="O46" s="358">
        <f>IF(VLOOKUP($I46,Max_Load_France!$B$2:$M$102,5,FALSE)="","",VLOOKUP($I46,Max_Load_France!$B$2:$M$102,5,FALSE))</f>
        <v>1</v>
      </c>
      <c r="P46" s="358">
        <f>IF(VLOOKUP($I46,Max_Load_France!$B$2:$M$102,6,FALSE)="","",VLOOKUP($I46,Max_Load_France!$B$2:$M$102,6,FALSE))</f>
        <v>1</v>
      </c>
      <c r="Q46" s="358">
        <f>IF(VLOOKUP($I46,Max_Load_France!$B$2:$M$102,7,FALSE)="","",VLOOKUP($I46,Max_Load_France!$B$2:$M$102,7,FALSE))</f>
        <v>1</v>
      </c>
      <c r="R46" s="358" t="str">
        <f>IF(VLOOKUP($I46,Max_Load_France!$B$2:$M$102,8,FALSE)="","",VLOOKUP($I46,Max_Load_France!$B$2:$M$102,8,FALSE))</f>
        <v/>
      </c>
      <c r="S46" s="358" t="str">
        <f>IF(VLOOKUP($I46,Max_Load_France!$B$2:$M$102,9,FALSE)="","",VLOOKUP($I46,Max_Load_France!$B$2:$M$102,9,FALSE))</f>
        <v/>
      </c>
      <c r="T46" s="358" t="str">
        <f>IF(VLOOKUP($I46,Max_Load_France!$B$2:$M$102,10,FALSE)="","",VLOOKUP($I46,Max_Load_France!$B$2:$M$102,10,FALSE))</f>
        <v/>
      </c>
      <c r="U46" s="358" t="str">
        <f>IF(VLOOKUP($I46,Max_Load_France!$B$2:$M$102,11,FALSE)="","",VLOOKUP($I46,Max_Load_France!$B$2:$M$102,11,FALSE))</f>
        <v/>
      </c>
      <c r="V46" s="357">
        <f t="shared" si="4"/>
        <v>5</v>
      </c>
      <c r="W46" s="299">
        <f t="shared" si="5"/>
        <v>38.299999999999997</v>
      </c>
      <c r="X46" s="308">
        <v>6.5</v>
      </c>
      <c r="Y46" s="308">
        <v>10.5</v>
      </c>
      <c r="Z46" s="308">
        <v>7</v>
      </c>
      <c r="AA46" s="308">
        <v>7.2</v>
      </c>
      <c r="AB46" s="308">
        <v>7.1</v>
      </c>
      <c r="AC46" s="309"/>
      <c r="AD46" s="301"/>
      <c r="AE46" s="301"/>
      <c r="AF46" s="301"/>
      <c r="AG46" s="302">
        <f t="shared" si="26"/>
        <v>21.299999999999997</v>
      </c>
      <c r="AH46" s="302" t="str">
        <f t="shared" si="6"/>
        <v/>
      </c>
      <c r="AI46" s="302"/>
      <c r="AJ46" s="302"/>
      <c r="AK46" s="326">
        <f t="shared" si="1"/>
        <v>38.866248725790008</v>
      </c>
      <c r="AL46" s="354">
        <v>7.3503547005833783</v>
      </c>
      <c r="AM46" s="354">
        <v>10.351765584839658</v>
      </c>
      <c r="AN46" s="308">
        <v>7.054709480122324</v>
      </c>
      <c r="AO46" s="308">
        <v>7.054709480122324</v>
      </c>
      <c r="AP46" s="308">
        <v>7.054709480122324</v>
      </c>
      <c r="AQ46" s="309"/>
      <c r="AR46" s="300"/>
      <c r="AS46" s="311"/>
      <c r="AT46" s="311"/>
      <c r="AU46" s="331">
        <f t="shared" si="9"/>
        <v>21.164128440366973</v>
      </c>
      <c r="AV46" s="331" t="str">
        <f t="shared" si="10"/>
        <v/>
      </c>
      <c r="AW46" s="302"/>
      <c r="AX46" s="302"/>
      <c r="AY46" s="349">
        <f t="shared" si="83"/>
        <v>1.4784562031070786E-2</v>
      </c>
      <c r="AZ46" s="392">
        <f t="shared" si="84"/>
        <v>0.1308238000897505</v>
      </c>
      <c r="BA46" s="392">
        <f t="shared" si="85"/>
        <v>-1.4117563348604008E-2</v>
      </c>
      <c r="BB46" s="392" t="str">
        <f t="shared" si="86"/>
        <v/>
      </c>
      <c r="BC46" s="392" t="str">
        <f t="shared" si="87"/>
        <v/>
      </c>
      <c r="BD46" s="392" t="str">
        <f t="shared" si="88"/>
        <v/>
      </c>
      <c r="BE46" s="349" t="str">
        <f t="shared" si="89"/>
        <v/>
      </c>
      <c r="BF46" s="349">
        <f t="shared" si="90"/>
        <v>7.8156400174748588E-3</v>
      </c>
      <c r="BG46" s="349">
        <f t="shared" si="91"/>
        <v>-2.0179238871899468E-2</v>
      </c>
      <c r="BH46" s="349">
        <f t="shared" si="92"/>
        <v>-6.3789464616444552E-3</v>
      </c>
      <c r="BI46" s="349" t="str">
        <f t="shared" si="93"/>
        <v/>
      </c>
      <c r="BJ46" s="392">
        <f t="shared" si="94"/>
        <v>-6.3789464616443303E-3</v>
      </c>
      <c r="BK46" s="392" t="str">
        <f t="shared" si="95"/>
        <v/>
      </c>
      <c r="BL46" s="288" t="str">
        <f t="shared" si="67"/>
        <v/>
      </c>
      <c r="BM46" s="136" t="str">
        <f t="shared" si="68"/>
        <v/>
      </c>
      <c r="BN46" s="334">
        <v>71.094300000000004</v>
      </c>
      <c r="BO46" s="398"/>
      <c r="BP46" s="94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</row>
    <row r="47" spans="1:79" s="89" customFormat="1">
      <c r="A47" s="359" t="s">
        <v>245</v>
      </c>
      <c r="B47" s="358" t="s">
        <v>277</v>
      </c>
      <c r="C47" s="370"/>
      <c r="D47" s="367">
        <v>0.67083333333333339</v>
      </c>
      <c r="E47" s="371">
        <v>53.620200000000004</v>
      </c>
      <c r="F47" s="358"/>
      <c r="G47" s="358"/>
      <c r="H47" s="358"/>
      <c r="I47" s="365" t="s">
        <v>94</v>
      </c>
      <c r="J47" s="358">
        <f>IF(ISERROR(VLOOKUP(I47,Max_Load_France!$B$2:$C$102,2,FALSE)/1000),"",VLOOKUP(I47,Max_Load_France!$B$2:$C$102,2,FALSE)/1000)</f>
        <v>40</v>
      </c>
      <c r="K47" s="298"/>
      <c r="L47" s="297">
        <f t="shared" si="82"/>
        <v>0.80500000000000005</v>
      </c>
      <c r="M47" s="358">
        <f>IF(VLOOKUP($I47,Max_Load_France!$B$2:$M$102,3,FALSE)="","",VLOOKUP($I47,Max_Load_France!$B$2:$M$102,3,FALSE))</f>
        <v>0</v>
      </c>
      <c r="N47" s="358">
        <f>IF(VLOOKUP($I47,Max_Load_France!$B$2:$M$102,4,FALSE)="","",VLOOKUP($I47,Max_Load_France!$B$2:$M$102,4,FALSE))</f>
        <v>0</v>
      </c>
      <c r="O47" s="358">
        <f>IF(VLOOKUP($I47,Max_Load_France!$B$2:$M$102,5,FALSE)="","",VLOOKUP($I47,Max_Load_France!$B$2:$M$102,5,FALSE))</f>
        <v>1</v>
      </c>
      <c r="P47" s="358">
        <f>IF(VLOOKUP($I47,Max_Load_France!$B$2:$M$102,6,FALSE)="","",VLOOKUP($I47,Max_Load_France!$B$2:$M$102,6,FALSE))</f>
        <v>1</v>
      </c>
      <c r="Q47" s="358">
        <f>IF(VLOOKUP($I47,Max_Load_France!$B$2:$M$102,7,FALSE)="","",VLOOKUP($I47,Max_Load_France!$B$2:$M$102,7,FALSE))</f>
        <v>1</v>
      </c>
      <c r="R47" s="358" t="str">
        <f>IF(VLOOKUP($I47,Max_Load_France!$B$2:$M$102,8,FALSE)="","",VLOOKUP($I47,Max_Load_France!$B$2:$M$102,8,FALSE))</f>
        <v/>
      </c>
      <c r="S47" s="358" t="str">
        <f>IF(VLOOKUP($I47,Max_Load_France!$B$2:$M$102,9,FALSE)="","",VLOOKUP($I47,Max_Load_France!$B$2:$M$102,9,FALSE))</f>
        <v/>
      </c>
      <c r="T47" s="358" t="str">
        <f>IF(VLOOKUP($I47,Max_Load_France!$B$2:$M$102,10,FALSE)="","",VLOOKUP($I47,Max_Load_France!$B$2:$M$102,10,FALSE))</f>
        <v/>
      </c>
      <c r="U47" s="358" t="str">
        <f>IF(VLOOKUP($I47,Max_Load_France!$B$2:$M$102,11,FALSE)="","",VLOOKUP($I47,Max_Load_France!$B$2:$M$102,11,FALSE))</f>
        <v/>
      </c>
      <c r="V47" s="357">
        <f t="shared" si="4"/>
        <v>5</v>
      </c>
      <c r="W47" s="299">
        <f t="shared" si="5"/>
        <v>32.200000000000003</v>
      </c>
      <c r="X47" s="308">
        <v>7.2</v>
      </c>
      <c r="Y47" s="308">
        <v>9.6999999999999993</v>
      </c>
      <c r="Z47" s="308">
        <v>5.5</v>
      </c>
      <c r="AA47" s="308">
        <v>5.0999999999999996</v>
      </c>
      <c r="AB47" s="308">
        <v>4.7</v>
      </c>
      <c r="AC47" s="309"/>
      <c r="AD47" s="301"/>
      <c r="AE47" s="301"/>
      <c r="AF47" s="301"/>
      <c r="AG47" s="302">
        <f>IF(SUMIF($M47:$U47,"=1",$X47:$AF47)=0,"",SUMIF($M47:$U47,"=1",$X47:$AF47))</f>
        <v>15.3</v>
      </c>
      <c r="AH47" s="302" t="str">
        <f t="shared" si="6"/>
        <v/>
      </c>
      <c r="AI47" s="302"/>
      <c r="AJ47" s="302"/>
      <c r="AK47" s="326">
        <f t="shared" si="1"/>
        <v>37.335912334352699</v>
      </c>
      <c r="AL47" s="308">
        <v>6.8164327875016681</v>
      </c>
      <c r="AM47" s="308">
        <v>11.263944378655314</v>
      </c>
      <c r="AN47" s="308">
        <v>6.418511722731906</v>
      </c>
      <c r="AO47" s="308">
        <v>6.418511722731906</v>
      </c>
      <c r="AP47" s="308">
        <v>6.418511722731906</v>
      </c>
      <c r="AQ47" s="309"/>
      <c r="AR47" s="300"/>
      <c r="AS47" s="311"/>
      <c r="AT47" s="311"/>
      <c r="AU47" s="331">
        <f t="shared" si="9"/>
        <v>19.255535168195717</v>
      </c>
      <c r="AV47" s="331" t="str">
        <f t="shared" si="10"/>
        <v/>
      </c>
      <c r="AW47" s="302"/>
      <c r="AX47" s="302"/>
      <c r="AY47" s="349">
        <f t="shared" si="83"/>
        <v>0.15950038305443154</v>
      </c>
      <c r="AZ47" s="392">
        <f t="shared" si="84"/>
        <v>-5.3273223958101669E-2</v>
      </c>
      <c r="BA47" s="392">
        <f t="shared" si="85"/>
        <v>0.16123137924281594</v>
      </c>
      <c r="BB47" s="392" t="str">
        <f t="shared" si="86"/>
        <v/>
      </c>
      <c r="BC47" s="392" t="str">
        <f t="shared" si="87"/>
        <v/>
      </c>
      <c r="BD47" s="392" t="str">
        <f t="shared" si="88"/>
        <v/>
      </c>
      <c r="BE47" s="349" t="str">
        <f t="shared" si="89"/>
        <v/>
      </c>
      <c r="BF47" s="349">
        <f t="shared" si="90"/>
        <v>0.16700213140580109</v>
      </c>
      <c r="BG47" s="349">
        <f t="shared" si="91"/>
        <v>0.25853171033958949</v>
      </c>
      <c r="BH47" s="349">
        <f t="shared" si="92"/>
        <v>0.36564079207061823</v>
      </c>
      <c r="BI47" s="349" t="str">
        <f t="shared" si="93"/>
        <v/>
      </c>
      <c r="BJ47" s="392">
        <f t="shared" si="94"/>
        <v>0.25853171033958927</v>
      </c>
      <c r="BK47" s="392" t="str">
        <f t="shared" si="95"/>
        <v/>
      </c>
      <c r="BL47" s="288" t="str">
        <f t="shared" si="67"/>
        <v/>
      </c>
      <c r="BM47" s="136" t="str">
        <f t="shared" si="68"/>
        <v/>
      </c>
      <c r="BN47" s="76">
        <v>97.234999999999999</v>
      </c>
      <c r="BO47" s="398"/>
      <c r="BP47" s="70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</row>
    <row r="48" spans="1:79" s="77" customFormat="1">
      <c r="A48" s="359"/>
      <c r="B48" s="358"/>
      <c r="C48" s="370"/>
      <c r="D48" s="367"/>
      <c r="E48" s="371"/>
      <c r="F48" s="358"/>
      <c r="G48" s="358"/>
      <c r="H48" s="358"/>
      <c r="I48" s="365"/>
      <c r="J48" s="358"/>
      <c r="K48" s="298"/>
      <c r="L48" s="297"/>
      <c r="M48" s="358"/>
      <c r="N48" s="358"/>
      <c r="O48" s="358"/>
      <c r="P48" s="358"/>
      <c r="Q48" s="358"/>
      <c r="R48" s="358"/>
      <c r="S48" s="358"/>
      <c r="T48" s="358"/>
      <c r="U48" s="358"/>
      <c r="V48" s="357">
        <f t="shared" si="4"/>
        <v>0</v>
      </c>
      <c r="W48" s="299">
        <f t="shared" si="5"/>
        <v>0</v>
      </c>
      <c r="X48" s="308"/>
      <c r="Y48" s="308"/>
      <c r="Z48" s="308"/>
      <c r="AA48" s="308"/>
      <c r="AB48" s="308"/>
      <c r="AC48" s="309"/>
      <c r="AD48" s="301"/>
      <c r="AE48" s="301"/>
      <c r="AF48" s="301"/>
      <c r="AG48" s="302" t="str">
        <f>IF(SUMIF($M48:$U48,"=1",$X48:$AF48)=0,"",SUMIF($M48:$U48,"=1",$X48:$AF48))</f>
        <v/>
      </c>
      <c r="AH48" s="302" t="str">
        <f>IF(SUMIF(N48:S48,2,Y48:AD48)&gt;0,SUMIF(N48:S48,2,Y48:AD48),"")</f>
        <v/>
      </c>
      <c r="AI48" s="302"/>
      <c r="AJ48" s="302"/>
      <c r="AK48" s="326">
        <f t="shared" si="1"/>
        <v>0</v>
      </c>
      <c r="AL48" s="308"/>
      <c r="AM48" s="308"/>
      <c r="AN48" s="308"/>
      <c r="AO48" s="308"/>
      <c r="AP48" s="308"/>
      <c r="AQ48" s="309"/>
      <c r="AR48" s="300"/>
      <c r="AS48" s="311"/>
      <c r="AT48" s="311"/>
      <c r="AU48" s="331" t="str">
        <f t="shared" si="9"/>
        <v/>
      </c>
      <c r="AV48" s="331" t="str">
        <f t="shared" si="10"/>
        <v/>
      </c>
      <c r="AW48" s="302"/>
      <c r="AX48" s="302"/>
      <c r="AY48" s="349" t="str">
        <f>IF(AK48=0,"",IF($W48/$V48&lt;$BN$6,"",IF($BN48&lt;$BN$10,IF(W48&gt;0,(AK48-W48)/W48,""),"")))</f>
        <v/>
      </c>
      <c r="AZ48" s="392" t="str">
        <f>IF(M48=0,IF(AL48&lt;$BN$7,"",IF($W48/$V48&lt;$BN$6,"",IF($BN48&lt;$BN$10,IF(X48&gt;0,(AL48-X48)/X48,""),""))),"")</f>
        <v/>
      </c>
      <c r="BA48" s="392" t="str">
        <f>IF(N48=0,IF(AM48&lt;$BN$7,"",IF($W48/$V48&lt;$BN$6,"",IF($BN48&lt;$BN$10,IF(Y48&gt;0,(AM48-Y48)/Y48,""),""))),"")</f>
        <v/>
      </c>
      <c r="BB48" s="392" t="str">
        <f>IF(O48=0,IF(AN48&lt;$BN$7,"",IF($W48/$V48&lt;$BN$6,"",IF($BN48&lt;$BN$10,IF(Z48&gt;0,(AN48-Z48)/Z48,""),""))),"")</f>
        <v/>
      </c>
      <c r="BC48" s="392" t="str">
        <f>IF(P48=0,IF(AO48&lt;$BN$7,"",IF($W48/$V48&lt;$BN$6,"",IF($BN48&lt;$BN$10,IF(AA48&gt;0,(AO48-AA48)/AA48,""),""))),"")</f>
        <v/>
      </c>
      <c r="BD48" s="392" t="str">
        <f>IF(Q48=0,IF(AP48&lt;$BN$7,"",IF($W48/$V48&lt;$BN$6,"",IF($BN48&lt;$BN$10,IF(AB48&gt;0,(AP48-AB48)/AB48,""),""))),"")</f>
        <v/>
      </c>
      <c r="BE48" s="349" t="str">
        <f>IF(N48&gt;0,IF(AM48&lt;$BN$7,"",IF($W48/$V48&lt;$BN$6,"",IF($BN48&lt;$BN$10,IF(Y48&gt;0,(AM48-Y48)/Y48,""),""))),"")</f>
        <v/>
      </c>
      <c r="BF48" s="349" t="str">
        <f>IF(O48&gt;0,IF(AN48&lt;$BN$7,"",IF($W48/$V48&lt;$BN$6,"",IF($BN48&lt;$BN$10,IF(Z48&gt;0,(AN48-Z48)/Z48,""),""))),"")</f>
        <v/>
      </c>
      <c r="BG48" s="349" t="str">
        <f>IF(P48&gt;0,IF(AO48&lt;$BN$7,"",IF($W48/$V48&lt;$BN$6,"",IF($BN48&lt;$BN$10,IF(AA48&gt;0,(AO48-AA48)/AA48,""),""))),"")</f>
        <v/>
      </c>
      <c r="BH48" s="349" t="str">
        <f>IF(Q48&gt;0,IF(AP48&lt;$BN$7,"",IF($W48/$V48&lt;$BN$6,"",IF($BN48&lt;$BN$10,IF(AB48&gt;0,(AP48-AB48)/AB48,""),""))),"")</f>
        <v/>
      </c>
      <c r="BI48" s="349" t="str">
        <f>IF(R48&gt;0,IF(AQ48&lt;$BN$7,"",IF($W48/$V48&lt;$BN$6,"",IF($BN48&lt;$BN$10,IF(AC48&gt;0,(AQ48-AC48)/AC48,""),""))),"")</f>
        <v/>
      </c>
      <c r="BJ48" s="392" t="str">
        <f>IF(AG48&lt;$BN$6*COUNTIF(M48:R48,1),"",IF($BN48&lt;$BN$10,IF($BN48&lt;$BN$10,IF(AG48&lt;&gt;"",(AU48-AG48)/AG48,""),"")))</f>
        <v/>
      </c>
      <c r="BK48" s="392" t="str">
        <f>IF(AH48&lt;$BN$6*COUNTIF(M48:R48,2),"",IF($BN48&lt;$BN$10,IF(AH48&lt;&gt;"",(AV48-AH48)/AH48,""),""))</f>
        <v/>
      </c>
      <c r="BL48" s="288"/>
      <c r="BM48" s="136"/>
      <c r="BN48" s="76"/>
      <c r="BO48" s="398"/>
    </row>
    <row r="49" spans="18:67">
      <c r="BO49" s="334"/>
    </row>
    <row r="50" spans="18:67">
      <c r="AU50" s="341"/>
      <c r="AV50" s="342" t="s">
        <v>358</v>
      </c>
      <c r="AW50" s="341"/>
      <c r="AX50" s="341"/>
      <c r="AY50" s="342" t="s">
        <v>368</v>
      </c>
      <c r="AZ50" s="342" t="s">
        <v>369</v>
      </c>
      <c r="BA50" s="342"/>
      <c r="BB50" s="342"/>
      <c r="BC50" s="342"/>
      <c r="BD50" s="342"/>
      <c r="BE50" s="342" t="s">
        <v>370</v>
      </c>
      <c r="BF50" s="342"/>
      <c r="BG50" s="342"/>
      <c r="BH50" s="342"/>
      <c r="BI50" s="342"/>
      <c r="BJ50" s="342" t="s">
        <v>371</v>
      </c>
      <c r="BK50" s="341"/>
    </row>
    <row r="51" spans="18:67">
      <c r="R51" s="343"/>
      <c r="S51" s="343"/>
      <c r="T51" s="343"/>
      <c r="U51" s="343"/>
      <c r="V51" s="343"/>
      <c r="W51" s="344" t="s">
        <v>372</v>
      </c>
      <c r="X51" s="387" t="s">
        <v>373</v>
      </c>
      <c r="AU51" s="343"/>
      <c r="AV51" s="344" t="s">
        <v>361</v>
      </c>
      <c r="AW51" s="343"/>
      <c r="AX51" s="343"/>
      <c r="AY51" s="343">
        <f>COUNTIF($AY$12:$AY$48,$AV51)</f>
        <v>8</v>
      </c>
      <c r="AZ51" s="343">
        <f>COUNTIF($AZ$12:$BD$48,$AV51)</f>
        <v>132</v>
      </c>
      <c r="BA51" s="343"/>
      <c r="BB51" s="343"/>
      <c r="BC51" s="343"/>
      <c r="BD51" s="343"/>
      <c r="BE51" s="343">
        <f>COUNTIF($BE$12:$BI$48,$AV51)</f>
        <v>101</v>
      </c>
      <c r="BF51" s="343"/>
      <c r="BG51" s="343"/>
      <c r="BH51" s="343"/>
      <c r="BI51" s="343"/>
      <c r="BJ51" s="343">
        <f>COUNTIF($BJ$12:$BK$48,$AV51)</f>
        <v>38</v>
      </c>
      <c r="BK51" s="343"/>
    </row>
    <row r="52" spans="18:67">
      <c r="AL52" s="343">
        <f>+AL12*1.005*(1-$AZ$9)</f>
        <v>8.1504353258132252</v>
      </c>
      <c r="AM52" s="399">
        <f>+AM12-(AL52-AL12)</f>
        <v>9.158565693554765</v>
      </c>
      <c r="AU52" s="343"/>
      <c r="AV52" s="344" t="s">
        <v>360</v>
      </c>
      <c r="AW52" s="343"/>
      <c r="AX52" s="343"/>
      <c r="AY52" s="343">
        <f>COUNTIF($AY$12:$AY$48,$AV52)</f>
        <v>8</v>
      </c>
      <c r="AZ52" s="343">
        <f>COUNTIF($AZ$12:$BD$48,$AV52)</f>
        <v>132</v>
      </c>
      <c r="BA52" s="343"/>
      <c r="BB52" s="343"/>
      <c r="BC52" s="343"/>
      <c r="BD52" s="343"/>
      <c r="BE52" s="343">
        <f>COUNTIF($BE$12:$BI$48,$AV52)</f>
        <v>101</v>
      </c>
      <c r="BF52" s="343"/>
      <c r="BG52" s="343"/>
      <c r="BH52" s="343"/>
      <c r="BI52" s="343"/>
      <c r="BJ52" s="343">
        <f>COUNTIF($BJ$12:$BK$48,$AV52)</f>
        <v>38</v>
      </c>
      <c r="BK52" s="343"/>
    </row>
    <row r="53" spans="18:67">
      <c r="AL53" s="343">
        <f t="shared" ref="AL53:AL87" si="96">+AL13*1.005*(1-$AZ$9)</f>
        <v>6.0232481038904133</v>
      </c>
      <c r="AM53" s="399">
        <f t="shared" ref="AM53:AM87" si="97">+AM13-(AL53-AL13)</f>
        <v>2.5804114272003096</v>
      </c>
      <c r="AU53" s="341"/>
      <c r="AV53" s="342" t="s">
        <v>359</v>
      </c>
      <c r="AW53" s="341"/>
      <c r="AX53" s="341"/>
      <c r="AY53" s="341">
        <f>COUNTIF($AY$12:$AY$48,$AV53)</f>
        <v>0</v>
      </c>
      <c r="AZ53" s="341">
        <f>COUNTIF($AZ$12:$BD$48,$AV53)</f>
        <v>0</v>
      </c>
      <c r="BA53" s="341"/>
      <c r="BB53" s="341"/>
      <c r="BC53" s="341"/>
      <c r="BD53" s="341"/>
      <c r="BE53" s="341">
        <f>COUNTIF($BE$12:$BI$48,$AV53)</f>
        <v>0</v>
      </c>
      <c r="BF53" s="341"/>
      <c r="BG53" s="341"/>
      <c r="BH53" s="341"/>
      <c r="BI53" s="341"/>
      <c r="BJ53" s="341">
        <f>COUNTIF($BJ$12:$BK$48,$AV53)</f>
        <v>0</v>
      </c>
      <c r="BK53" s="341"/>
    </row>
    <row r="54" spans="18:67">
      <c r="AL54" s="343">
        <f t="shared" si="96"/>
        <v>7.1649902052860739</v>
      </c>
      <c r="AM54" s="399">
        <f t="shared" si="97"/>
        <v>13.520983291146136</v>
      </c>
      <c r="AU54" s="343"/>
      <c r="AV54" s="343"/>
      <c r="AW54" s="343"/>
      <c r="AX54" s="343"/>
      <c r="AY54" s="343">
        <f>COUNT(AY12:AY48)</f>
        <v>29</v>
      </c>
      <c r="AZ54" s="343">
        <f>COUNT(AZ12:BD48)</f>
        <v>53</v>
      </c>
      <c r="BA54" s="343"/>
      <c r="BB54" s="343"/>
      <c r="BC54" s="343"/>
      <c r="BD54" s="343"/>
      <c r="BE54" s="343">
        <f>COUNT(BE12:BI48)</f>
        <v>84</v>
      </c>
      <c r="BF54" s="343"/>
      <c r="BG54" s="343"/>
      <c r="BH54" s="343"/>
      <c r="BI54" s="343"/>
      <c r="BJ54" s="343">
        <f>COUNT(BJ12:BK48)</f>
        <v>32</v>
      </c>
      <c r="BK54" s="343"/>
    </row>
    <row r="55" spans="18:67">
      <c r="AL55" s="343">
        <f t="shared" si="96"/>
        <v>6.6702025326489807</v>
      </c>
      <c r="AM55" s="399">
        <f t="shared" si="97"/>
        <v>8.122305112610956</v>
      </c>
      <c r="AU55" s="341"/>
      <c r="AV55" s="341"/>
      <c r="AW55" s="341"/>
      <c r="AX55" s="341"/>
      <c r="AY55" s="341"/>
      <c r="AZ55" s="341"/>
      <c r="BA55" s="341"/>
      <c r="BB55" s="341"/>
      <c r="BC55" s="341"/>
      <c r="BD55" s="341"/>
      <c r="BE55" s="341"/>
      <c r="BF55" s="341"/>
      <c r="BG55" s="341"/>
      <c r="BH55" s="341"/>
      <c r="BI55" s="341"/>
      <c r="BJ55" s="341"/>
      <c r="BK55" s="341"/>
    </row>
    <row r="56" spans="18:67">
      <c r="AL56" s="343">
        <f t="shared" si="96"/>
        <v>7.0343470000522395</v>
      </c>
      <c r="AM56" s="399">
        <f t="shared" si="97"/>
        <v>2.8989251712015829</v>
      </c>
      <c r="AU56" s="343"/>
      <c r="AV56" s="344" t="s">
        <v>361</v>
      </c>
      <c r="AW56" s="343"/>
      <c r="AX56" s="343"/>
      <c r="AY56" s="345">
        <f t="shared" ref="AY56:AZ58" si="98">+AY51/AY$54</f>
        <v>0.27586206896551724</v>
      </c>
      <c r="AZ56" s="345">
        <f t="shared" si="98"/>
        <v>2.4905660377358489</v>
      </c>
      <c r="BA56" s="345"/>
      <c r="BB56" s="345"/>
      <c r="BC56" s="345"/>
      <c r="BD56" s="345"/>
      <c r="BE56" s="345">
        <f>+BE51/BE$54</f>
        <v>1.2023809523809523</v>
      </c>
      <c r="BF56" s="345"/>
      <c r="BG56" s="345"/>
      <c r="BH56" s="345"/>
      <c r="BI56" s="345"/>
      <c r="BJ56" s="345">
        <f>+BJ51/BJ$54</f>
        <v>1.1875</v>
      </c>
      <c r="BK56" s="345"/>
    </row>
    <row r="57" spans="18:67">
      <c r="AL57" s="343">
        <f t="shared" si="96"/>
        <v>6.1938352206484071</v>
      </c>
      <c r="AM57" s="399">
        <f t="shared" si="97"/>
        <v>13.103453260493286</v>
      </c>
      <c r="AU57" s="343"/>
      <c r="AV57" s="344" t="s">
        <v>360</v>
      </c>
      <c r="AW57" s="343"/>
      <c r="AX57" s="343"/>
      <c r="AY57" s="345">
        <f t="shared" si="98"/>
        <v>0.27586206896551724</v>
      </c>
      <c r="AZ57" s="345">
        <f t="shared" si="98"/>
        <v>2.4905660377358489</v>
      </c>
      <c r="BA57" s="345"/>
      <c r="BB57" s="345"/>
      <c r="BC57" s="345"/>
      <c r="BD57" s="345"/>
      <c r="BE57" s="345">
        <f>+BE52/BE$54</f>
        <v>1.2023809523809523</v>
      </c>
      <c r="BF57" s="345"/>
      <c r="BG57" s="345"/>
      <c r="BH57" s="345"/>
      <c r="BI57" s="345"/>
      <c r="BJ57" s="345">
        <f>+BJ52/BJ$54</f>
        <v>1.1875</v>
      </c>
      <c r="BK57" s="345"/>
    </row>
    <row r="58" spans="18:67">
      <c r="AL58" s="343">
        <f t="shared" si="96"/>
        <v>5.0318837307846191</v>
      </c>
      <c r="AM58" s="399">
        <f t="shared" si="97"/>
        <v>5.5749766158004981</v>
      </c>
      <c r="AU58" s="341"/>
      <c r="AV58" s="342" t="s">
        <v>359</v>
      </c>
      <c r="AW58" s="341"/>
      <c r="AX58" s="341"/>
      <c r="AY58" s="346">
        <f t="shared" si="98"/>
        <v>0</v>
      </c>
      <c r="AZ58" s="346">
        <f t="shared" si="98"/>
        <v>0</v>
      </c>
      <c r="BA58" s="346"/>
      <c r="BB58" s="346"/>
      <c r="BC58" s="346"/>
      <c r="BD58" s="346"/>
      <c r="BE58" s="346">
        <f>+BE53/BE$54</f>
        <v>0</v>
      </c>
      <c r="BF58" s="346"/>
      <c r="BG58" s="346"/>
      <c r="BH58" s="346"/>
      <c r="BI58" s="346"/>
      <c r="BJ58" s="346">
        <f>+BJ53/BJ$54</f>
        <v>0</v>
      </c>
      <c r="BK58" s="346"/>
    </row>
    <row r="59" spans="18:67">
      <c r="AL59" s="343">
        <f t="shared" si="96"/>
        <v>5.9012076929826236</v>
      </c>
      <c r="AM59" s="399">
        <f t="shared" si="97"/>
        <v>14.98468425401024</v>
      </c>
    </row>
    <row r="60" spans="18:67">
      <c r="AL60" s="343">
        <f t="shared" si="96"/>
        <v>7.037560624120121</v>
      </c>
      <c r="AM60" s="399">
        <f t="shared" si="97"/>
        <v>15.369218173025647</v>
      </c>
    </row>
    <row r="61" spans="18:67">
      <c r="AL61" s="343">
        <f t="shared" si="96"/>
        <v>7.7815532476707201</v>
      </c>
      <c r="AM61" s="399">
        <f t="shared" si="97"/>
        <v>10.111871828781879</v>
      </c>
    </row>
    <row r="62" spans="18:67">
      <c r="AL62" s="343">
        <f t="shared" si="96"/>
        <v>9.2263146988898157</v>
      </c>
      <c r="AM62" s="399">
        <f t="shared" si="97"/>
        <v>10.660545647695299</v>
      </c>
    </row>
    <row r="63" spans="18:67">
      <c r="AL63" s="343">
        <f t="shared" si="96"/>
        <v>8.2715591360418586</v>
      </c>
      <c r="AM63" s="399">
        <f t="shared" si="97"/>
        <v>12.580387856822565</v>
      </c>
    </row>
    <row r="64" spans="18:67">
      <c r="AL64" s="343">
        <f t="shared" si="96"/>
        <v>4.8331028606063375</v>
      </c>
      <c r="AM64" s="399">
        <f t="shared" si="97"/>
        <v>13.276142807079696</v>
      </c>
    </row>
    <row r="65" spans="38:39">
      <c r="AL65" s="343">
        <f t="shared" si="96"/>
        <v>7.0254239476575693</v>
      </c>
      <c r="AM65" s="399">
        <f t="shared" si="97"/>
        <v>9.6251672857776995</v>
      </c>
    </row>
    <row r="66" spans="38:39">
      <c r="AL66" s="343">
        <f t="shared" si="96"/>
        <v>6.7740324071721032</v>
      </c>
      <c r="AM66" s="399">
        <f t="shared" si="97"/>
        <v>6.5390868588829418</v>
      </c>
    </row>
    <row r="67" spans="38:39">
      <c r="AL67" s="343">
        <f t="shared" si="96"/>
        <v>5.8624122931528291</v>
      </c>
      <c r="AM67" s="399">
        <f t="shared" si="97"/>
        <v>11.346282915817609</v>
      </c>
    </row>
    <row r="68" spans="38:39">
      <c r="AL68" s="343">
        <f t="shared" si="96"/>
        <v>6.1607492491454003</v>
      </c>
      <c r="AM68" s="399">
        <f t="shared" si="97"/>
        <v>10.873277254422383</v>
      </c>
    </row>
    <row r="69" spans="38:39">
      <c r="AL69" s="343">
        <f t="shared" si="96"/>
        <v>6.4100867206390237</v>
      </c>
      <c r="AM69" s="399">
        <f t="shared" si="97"/>
        <v>9.8907899358339648</v>
      </c>
    </row>
    <row r="70" spans="38:39">
      <c r="AL70" s="343">
        <f t="shared" si="96"/>
        <v>7.3031097799149505</v>
      </c>
      <c r="AM70" s="399">
        <f t="shared" si="97"/>
        <v>12.184566061063641</v>
      </c>
    </row>
    <row r="71" spans="38:39">
      <c r="AL71" s="343">
        <f t="shared" si="96"/>
        <v>7.0083619229672669</v>
      </c>
      <c r="AM71" s="399">
        <f t="shared" si="97"/>
        <v>10.387264988347717</v>
      </c>
    </row>
    <row r="72" spans="38:39">
      <c r="AL72" s="343">
        <f t="shared" si="96"/>
        <v>6.6455868348919038</v>
      </c>
      <c r="AM72" s="399">
        <f t="shared" si="97"/>
        <v>10.607022747167218</v>
      </c>
    </row>
    <row r="73" spans="38:39">
      <c r="AL73" s="343">
        <f t="shared" si="96"/>
        <v>7.47165387106278</v>
      </c>
      <c r="AM73" s="399">
        <f t="shared" si="97"/>
        <v>2.5966437843908388</v>
      </c>
    </row>
    <row r="74" spans="38:39">
      <c r="AL74" s="343">
        <f t="shared" si="96"/>
        <v>5.0783542808796307</v>
      </c>
      <c r="AM74" s="399">
        <f t="shared" si="97"/>
        <v>10.956762946439433</v>
      </c>
    </row>
    <row r="75" spans="38:39">
      <c r="AL75" s="343">
        <f t="shared" si="96"/>
        <v>8.4955630899694281</v>
      </c>
      <c r="AM75" s="399">
        <f t="shared" si="97"/>
        <v>12.008922129194689</v>
      </c>
    </row>
    <row r="76" spans="38:39">
      <c r="AL76" s="343">
        <f t="shared" si="96"/>
        <v>5.9066520801491738</v>
      </c>
      <c r="AM76" s="399">
        <f t="shared" si="97"/>
        <v>7.0651522011963914</v>
      </c>
    </row>
    <row r="77" spans="38:39">
      <c r="AL77" s="343">
        <f t="shared" si="96"/>
        <v>4.3609982939329219</v>
      </c>
      <c r="AM77" s="399">
        <f t="shared" si="97"/>
        <v>10.629389065903979</v>
      </c>
    </row>
    <row r="78" spans="38:39">
      <c r="AL78" s="343">
        <f t="shared" si="96"/>
        <v>6.4423333951346109</v>
      </c>
      <c r="AM78" s="399">
        <f t="shared" si="97"/>
        <v>6.5963923948755827</v>
      </c>
    </row>
    <row r="79" spans="38:39">
      <c r="AL79" s="343">
        <f t="shared" si="96"/>
        <v>5.2909062480085955</v>
      </c>
      <c r="AM79" s="399">
        <f t="shared" si="97"/>
        <v>12.307279276965918</v>
      </c>
    </row>
    <row r="80" spans="38:39">
      <c r="AL80" s="343">
        <f t="shared" si="96"/>
        <v>6.9845744788359312</v>
      </c>
      <c r="AM80" s="399">
        <f t="shared" si="97"/>
        <v>11.785119710766514</v>
      </c>
    </row>
    <row r="81" spans="38:39">
      <c r="AL81" s="343">
        <f t="shared" si="96"/>
        <v>5.44033424547428</v>
      </c>
      <c r="AM81" s="399">
        <f t="shared" si="97"/>
        <v>14.505058211202581</v>
      </c>
    </row>
    <row r="82" spans="38:39">
      <c r="AL82" s="343">
        <f t="shared" si="96"/>
        <v>9.4898981327462177</v>
      </c>
      <c r="AM82" s="399">
        <f t="shared" si="97"/>
        <v>4.7945055369785514</v>
      </c>
    </row>
    <row r="83" spans="38:39">
      <c r="AL83" s="343">
        <f t="shared" si="96"/>
        <v>8.0400567259558979</v>
      </c>
      <c r="AM83" s="399">
        <f t="shared" si="97"/>
        <v>8.8537353229737654</v>
      </c>
    </row>
    <row r="84" spans="38:39">
      <c r="AL84" s="343">
        <f t="shared" si="96"/>
        <v>5.8374211204187487</v>
      </c>
      <c r="AM84" s="399">
        <f t="shared" si="97"/>
        <v>4.6019570651062249</v>
      </c>
    </row>
    <row r="85" spans="38:39">
      <c r="AL85" s="343">
        <f t="shared" si="96"/>
        <v>6.5832138151826296</v>
      </c>
      <c r="AM85" s="399">
        <f t="shared" si="97"/>
        <v>5.0422194162139036</v>
      </c>
    </row>
    <row r="86" spans="38:39">
      <c r="AL86" s="343">
        <f t="shared" si="96"/>
        <v>7.3800490200556208</v>
      </c>
      <c r="AM86" s="399">
        <f t="shared" si="97"/>
        <v>10.322071265367416</v>
      </c>
    </row>
    <row r="87" spans="38:39">
      <c r="AL87" s="343">
        <f t="shared" si="96"/>
        <v>6.8439701433298277</v>
      </c>
      <c r="AM87" s="399">
        <f t="shared" si="97"/>
        <v>11.236407022827155</v>
      </c>
    </row>
  </sheetData>
  <dataConsolidate/>
  <mergeCells count="28">
    <mergeCell ref="AY10:BM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  <mergeCell ref="C5:H5"/>
    <mergeCell ref="Z5:AG5"/>
    <mergeCell ref="AQ5:AX5"/>
    <mergeCell ref="C6:H6"/>
    <mergeCell ref="Z6:AG6"/>
    <mergeCell ref="AQ6:AX6"/>
    <mergeCell ref="C3:H3"/>
    <mergeCell ref="Z3:AK3"/>
    <mergeCell ref="AQ3:BB3"/>
    <mergeCell ref="C4:H4"/>
    <mergeCell ref="Z4:AG4"/>
    <mergeCell ref="AQ4:AX4"/>
  </mergeCells>
  <conditionalFormatting sqref="AZ12:BI48">
    <cfRule type="dataBar" priority="7">
      <dataBar>
        <cfvo type="num" val="-0.3"/>
        <cfvo type="num" val="0.3"/>
        <color rgb="FF638EC6"/>
      </dataBar>
      <extLst>
        <ext xmlns:x14="http://schemas.microsoft.com/office/spreadsheetml/2009/9/main" uri="{B025F937-C7B1-47D3-B67F-A62EFF666E3E}">
          <x14:id>{E6AAE3D2-F84C-4546-8CB5-B49DB26E5D34}</x14:id>
        </ext>
      </extLst>
    </cfRule>
  </conditionalFormatting>
  <conditionalFormatting sqref="AY12:AY48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{BBA97EC3-B6CE-45B3-857A-4D944435390D}</x14:id>
        </ext>
      </extLst>
    </cfRule>
  </conditionalFormatting>
  <conditionalFormatting sqref="BN12:BN48">
    <cfRule type="expression" dxfId="7" priority="15">
      <formula>$BN12&gt;=BN$10</formula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{5AC15F7D-523D-43B4-830C-CF7A52D25F18}</x14:id>
        </ext>
      </extLst>
    </cfRule>
  </conditionalFormatting>
  <conditionalFormatting sqref="BO12:BO49">
    <cfRule type="expression" dxfId="6" priority="3">
      <formula>$BO12&gt;BO$10</formula>
    </cfRule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{EF1D86F5-7210-4190-9B05-08AA058BA2E7}</x14:id>
        </ext>
      </extLst>
    </cfRule>
  </conditionalFormatting>
  <dataValidations count="1">
    <dataValidation type="list" allowBlank="1" showInputMessage="1" showErrorMessage="1" sqref="X51 BO10">
      <formula1>YesNo</formula1>
    </dataValidation>
  </dataValidations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ignoredErrors>
    <ignoredError sqref="L12:U12 L13:U16 L17:U17 L18:U20 AW12:AX12 AW18:AX20 AW13:AX17 BA12:BD12 AW21:AX36 AW47:AX47 AW40:AX40 AW41:AX41 AW42:AX43 AI47:AK47 AI13:AJ16 AI12:AK12 AI23:AK46 AI21:AK22 AI18:AJ20 AG47 AR12:AT12 AR18:AT20 AR13:AT17 AI17:AJ17 AG12:AH12 AG23:AH46 AG17:AH17 AK17 AG13:AH16 AU13:AV16 AU17:AV17 AG18:AH20 AU18:AV20 AU12:AV12 AI48:AJ48 AH47 AK18:AK20 AG21:AH22 AU21:AV22 AU23:AV46 AK13:AK16 AU47:AV47 AW38:AX39 AW37:AX37 AL48:AT48 W12:AF12 W13:AF16 W17:AF17 W18:AF20 AW45:AX46 AW44:AX44 AR47:AT47 AR23:AT46 AR21:AT22 BF12:BI12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6AAE3D2-F84C-4546-8CB5-B49DB26E5D34}">
            <x14:dataBar minLength="0" maxLength="100" border="1" negativeBarBorderColorSameAsPositive="0">
              <x14:cfvo type="num">
                <xm:f>-0.3</xm:f>
              </x14:cfvo>
              <x14:cfvo type="num">
                <xm:f>0.3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AZ12:BI48</xm:sqref>
        </x14:conditionalFormatting>
        <x14:conditionalFormatting xmlns:xm="http://schemas.microsoft.com/office/excel/2006/main">
          <x14:cfRule type="dataBar" id="{BBA97EC3-B6CE-45B3-857A-4D944435390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AY12:AY48</xm:sqref>
        </x14:conditionalFormatting>
        <x14:conditionalFormatting xmlns:xm="http://schemas.microsoft.com/office/excel/2006/main">
          <x14:cfRule type="dataBar" id="{5AC15F7D-523D-43B4-830C-CF7A52D25F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BN12:BN48</xm:sqref>
        </x14:conditionalFormatting>
        <x14:conditionalFormatting xmlns:xm="http://schemas.microsoft.com/office/excel/2006/main">
          <x14:cfRule type="dataBar" id="{EF1D86F5-7210-4190-9B05-08AA058BA2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BO12:BO49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I12:I48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00B0F0"/>
    <pageSetUpPr fitToPage="1"/>
  </sheetPr>
  <dimension ref="A1:W57"/>
  <sheetViews>
    <sheetView showGridLines="0" tabSelected="1" topLeftCell="A4" zoomScaleNormal="100" workbookViewId="0">
      <selection activeCell="D17" sqref="D17"/>
    </sheetView>
  </sheetViews>
  <sheetFormatPr baseColWidth="10" defaultColWidth="11.5703125" defaultRowHeight="12.75"/>
  <cols>
    <col min="1" max="1" width="15.28515625" style="193" customWidth="1"/>
    <col min="2" max="2" width="9.42578125" style="193" customWidth="1"/>
    <col min="3" max="6" width="8.28515625" style="193" customWidth="1"/>
    <col min="7" max="7" width="8.85546875" style="193" customWidth="1"/>
    <col min="8" max="13" width="7" style="193" customWidth="1"/>
    <col min="14" max="14" width="6.7109375" style="193" hidden="1" customWidth="1"/>
    <col min="15" max="15" width="9.42578125" style="193" bestFit="1" customWidth="1"/>
    <col min="16" max="19" width="7.85546875" style="193" customWidth="1"/>
    <col min="20" max="256" width="11.5703125" style="193"/>
    <col min="257" max="257" width="14" style="193" bestFit="1" customWidth="1"/>
    <col min="258" max="262" width="8.28515625" style="193" customWidth="1"/>
    <col min="263" max="263" width="7.42578125" style="193" customWidth="1"/>
    <col min="264" max="269" width="7" style="193" customWidth="1"/>
    <col min="270" max="270" width="0" style="193" hidden="1" customWidth="1"/>
    <col min="271" max="271" width="9.42578125" style="193" bestFit="1" customWidth="1"/>
    <col min="272" max="275" width="7.85546875" style="193" customWidth="1"/>
    <col min="276" max="512" width="11.5703125" style="193"/>
    <col min="513" max="513" width="14" style="193" bestFit="1" customWidth="1"/>
    <col min="514" max="518" width="8.28515625" style="193" customWidth="1"/>
    <col min="519" max="519" width="7.42578125" style="193" customWidth="1"/>
    <col min="520" max="525" width="7" style="193" customWidth="1"/>
    <col min="526" max="526" width="0" style="193" hidden="1" customWidth="1"/>
    <col min="527" max="527" width="9.42578125" style="193" bestFit="1" customWidth="1"/>
    <col min="528" max="531" width="7.85546875" style="193" customWidth="1"/>
    <col min="532" max="768" width="11.5703125" style="193"/>
    <col min="769" max="769" width="14" style="193" bestFit="1" customWidth="1"/>
    <col min="770" max="774" width="8.28515625" style="193" customWidth="1"/>
    <col min="775" max="775" width="7.42578125" style="193" customWidth="1"/>
    <col min="776" max="781" width="7" style="193" customWidth="1"/>
    <col min="782" max="782" width="0" style="193" hidden="1" customWidth="1"/>
    <col min="783" max="783" width="9.42578125" style="193" bestFit="1" customWidth="1"/>
    <col min="784" max="787" width="7.85546875" style="193" customWidth="1"/>
    <col min="788" max="1024" width="11.5703125" style="193"/>
    <col min="1025" max="1025" width="14" style="193" bestFit="1" customWidth="1"/>
    <col min="1026" max="1030" width="8.28515625" style="193" customWidth="1"/>
    <col min="1031" max="1031" width="7.42578125" style="193" customWidth="1"/>
    <col min="1032" max="1037" width="7" style="193" customWidth="1"/>
    <col min="1038" max="1038" width="0" style="193" hidden="1" customWidth="1"/>
    <col min="1039" max="1039" width="9.42578125" style="193" bestFit="1" customWidth="1"/>
    <col min="1040" max="1043" width="7.85546875" style="193" customWidth="1"/>
    <col min="1044" max="1280" width="11.5703125" style="193"/>
    <col min="1281" max="1281" width="14" style="193" bestFit="1" customWidth="1"/>
    <col min="1282" max="1286" width="8.28515625" style="193" customWidth="1"/>
    <col min="1287" max="1287" width="7.42578125" style="193" customWidth="1"/>
    <col min="1288" max="1293" width="7" style="193" customWidth="1"/>
    <col min="1294" max="1294" width="0" style="193" hidden="1" customWidth="1"/>
    <col min="1295" max="1295" width="9.42578125" style="193" bestFit="1" customWidth="1"/>
    <col min="1296" max="1299" width="7.85546875" style="193" customWidth="1"/>
    <col min="1300" max="1536" width="11.5703125" style="193"/>
    <col min="1537" max="1537" width="14" style="193" bestFit="1" customWidth="1"/>
    <col min="1538" max="1542" width="8.28515625" style="193" customWidth="1"/>
    <col min="1543" max="1543" width="7.42578125" style="193" customWidth="1"/>
    <col min="1544" max="1549" width="7" style="193" customWidth="1"/>
    <col min="1550" max="1550" width="0" style="193" hidden="1" customWidth="1"/>
    <col min="1551" max="1551" width="9.42578125" style="193" bestFit="1" customWidth="1"/>
    <col min="1552" max="1555" width="7.85546875" style="193" customWidth="1"/>
    <col min="1556" max="1792" width="11.5703125" style="193"/>
    <col min="1793" max="1793" width="14" style="193" bestFit="1" customWidth="1"/>
    <col min="1794" max="1798" width="8.28515625" style="193" customWidth="1"/>
    <col min="1799" max="1799" width="7.42578125" style="193" customWidth="1"/>
    <col min="1800" max="1805" width="7" style="193" customWidth="1"/>
    <col min="1806" max="1806" width="0" style="193" hidden="1" customWidth="1"/>
    <col min="1807" max="1807" width="9.42578125" style="193" bestFit="1" customWidth="1"/>
    <col min="1808" max="1811" width="7.85546875" style="193" customWidth="1"/>
    <col min="1812" max="2048" width="11.5703125" style="193"/>
    <col min="2049" max="2049" width="14" style="193" bestFit="1" customWidth="1"/>
    <col min="2050" max="2054" width="8.28515625" style="193" customWidth="1"/>
    <col min="2055" max="2055" width="7.42578125" style="193" customWidth="1"/>
    <col min="2056" max="2061" width="7" style="193" customWidth="1"/>
    <col min="2062" max="2062" width="0" style="193" hidden="1" customWidth="1"/>
    <col min="2063" max="2063" width="9.42578125" style="193" bestFit="1" customWidth="1"/>
    <col min="2064" max="2067" width="7.85546875" style="193" customWidth="1"/>
    <col min="2068" max="2304" width="11.5703125" style="193"/>
    <col min="2305" max="2305" width="14" style="193" bestFit="1" customWidth="1"/>
    <col min="2306" max="2310" width="8.28515625" style="193" customWidth="1"/>
    <col min="2311" max="2311" width="7.42578125" style="193" customWidth="1"/>
    <col min="2312" max="2317" width="7" style="193" customWidth="1"/>
    <col min="2318" max="2318" width="0" style="193" hidden="1" customWidth="1"/>
    <col min="2319" max="2319" width="9.42578125" style="193" bestFit="1" customWidth="1"/>
    <col min="2320" max="2323" width="7.85546875" style="193" customWidth="1"/>
    <col min="2324" max="2560" width="11.5703125" style="193"/>
    <col min="2561" max="2561" width="14" style="193" bestFit="1" customWidth="1"/>
    <col min="2562" max="2566" width="8.28515625" style="193" customWidth="1"/>
    <col min="2567" max="2567" width="7.42578125" style="193" customWidth="1"/>
    <col min="2568" max="2573" width="7" style="193" customWidth="1"/>
    <col min="2574" max="2574" width="0" style="193" hidden="1" customWidth="1"/>
    <col min="2575" max="2575" width="9.42578125" style="193" bestFit="1" customWidth="1"/>
    <col min="2576" max="2579" width="7.85546875" style="193" customWidth="1"/>
    <col min="2580" max="2816" width="11.5703125" style="193"/>
    <col min="2817" max="2817" width="14" style="193" bestFit="1" customWidth="1"/>
    <col min="2818" max="2822" width="8.28515625" style="193" customWidth="1"/>
    <col min="2823" max="2823" width="7.42578125" style="193" customWidth="1"/>
    <col min="2824" max="2829" width="7" style="193" customWidth="1"/>
    <col min="2830" max="2830" width="0" style="193" hidden="1" customWidth="1"/>
    <col min="2831" max="2831" width="9.42578125" style="193" bestFit="1" customWidth="1"/>
    <col min="2832" max="2835" width="7.85546875" style="193" customWidth="1"/>
    <col min="2836" max="3072" width="11.5703125" style="193"/>
    <col min="3073" max="3073" width="14" style="193" bestFit="1" customWidth="1"/>
    <col min="3074" max="3078" width="8.28515625" style="193" customWidth="1"/>
    <col min="3079" max="3079" width="7.42578125" style="193" customWidth="1"/>
    <col min="3080" max="3085" width="7" style="193" customWidth="1"/>
    <col min="3086" max="3086" width="0" style="193" hidden="1" customWidth="1"/>
    <col min="3087" max="3087" width="9.42578125" style="193" bestFit="1" customWidth="1"/>
    <col min="3088" max="3091" width="7.85546875" style="193" customWidth="1"/>
    <col min="3092" max="3328" width="11.5703125" style="193"/>
    <col min="3329" max="3329" width="14" style="193" bestFit="1" customWidth="1"/>
    <col min="3330" max="3334" width="8.28515625" style="193" customWidth="1"/>
    <col min="3335" max="3335" width="7.42578125" style="193" customWidth="1"/>
    <col min="3336" max="3341" width="7" style="193" customWidth="1"/>
    <col min="3342" max="3342" width="0" style="193" hidden="1" customWidth="1"/>
    <col min="3343" max="3343" width="9.42578125" style="193" bestFit="1" customWidth="1"/>
    <col min="3344" max="3347" width="7.85546875" style="193" customWidth="1"/>
    <col min="3348" max="3584" width="11.5703125" style="193"/>
    <col min="3585" max="3585" width="14" style="193" bestFit="1" customWidth="1"/>
    <col min="3586" max="3590" width="8.28515625" style="193" customWidth="1"/>
    <col min="3591" max="3591" width="7.42578125" style="193" customWidth="1"/>
    <col min="3592" max="3597" width="7" style="193" customWidth="1"/>
    <col min="3598" max="3598" width="0" style="193" hidden="1" customWidth="1"/>
    <col min="3599" max="3599" width="9.42578125" style="193" bestFit="1" customWidth="1"/>
    <col min="3600" max="3603" width="7.85546875" style="193" customWidth="1"/>
    <col min="3604" max="3840" width="11.5703125" style="193"/>
    <col min="3841" max="3841" width="14" style="193" bestFit="1" customWidth="1"/>
    <col min="3842" max="3846" width="8.28515625" style="193" customWidth="1"/>
    <col min="3847" max="3847" width="7.42578125" style="193" customWidth="1"/>
    <col min="3848" max="3853" width="7" style="193" customWidth="1"/>
    <col min="3854" max="3854" width="0" style="193" hidden="1" customWidth="1"/>
    <col min="3855" max="3855" width="9.42578125" style="193" bestFit="1" customWidth="1"/>
    <col min="3856" max="3859" width="7.85546875" style="193" customWidth="1"/>
    <col min="3860" max="4096" width="11.5703125" style="193"/>
    <col min="4097" max="4097" width="14" style="193" bestFit="1" customWidth="1"/>
    <col min="4098" max="4102" width="8.28515625" style="193" customWidth="1"/>
    <col min="4103" max="4103" width="7.42578125" style="193" customWidth="1"/>
    <col min="4104" max="4109" width="7" style="193" customWidth="1"/>
    <col min="4110" max="4110" width="0" style="193" hidden="1" customWidth="1"/>
    <col min="4111" max="4111" width="9.42578125" style="193" bestFit="1" customWidth="1"/>
    <col min="4112" max="4115" width="7.85546875" style="193" customWidth="1"/>
    <col min="4116" max="4352" width="11.5703125" style="193"/>
    <col min="4353" max="4353" width="14" style="193" bestFit="1" customWidth="1"/>
    <col min="4354" max="4358" width="8.28515625" style="193" customWidth="1"/>
    <col min="4359" max="4359" width="7.42578125" style="193" customWidth="1"/>
    <col min="4360" max="4365" width="7" style="193" customWidth="1"/>
    <col min="4366" max="4366" width="0" style="193" hidden="1" customWidth="1"/>
    <col min="4367" max="4367" width="9.42578125" style="193" bestFit="1" customWidth="1"/>
    <col min="4368" max="4371" width="7.85546875" style="193" customWidth="1"/>
    <col min="4372" max="4608" width="11.5703125" style="193"/>
    <col min="4609" max="4609" width="14" style="193" bestFit="1" customWidth="1"/>
    <col min="4610" max="4614" width="8.28515625" style="193" customWidth="1"/>
    <col min="4615" max="4615" width="7.42578125" style="193" customWidth="1"/>
    <col min="4616" max="4621" width="7" style="193" customWidth="1"/>
    <col min="4622" max="4622" width="0" style="193" hidden="1" customWidth="1"/>
    <col min="4623" max="4623" width="9.42578125" style="193" bestFit="1" customWidth="1"/>
    <col min="4624" max="4627" width="7.85546875" style="193" customWidth="1"/>
    <col min="4628" max="4864" width="11.5703125" style="193"/>
    <col min="4865" max="4865" width="14" style="193" bestFit="1" customWidth="1"/>
    <col min="4866" max="4870" width="8.28515625" style="193" customWidth="1"/>
    <col min="4871" max="4871" width="7.42578125" style="193" customWidth="1"/>
    <col min="4872" max="4877" width="7" style="193" customWidth="1"/>
    <col min="4878" max="4878" width="0" style="193" hidden="1" customWidth="1"/>
    <col min="4879" max="4879" width="9.42578125" style="193" bestFit="1" customWidth="1"/>
    <col min="4880" max="4883" width="7.85546875" style="193" customWidth="1"/>
    <col min="4884" max="5120" width="11.5703125" style="193"/>
    <col min="5121" max="5121" width="14" style="193" bestFit="1" customWidth="1"/>
    <col min="5122" max="5126" width="8.28515625" style="193" customWidth="1"/>
    <col min="5127" max="5127" width="7.42578125" style="193" customWidth="1"/>
    <col min="5128" max="5133" width="7" style="193" customWidth="1"/>
    <col min="5134" max="5134" width="0" style="193" hidden="1" customWidth="1"/>
    <col min="5135" max="5135" width="9.42578125" style="193" bestFit="1" customWidth="1"/>
    <col min="5136" max="5139" width="7.85546875" style="193" customWidth="1"/>
    <col min="5140" max="5376" width="11.5703125" style="193"/>
    <col min="5377" max="5377" width="14" style="193" bestFit="1" customWidth="1"/>
    <col min="5378" max="5382" width="8.28515625" style="193" customWidth="1"/>
    <col min="5383" max="5383" width="7.42578125" style="193" customWidth="1"/>
    <col min="5384" max="5389" width="7" style="193" customWidth="1"/>
    <col min="5390" max="5390" width="0" style="193" hidden="1" customWidth="1"/>
    <col min="5391" max="5391" width="9.42578125" style="193" bestFit="1" customWidth="1"/>
    <col min="5392" max="5395" width="7.85546875" style="193" customWidth="1"/>
    <col min="5396" max="5632" width="11.5703125" style="193"/>
    <col min="5633" max="5633" width="14" style="193" bestFit="1" customWidth="1"/>
    <col min="5634" max="5638" width="8.28515625" style="193" customWidth="1"/>
    <col min="5639" max="5639" width="7.42578125" style="193" customWidth="1"/>
    <col min="5640" max="5645" width="7" style="193" customWidth="1"/>
    <col min="5646" max="5646" width="0" style="193" hidden="1" customWidth="1"/>
    <col min="5647" max="5647" width="9.42578125" style="193" bestFit="1" customWidth="1"/>
    <col min="5648" max="5651" width="7.85546875" style="193" customWidth="1"/>
    <col min="5652" max="5888" width="11.5703125" style="193"/>
    <col min="5889" max="5889" width="14" style="193" bestFit="1" customWidth="1"/>
    <col min="5890" max="5894" width="8.28515625" style="193" customWidth="1"/>
    <col min="5895" max="5895" width="7.42578125" style="193" customWidth="1"/>
    <col min="5896" max="5901" width="7" style="193" customWidth="1"/>
    <col min="5902" max="5902" width="0" style="193" hidden="1" customWidth="1"/>
    <col min="5903" max="5903" width="9.42578125" style="193" bestFit="1" customWidth="1"/>
    <col min="5904" max="5907" width="7.85546875" style="193" customWidth="1"/>
    <col min="5908" max="6144" width="11.5703125" style="193"/>
    <col min="6145" max="6145" width="14" style="193" bestFit="1" customWidth="1"/>
    <col min="6146" max="6150" width="8.28515625" style="193" customWidth="1"/>
    <col min="6151" max="6151" width="7.42578125" style="193" customWidth="1"/>
    <col min="6152" max="6157" width="7" style="193" customWidth="1"/>
    <col min="6158" max="6158" width="0" style="193" hidden="1" customWidth="1"/>
    <col min="6159" max="6159" width="9.42578125" style="193" bestFit="1" customWidth="1"/>
    <col min="6160" max="6163" width="7.85546875" style="193" customWidth="1"/>
    <col min="6164" max="6400" width="11.5703125" style="193"/>
    <col min="6401" max="6401" width="14" style="193" bestFit="1" customWidth="1"/>
    <col min="6402" max="6406" width="8.28515625" style="193" customWidth="1"/>
    <col min="6407" max="6407" width="7.42578125" style="193" customWidth="1"/>
    <col min="6408" max="6413" width="7" style="193" customWidth="1"/>
    <col min="6414" max="6414" width="0" style="193" hidden="1" customWidth="1"/>
    <col min="6415" max="6415" width="9.42578125" style="193" bestFit="1" customWidth="1"/>
    <col min="6416" max="6419" width="7.85546875" style="193" customWidth="1"/>
    <col min="6420" max="6656" width="11.5703125" style="193"/>
    <col min="6657" max="6657" width="14" style="193" bestFit="1" customWidth="1"/>
    <col min="6658" max="6662" width="8.28515625" style="193" customWidth="1"/>
    <col min="6663" max="6663" width="7.42578125" style="193" customWidth="1"/>
    <col min="6664" max="6669" width="7" style="193" customWidth="1"/>
    <col min="6670" max="6670" width="0" style="193" hidden="1" customWidth="1"/>
    <col min="6671" max="6671" width="9.42578125" style="193" bestFit="1" customWidth="1"/>
    <col min="6672" max="6675" width="7.85546875" style="193" customWidth="1"/>
    <col min="6676" max="6912" width="11.5703125" style="193"/>
    <col min="6913" max="6913" width="14" style="193" bestFit="1" customWidth="1"/>
    <col min="6914" max="6918" width="8.28515625" style="193" customWidth="1"/>
    <col min="6919" max="6919" width="7.42578125" style="193" customWidth="1"/>
    <col min="6920" max="6925" width="7" style="193" customWidth="1"/>
    <col min="6926" max="6926" width="0" style="193" hidden="1" customWidth="1"/>
    <col min="6927" max="6927" width="9.42578125" style="193" bestFit="1" customWidth="1"/>
    <col min="6928" max="6931" width="7.85546875" style="193" customWidth="1"/>
    <col min="6932" max="7168" width="11.5703125" style="193"/>
    <col min="7169" max="7169" width="14" style="193" bestFit="1" customWidth="1"/>
    <col min="7170" max="7174" width="8.28515625" style="193" customWidth="1"/>
    <col min="7175" max="7175" width="7.42578125" style="193" customWidth="1"/>
    <col min="7176" max="7181" width="7" style="193" customWidth="1"/>
    <col min="7182" max="7182" width="0" style="193" hidden="1" customWidth="1"/>
    <col min="7183" max="7183" width="9.42578125" style="193" bestFit="1" customWidth="1"/>
    <col min="7184" max="7187" width="7.85546875" style="193" customWidth="1"/>
    <col min="7188" max="7424" width="11.5703125" style="193"/>
    <col min="7425" max="7425" width="14" style="193" bestFit="1" customWidth="1"/>
    <col min="7426" max="7430" width="8.28515625" style="193" customWidth="1"/>
    <col min="7431" max="7431" width="7.42578125" style="193" customWidth="1"/>
    <col min="7432" max="7437" width="7" style="193" customWidth="1"/>
    <col min="7438" max="7438" width="0" style="193" hidden="1" customWidth="1"/>
    <col min="7439" max="7439" width="9.42578125" style="193" bestFit="1" customWidth="1"/>
    <col min="7440" max="7443" width="7.85546875" style="193" customWidth="1"/>
    <col min="7444" max="7680" width="11.5703125" style="193"/>
    <col min="7681" max="7681" width="14" style="193" bestFit="1" customWidth="1"/>
    <col min="7682" max="7686" width="8.28515625" style="193" customWidth="1"/>
    <col min="7687" max="7687" width="7.42578125" style="193" customWidth="1"/>
    <col min="7688" max="7693" width="7" style="193" customWidth="1"/>
    <col min="7694" max="7694" width="0" style="193" hidden="1" customWidth="1"/>
    <col min="7695" max="7695" width="9.42578125" style="193" bestFit="1" customWidth="1"/>
    <col min="7696" max="7699" width="7.85546875" style="193" customWidth="1"/>
    <col min="7700" max="7936" width="11.5703125" style="193"/>
    <col min="7937" max="7937" width="14" style="193" bestFit="1" customWidth="1"/>
    <col min="7938" max="7942" width="8.28515625" style="193" customWidth="1"/>
    <col min="7943" max="7943" width="7.42578125" style="193" customWidth="1"/>
    <col min="7944" max="7949" width="7" style="193" customWidth="1"/>
    <col min="7950" max="7950" width="0" style="193" hidden="1" customWidth="1"/>
    <col min="7951" max="7951" width="9.42578125" style="193" bestFit="1" customWidth="1"/>
    <col min="7952" max="7955" width="7.85546875" style="193" customWidth="1"/>
    <col min="7956" max="8192" width="11.5703125" style="193"/>
    <col min="8193" max="8193" width="14" style="193" bestFit="1" customWidth="1"/>
    <col min="8194" max="8198" width="8.28515625" style="193" customWidth="1"/>
    <col min="8199" max="8199" width="7.42578125" style="193" customWidth="1"/>
    <col min="8200" max="8205" width="7" style="193" customWidth="1"/>
    <col min="8206" max="8206" width="0" style="193" hidden="1" customWidth="1"/>
    <col min="8207" max="8207" width="9.42578125" style="193" bestFit="1" customWidth="1"/>
    <col min="8208" max="8211" width="7.85546875" style="193" customWidth="1"/>
    <col min="8212" max="8448" width="11.5703125" style="193"/>
    <col min="8449" max="8449" width="14" style="193" bestFit="1" customWidth="1"/>
    <col min="8450" max="8454" width="8.28515625" style="193" customWidth="1"/>
    <col min="8455" max="8455" width="7.42578125" style="193" customWidth="1"/>
    <col min="8456" max="8461" width="7" style="193" customWidth="1"/>
    <col min="8462" max="8462" width="0" style="193" hidden="1" customWidth="1"/>
    <col min="8463" max="8463" width="9.42578125" style="193" bestFit="1" customWidth="1"/>
    <col min="8464" max="8467" width="7.85546875" style="193" customWidth="1"/>
    <col min="8468" max="8704" width="11.5703125" style="193"/>
    <col min="8705" max="8705" width="14" style="193" bestFit="1" customWidth="1"/>
    <col min="8706" max="8710" width="8.28515625" style="193" customWidth="1"/>
    <col min="8711" max="8711" width="7.42578125" style="193" customWidth="1"/>
    <col min="8712" max="8717" width="7" style="193" customWidth="1"/>
    <col min="8718" max="8718" width="0" style="193" hidden="1" customWidth="1"/>
    <col min="8719" max="8719" width="9.42578125" style="193" bestFit="1" customWidth="1"/>
    <col min="8720" max="8723" width="7.85546875" style="193" customWidth="1"/>
    <col min="8724" max="8960" width="11.5703125" style="193"/>
    <col min="8961" max="8961" width="14" style="193" bestFit="1" customWidth="1"/>
    <col min="8962" max="8966" width="8.28515625" style="193" customWidth="1"/>
    <col min="8967" max="8967" width="7.42578125" style="193" customWidth="1"/>
    <col min="8968" max="8973" width="7" style="193" customWidth="1"/>
    <col min="8974" max="8974" width="0" style="193" hidden="1" customWidth="1"/>
    <col min="8975" max="8975" width="9.42578125" style="193" bestFit="1" customWidth="1"/>
    <col min="8976" max="8979" width="7.85546875" style="193" customWidth="1"/>
    <col min="8980" max="9216" width="11.5703125" style="193"/>
    <col min="9217" max="9217" width="14" style="193" bestFit="1" customWidth="1"/>
    <col min="9218" max="9222" width="8.28515625" style="193" customWidth="1"/>
    <col min="9223" max="9223" width="7.42578125" style="193" customWidth="1"/>
    <col min="9224" max="9229" width="7" style="193" customWidth="1"/>
    <col min="9230" max="9230" width="0" style="193" hidden="1" customWidth="1"/>
    <col min="9231" max="9231" width="9.42578125" style="193" bestFit="1" customWidth="1"/>
    <col min="9232" max="9235" width="7.85546875" style="193" customWidth="1"/>
    <col min="9236" max="9472" width="11.5703125" style="193"/>
    <col min="9473" max="9473" width="14" style="193" bestFit="1" customWidth="1"/>
    <col min="9474" max="9478" width="8.28515625" style="193" customWidth="1"/>
    <col min="9479" max="9479" width="7.42578125" style="193" customWidth="1"/>
    <col min="9480" max="9485" width="7" style="193" customWidth="1"/>
    <col min="9486" max="9486" width="0" style="193" hidden="1" customWidth="1"/>
    <col min="9487" max="9487" width="9.42578125" style="193" bestFit="1" customWidth="1"/>
    <col min="9488" max="9491" width="7.85546875" style="193" customWidth="1"/>
    <col min="9492" max="9728" width="11.5703125" style="193"/>
    <col min="9729" max="9729" width="14" style="193" bestFit="1" customWidth="1"/>
    <col min="9730" max="9734" width="8.28515625" style="193" customWidth="1"/>
    <col min="9735" max="9735" width="7.42578125" style="193" customWidth="1"/>
    <col min="9736" max="9741" width="7" style="193" customWidth="1"/>
    <col min="9742" max="9742" width="0" style="193" hidden="1" customWidth="1"/>
    <col min="9743" max="9743" width="9.42578125" style="193" bestFit="1" customWidth="1"/>
    <col min="9744" max="9747" width="7.85546875" style="193" customWidth="1"/>
    <col min="9748" max="9984" width="11.5703125" style="193"/>
    <col min="9985" max="9985" width="14" style="193" bestFit="1" customWidth="1"/>
    <col min="9986" max="9990" width="8.28515625" style="193" customWidth="1"/>
    <col min="9991" max="9991" width="7.42578125" style="193" customWidth="1"/>
    <col min="9992" max="9997" width="7" style="193" customWidth="1"/>
    <col min="9998" max="9998" width="0" style="193" hidden="1" customWidth="1"/>
    <col min="9999" max="9999" width="9.42578125" style="193" bestFit="1" customWidth="1"/>
    <col min="10000" max="10003" width="7.85546875" style="193" customWidth="1"/>
    <col min="10004" max="10240" width="11.5703125" style="193"/>
    <col min="10241" max="10241" width="14" style="193" bestFit="1" customWidth="1"/>
    <col min="10242" max="10246" width="8.28515625" style="193" customWidth="1"/>
    <col min="10247" max="10247" width="7.42578125" style="193" customWidth="1"/>
    <col min="10248" max="10253" width="7" style="193" customWidth="1"/>
    <col min="10254" max="10254" width="0" style="193" hidden="1" customWidth="1"/>
    <col min="10255" max="10255" width="9.42578125" style="193" bestFit="1" customWidth="1"/>
    <col min="10256" max="10259" width="7.85546875" style="193" customWidth="1"/>
    <col min="10260" max="10496" width="11.5703125" style="193"/>
    <col min="10497" max="10497" width="14" style="193" bestFit="1" customWidth="1"/>
    <col min="10498" max="10502" width="8.28515625" style="193" customWidth="1"/>
    <col min="10503" max="10503" width="7.42578125" style="193" customWidth="1"/>
    <col min="10504" max="10509" width="7" style="193" customWidth="1"/>
    <col min="10510" max="10510" width="0" style="193" hidden="1" customWidth="1"/>
    <col min="10511" max="10511" width="9.42578125" style="193" bestFit="1" customWidth="1"/>
    <col min="10512" max="10515" width="7.85546875" style="193" customWidth="1"/>
    <col min="10516" max="10752" width="11.5703125" style="193"/>
    <col min="10753" max="10753" width="14" style="193" bestFit="1" customWidth="1"/>
    <col min="10754" max="10758" width="8.28515625" style="193" customWidth="1"/>
    <col min="10759" max="10759" width="7.42578125" style="193" customWidth="1"/>
    <col min="10760" max="10765" width="7" style="193" customWidth="1"/>
    <col min="10766" max="10766" width="0" style="193" hidden="1" customWidth="1"/>
    <col min="10767" max="10767" width="9.42578125" style="193" bestFit="1" customWidth="1"/>
    <col min="10768" max="10771" width="7.85546875" style="193" customWidth="1"/>
    <col min="10772" max="11008" width="11.5703125" style="193"/>
    <col min="11009" max="11009" width="14" style="193" bestFit="1" customWidth="1"/>
    <col min="11010" max="11014" width="8.28515625" style="193" customWidth="1"/>
    <col min="11015" max="11015" width="7.42578125" style="193" customWidth="1"/>
    <col min="11016" max="11021" width="7" style="193" customWidth="1"/>
    <col min="11022" max="11022" width="0" style="193" hidden="1" customWidth="1"/>
    <col min="11023" max="11023" width="9.42578125" style="193" bestFit="1" customWidth="1"/>
    <col min="11024" max="11027" width="7.85546875" style="193" customWidth="1"/>
    <col min="11028" max="11264" width="11.5703125" style="193"/>
    <col min="11265" max="11265" width="14" style="193" bestFit="1" customWidth="1"/>
    <col min="11266" max="11270" width="8.28515625" style="193" customWidth="1"/>
    <col min="11271" max="11271" width="7.42578125" style="193" customWidth="1"/>
    <col min="11272" max="11277" width="7" style="193" customWidth="1"/>
    <col min="11278" max="11278" width="0" style="193" hidden="1" customWidth="1"/>
    <col min="11279" max="11279" width="9.42578125" style="193" bestFit="1" customWidth="1"/>
    <col min="11280" max="11283" width="7.85546875" style="193" customWidth="1"/>
    <col min="11284" max="11520" width="11.5703125" style="193"/>
    <col min="11521" max="11521" width="14" style="193" bestFit="1" customWidth="1"/>
    <col min="11522" max="11526" width="8.28515625" style="193" customWidth="1"/>
    <col min="11527" max="11527" width="7.42578125" style="193" customWidth="1"/>
    <col min="11528" max="11533" width="7" style="193" customWidth="1"/>
    <col min="11534" max="11534" width="0" style="193" hidden="1" customWidth="1"/>
    <col min="11535" max="11535" width="9.42578125" style="193" bestFit="1" customWidth="1"/>
    <col min="11536" max="11539" width="7.85546875" style="193" customWidth="1"/>
    <col min="11540" max="11776" width="11.5703125" style="193"/>
    <col min="11777" max="11777" width="14" style="193" bestFit="1" customWidth="1"/>
    <col min="11778" max="11782" width="8.28515625" style="193" customWidth="1"/>
    <col min="11783" max="11783" width="7.42578125" style="193" customWidth="1"/>
    <col min="11784" max="11789" width="7" style="193" customWidth="1"/>
    <col min="11790" max="11790" width="0" style="193" hidden="1" customWidth="1"/>
    <col min="11791" max="11791" width="9.42578125" style="193" bestFit="1" customWidth="1"/>
    <col min="11792" max="11795" width="7.85546875" style="193" customWidth="1"/>
    <col min="11796" max="12032" width="11.5703125" style="193"/>
    <col min="12033" max="12033" width="14" style="193" bestFit="1" customWidth="1"/>
    <col min="12034" max="12038" width="8.28515625" style="193" customWidth="1"/>
    <col min="12039" max="12039" width="7.42578125" style="193" customWidth="1"/>
    <col min="12040" max="12045" width="7" style="193" customWidth="1"/>
    <col min="12046" max="12046" width="0" style="193" hidden="1" customWidth="1"/>
    <col min="12047" max="12047" width="9.42578125" style="193" bestFit="1" customWidth="1"/>
    <col min="12048" max="12051" width="7.85546875" style="193" customWidth="1"/>
    <col min="12052" max="12288" width="11.5703125" style="193"/>
    <col min="12289" max="12289" width="14" style="193" bestFit="1" customWidth="1"/>
    <col min="12290" max="12294" width="8.28515625" style="193" customWidth="1"/>
    <col min="12295" max="12295" width="7.42578125" style="193" customWidth="1"/>
    <col min="12296" max="12301" width="7" style="193" customWidth="1"/>
    <col min="12302" max="12302" width="0" style="193" hidden="1" customWidth="1"/>
    <col min="12303" max="12303" width="9.42578125" style="193" bestFit="1" customWidth="1"/>
    <col min="12304" max="12307" width="7.85546875" style="193" customWidth="1"/>
    <col min="12308" max="12544" width="11.5703125" style="193"/>
    <col min="12545" max="12545" width="14" style="193" bestFit="1" customWidth="1"/>
    <col min="12546" max="12550" width="8.28515625" style="193" customWidth="1"/>
    <col min="12551" max="12551" width="7.42578125" style="193" customWidth="1"/>
    <col min="12552" max="12557" width="7" style="193" customWidth="1"/>
    <col min="12558" max="12558" width="0" style="193" hidden="1" customWidth="1"/>
    <col min="12559" max="12559" width="9.42578125" style="193" bestFit="1" customWidth="1"/>
    <col min="12560" max="12563" width="7.85546875" style="193" customWidth="1"/>
    <col min="12564" max="12800" width="11.5703125" style="193"/>
    <col min="12801" max="12801" width="14" style="193" bestFit="1" customWidth="1"/>
    <col min="12802" max="12806" width="8.28515625" style="193" customWidth="1"/>
    <col min="12807" max="12807" width="7.42578125" style="193" customWidth="1"/>
    <col min="12808" max="12813" width="7" style="193" customWidth="1"/>
    <col min="12814" max="12814" width="0" style="193" hidden="1" customWidth="1"/>
    <col min="12815" max="12815" width="9.42578125" style="193" bestFit="1" customWidth="1"/>
    <col min="12816" max="12819" width="7.85546875" style="193" customWidth="1"/>
    <col min="12820" max="13056" width="11.5703125" style="193"/>
    <col min="13057" max="13057" width="14" style="193" bestFit="1" customWidth="1"/>
    <col min="13058" max="13062" width="8.28515625" style="193" customWidth="1"/>
    <col min="13063" max="13063" width="7.42578125" style="193" customWidth="1"/>
    <col min="13064" max="13069" width="7" style="193" customWidth="1"/>
    <col min="13070" max="13070" width="0" style="193" hidden="1" customWidth="1"/>
    <col min="13071" max="13071" width="9.42578125" style="193" bestFit="1" customWidth="1"/>
    <col min="13072" max="13075" width="7.85546875" style="193" customWidth="1"/>
    <col min="13076" max="13312" width="11.5703125" style="193"/>
    <col min="13313" max="13313" width="14" style="193" bestFit="1" customWidth="1"/>
    <col min="13314" max="13318" width="8.28515625" style="193" customWidth="1"/>
    <col min="13319" max="13319" width="7.42578125" style="193" customWidth="1"/>
    <col min="13320" max="13325" width="7" style="193" customWidth="1"/>
    <col min="13326" max="13326" width="0" style="193" hidden="1" customWidth="1"/>
    <col min="13327" max="13327" width="9.42578125" style="193" bestFit="1" customWidth="1"/>
    <col min="13328" max="13331" width="7.85546875" style="193" customWidth="1"/>
    <col min="13332" max="13568" width="11.5703125" style="193"/>
    <col min="13569" max="13569" width="14" style="193" bestFit="1" customWidth="1"/>
    <col min="13570" max="13574" width="8.28515625" style="193" customWidth="1"/>
    <col min="13575" max="13575" width="7.42578125" style="193" customWidth="1"/>
    <col min="13576" max="13581" width="7" style="193" customWidth="1"/>
    <col min="13582" max="13582" width="0" style="193" hidden="1" customWidth="1"/>
    <col min="13583" max="13583" width="9.42578125" style="193" bestFit="1" customWidth="1"/>
    <col min="13584" max="13587" width="7.85546875" style="193" customWidth="1"/>
    <col min="13588" max="13824" width="11.5703125" style="193"/>
    <col min="13825" max="13825" width="14" style="193" bestFit="1" customWidth="1"/>
    <col min="13826" max="13830" width="8.28515625" style="193" customWidth="1"/>
    <col min="13831" max="13831" width="7.42578125" style="193" customWidth="1"/>
    <col min="13832" max="13837" width="7" style="193" customWidth="1"/>
    <col min="13838" max="13838" width="0" style="193" hidden="1" customWidth="1"/>
    <col min="13839" max="13839" width="9.42578125" style="193" bestFit="1" customWidth="1"/>
    <col min="13840" max="13843" width="7.85546875" style="193" customWidth="1"/>
    <col min="13844" max="14080" width="11.5703125" style="193"/>
    <col min="14081" max="14081" width="14" style="193" bestFit="1" customWidth="1"/>
    <col min="14082" max="14086" width="8.28515625" style="193" customWidth="1"/>
    <col min="14087" max="14087" width="7.42578125" style="193" customWidth="1"/>
    <col min="14088" max="14093" width="7" style="193" customWidth="1"/>
    <col min="14094" max="14094" width="0" style="193" hidden="1" customWidth="1"/>
    <col min="14095" max="14095" width="9.42578125" style="193" bestFit="1" customWidth="1"/>
    <col min="14096" max="14099" width="7.85546875" style="193" customWidth="1"/>
    <col min="14100" max="14336" width="11.5703125" style="193"/>
    <col min="14337" max="14337" width="14" style="193" bestFit="1" customWidth="1"/>
    <col min="14338" max="14342" width="8.28515625" style="193" customWidth="1"/>
    <col min="14343" max="14343" width="7.42578125" style="193" customWidth="1"/>
    <col min="14344" max="14349" width="7" style="193" customWidth="1"/>
    <col min="14350" max="14350" width="0" style="193" hidden="1" customWidth="1"/>
    <col min="14351" max="14351" width="9.42578125" style="193" bestFit="1" customWidth="1"/>
    <col min="14352" max="14355" width="7.85546875" style="193" customWidth="1"/>
    <col min="14356" max="14592" width="11.5703125" style="193"/>
    <col min="14593" max="14593" width="14" style="193" bestFit="1" customWidth="1"/>
    <col min="14594" max="14598" width="8.28515625" style="193" customWidth="1"/>
    <col min="14599" max="14599" width="7.42578125" style="193" customWidth="1"/>
    <col min="14600" max="14605" width="7" style="193" customWidth="1"/>
    <col min="14606" max="14606" width="0" style="193" hidden="1" customWidth="1"/>
    <col min="14607" max="14607" width="9.42578125" style="193" bestFit="1" customWidth="1"/>
    <col min="14608" max="14611" width="7.85546875" style="193" customWidth="1"/>
    <col min="14612" max="14848" width="11.5703125" style="193"/>
    <col min="14849" max="14849" width="14" style="193" bestFit="1" customWidth="1"/>
    <col min="14850" max="14854" width="8.28515625" style="193" customWidth="1"/>
    <col min="14855" max="14855" width="7.42578125" style="193" customWidth="1"/>
    <col min="14856" max="14861" width="7" style="193" customWidth="1"/>
    <col min="14862" max="14862" width="0" style="193" hidden="1" customWidth="1"/>
    <col min="14863" max="14863" width="9.42578125" style="193" bestFit="1" customWidth="1"/>
    <col min="14864" max="14867" width="7.85546875" style="193" customWidth="1"/>
    <col min="14868" max="15104" width="11.5703125" style="193"/>
    <col min="15105" max="15105" width="14" style="193" bestFit="1" customWidth="1"/>
    <col min="15106" max="15110" width="8.28515625" style="193" customWidth="1"/>
    <col min="15111" max="15111" width="7.42578125" style="193" customWidth="1"/>
    <col min="15112" max="15117" width="7" style="193" customWidth="1"/>
    <col min="15118" max="15118" width="0" style="193" hidden="1" customWidth="1"/>
    <col min="15119" max="15119" width="9.42578125" style="193" bestFit="1" customWidth="1"/>
    <col min="15120" max="15123" width="7.85546875" style="193" customWidth="1"/>
    <col min="15124" max="15360" width="11.5703125" style="193"/>
    <col min="15361" max="15361" width="14" style="193" bestFit="1" customWidth="1"/>
    <col min="15362" max="15366" width="8.28515625" style="193" customWidth="1"/>
    <col min="15367" max="15367" width="7.42578125" style="193" customWidth="1"/>
    <col min="15368" max="15373" width="7" style="193" customWidth="1"/>
    <col min="15374" max="15374" width="0" style="193" hidden="1" customWidth="1"/>
    <col min="15375" max="15375" width="9.42578125" style="193" bestFit="1" customWidth="1"/>
    <col min="15376" max="15379" width="7.85546875" style="193" customWidth="1"/>
    <col min="15380" max="15616" width="11.5703125" style="193"/>
    <col min="15617" max="15617" width="14" style="193" bestFit="1" customWidth="1"/>
    <col min="15618" max="15622" width="8.28515625" style="193" customWidth="1"/>
    <col min="15623" max="15623" width="7.42578125" style="193" customWidth="1"/>
    <col min="15624" max="15629" width="7" style="193" customWidth="1"/>
    <col min="15630" max="15630" width="0" style="193" hidden="1" customWidth="1"/>
    <col min="15631" max="15631" width="9.42578125" style="193" bestFit="1" customWidth="1"/>
    <col min="15632" max="15635" width="7.85546875" style="193" customWidth="1"/>
    <col min="15636" max="15872" width="11.5703125" style="193"/>
    <col min="15873" max="15873" width="14" style="193" bestFit="1" customWidth="1"/>
    <col min="15874" max="15878" width="8.28515625" style="193" customWidth="1"/>
    <col min="15879" max="15879" width="7.42578125" style="193" customWidth="1"/>
    <col min="15880" max="15885" width="7" style="193" customWidth="1"/>
    <col min="15886" max="15886" width="0" style="193" hidden="1" customWidth="1"/>
    <col min="15887" max="15887" width="9.42578125" style="193" bestFit="1" customWidth="1"/>
    <col min="15888" max="15891" width="7.85546875" style="193" customWidth="1"/>
    <col min="15892" max="16128" width="11.5703125" style="193"/>
    <col min="16129" max="16129" width="14" style="193" bestFit="1" customWidth="1"/>
    <col min="16130" max="16134" width="8.28515625" style="193" customWidth="1"/>
    <col min="16135" max="16135" width="7.42578125" style="193" customWidth="1"/>
    <col min="16136" max="16141" width="7" style="193" customWidth="1"/>
    <col min="16142" max="16142" width="0" style="193" hidden="1" customWidth="1"/>
    <col min="16143" max="16143" width="9.42578125" style="193" bestFit="1" customWidth="1"/>
    <col min="16144" max="16147" width="7.85546875" style="193" customWidth="1"/>
    <col min="16148" max="16384" width="11.5703125" style="193"/>
  </cols>
  <sheetData>
    <row r="1" spans="1:23" s="191" customFormat="1" ht="51" customHeight="1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6" t="str">
        <f>IF(R1="English","Appendix:","Priloga:")</f>
        <v>Appendix:</v>
      </c>
      <c r="M1" s="187" t="s">
        <v>328</v>
      </c>
      <c r="N1" s="185"/>
      <c r="O1" s="188" t="s">
        <v>329</v>
      </c>
      <c r="P1" s="185"/>
      <c r="Q1" s="189" t="s">
        <v>330</v>
      </c>
      <c r="R1" s="190" t="s">
        <v>331</v>
      </c>
      <c r="S1" s="185"/>
      <c r="T1" s="185"/>
      <c r="U1" s="185"/>
      <c r="V1" s="185"/>
      <c r="W1" s="185"/>
    </row>
    <row r="2" spans="1:23" ht="51.75" customHeight="1">
      <c r="A2" s="430" t="str">
        <f>IF(R1="English","Accuracy Calculation according to the European Specifications for WIM (COST 323)","Račun točnosti po Evropskih specifikacijah za WIM meritve (COST 323)")</f>
        <v>Accuracy Calculation according to the European Specifications for WIM (COST 323)</v>
      </c>
      <c r="B2" s="430" t="str">
        <f>IF([1]Import!$B$4="English","Site:","Lokacija:")</f>
        <v>Site:</v>
      </c>
      <c r="C2" s="430" t="str">
        <f>IF([1]Import!$B$4="English","Site:","Lokacija:")</f>
        <v>Site:</v>
      </c>
      <c r="D2" s="430" t="str">
        <f>IF([1]Import!$B$4="English","Site:","Lokacija:")</f>
        <v>Site:</v>
      </c>
      <c r="E2" s="430" t="str">
        <f>IF([1]Import!$B$4="English","Site:","Lokacija:")</f>
        <v>Site:</v>
      </c>
      <c r="F2" s="430" t="str">
        <f>IF([1]Import!$B$4="English","Site:","Lokacija:")</f>
        <v>Site:</v>
      </c>
      <c r="G2" s="430" t="str">
        <f>IF([1]Import!$B$4="English","Site:","Lokacija:")</f>
        <v>Site:</v>
      </c>
      <c r="H2" s="430" t="str">
        <f>IF([1]Import!$B$4="English","Site:","Lokacija:")</f>
        <v>Site:</v>
      </c>
      <c r="I2" s="430" t="str">
        <f>IF([1]Import!$B$4="English","Site:","Lokacija:")</f>
        <v>Site:</v>
      </c>
      <c r="J2" s="430" t="str">
        <f>IF([1]Import!$B$4="English","Site:","Lokacija:")</f>
        <v>Site:</v>
      </c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</row>
    <row r="3" spans="1:23" ht="50.25" customHeight="1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</row>
    <row r="4" spans="1:23" ht="18" customHeight="1">
      <c r="A4" s="194" t="str">
        <f>IF(R1="English","Site:","Lokacija:")</f>
        <v>Site:</v>
      </c>
      <c r="B4" s="194"/>
      <c r="C4" s="195"/>
      <c r="D4" s="431"/>
      <c r="E4" s="431"/>
      <c r="F4" s="431"/>
      <c r="G4" s="431"/>
      <c r="H4" s="194" t="str">
        <f>IF(R1="English","Road Section:","Cestni odsek:")</f>
        <v>Road Section:</v>
      </c>
      <c r="I4" s="194"/>
      <c r="J4" s="432"/>
      <c r="K4" s="432"/>
      <c r="L4" s="432"/>
      <c r="M4" s="432"/>
      <c r="N4" s="432"/>
      <c r="O4" s="432"/>
      <c r="P4" s="192"/>
      <c r="Q4" s="192"/>
      <c r="R4" s="192"/>
      <c r="S4" s="439"/>
      <c r="T4" s="439"/>
      <c r="U4" s="439"/>
      <c r="V4" s="192"/>
      <c r="W4" s="192"/>
    </row>
    <row r="5" spans="1:23" ht="18" customHeight="1">
      <c r="A5" s="194" t="str">
        <f>IF(R1="English","Lane:","Prometni pas:")</f>
        <v>Lane:</v>
      </c>
      <c r="B5" s="194"/>
      <c r="C5" s="196"/>
      <c r="D5" s="195"/>
      <c r="E5" s="194"/>
      <c r="F5" s="194"/>
      <c r="G5" s="194"/>
      <c r="H5" s="194" t="str">
        <f>IF(R1="English","Direction to:","Smer proti:")</f>
        <v>Direction to:</v>
      </c>
      <c r="I5" s="194"/>
      <c r="J5" s="431"/>
      <c r="K5" s="431"/>
      <c r="L5" s="431"/>
      <c r="M5" s="431"/>
      <c r="N5" s="431"/>
      <c r="O5" s="431"/>
      <c r="P5" s="192"/>
      <c r="Q5" s="197"/>
      <c r="R5" s="197"/>
      <c r="S5" s="197"/>
      <c r="T5" s="197"/>
      <c r="U5" s="197"/>
      <c r="V5" s="192"/>
      <c r="W5" s="192"/>
    </row>
    <row r="6" spans="1:23" ht="18" customHeight="1">
      <c r="A6" s="194" t="str">
        <f>IF(R1="English","Date(s) of measurement:","Datum(i) meritve:")</f>
        <v>Date(s) of measurement:</v>
      </c>
      <c r="B6" s="194"/>
      <c r="C6" s="198"/>
      <c r="D6" s="447">
        <v>42949</v>
      </c>
      <c r="E6" s="447"/>
      <c r="F6" s="447"/>
      <c r="G6" s="447">
        <v>42949</v>
      </c>
      <c r="H6" s="447"/>
      <c r="I6" s="447"/>
      <c r="J6" s="448"/>
      <c r="K6" s="448"/>
      <c r="L6" s="448"/>
      <c r="M6" s="199"/>
      <c r="N6" s="199"/>
      <c r="O6" s="194"/>
      <c r="P6" s="192"/>
      <c r="Q6" s="192"/>
      <c r="R6" s="192"/>
      <c r="S6" s="200"/>
      <c r="T6" s="200"/>
      <c r="U6" s="200"/>
      <c r="V6" s="192"/>
      <c r="W6" s="192"/>
    </row>
    <row r="7" spans="1:23" ht="18" customHeight="1">
      <c r="A7" s="194" t="str">
        <f>IF(R1="English","Test Conditions(1):","Pogoji testa(1):")</f>
        <v>Test Conditions(1):</v>
      </c>
      <c r="B7" s="194"/>
      <c r="C7" s="201" t="str">
        <f>VLOOKUP(D7,B42:O45,14,0)</f>
        <v>rr2</v>
      </c>
      <c r="D7" s="440" t="s">
        <v>332</v>
      </c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192"/>
      <c r="Q7" s="192"/>
      <c r="R7" s="192"/>
      <c r="S7" s="192"/>
      <c r="T7" s="192"/>
      <c r="U7" s="192"/>
      <c r="V7" s="192"/>
      <c r="W7" s="192"/>
    </row>
    <row r="8" spans="1:23" ht="18" customHeight="1">
      <c r="A8" s="194" t="str">
        <f>IF(R1="English","Environmental Conditions(2):","Pogoji okolja(2):")</f>
        <v>Environmental Conditions(2):</v>
      </c>
      <c r="B8" s="194"/>
      <c r="C8" s="201" t="str">
        <f>VLOOKUP(D8,B46:O48,14,0)</f>
        <v>I</v>
      </c>
      <c r="D8" s="440" t="s">
        <v>333</v>
      </c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192"/>
      <c r="Q8" s="192"/>
      <c r="R8" s="192"/>
      <c r="S8" s="192"/>
      <c r="T8" s="192"/>
      <c r="U8" s="192"/>
      <c r="V8" s="192"/>
      <c r="W8" s="192"/>
    </row>
    <row r="9" spans="1:23" ht="18" customHeight="1">
      <c r="A9" s="194" t="str">
        <f>IF(R1="English","Initial Calibration:","Začetna kalibracija:")</f>
        <v>Initial Calibration:</v>
      </c>
      <c r="B9" s="194"/>
      <c r="C9" s="202" t="b">
        <v>1</v>
      </c>
      <c r="D9" s="194" t="s">
        <v>334</v>
      </c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2"/>
      <c r="Q9" s="192"/>
      <c r="R9" s="192"/>
      <c r="S9" s="192"/>
      <c r="T9" s="192"/>
      <c r="U9" s="192"/>
      <c r="V9" s="192"/>
      <c r="W9" s="192"/>
    </row>
    <row r="10" spans="1:23" ht="36" customHeight="1" thickBot="1">
      <c r="A10" s="194" t="s">
        <v>335</v>
      </c>
      <c r="B10" s="203"/>
      <c r="C10" s="204"/>
      <c r="D10" s="205" t="s">
        <v>336</v>
      </c>
      <c r="E10" s="206"/>
      <c r="F10" s="207"/>
      <c r="G10" s="208"/>
      <c r="H10" s="207"/>
      <c r="I10" s="207"/>
      <c r="J10" s="207"/>
      <c r="K10" s="207"/>
      <c r="L10" s="207"/>
      <c r="M10" s="207"/>
      <c r="N10" s="207"/>
      <c r="O10" s="209"/>
      <c r="P10" s="192"/>
      <c r="Q10" s="210"/>
      <c r="R10" s="192"/>
      <c r="S10" s="192"/>
      <c r="T10" s="192"/>
      <c r="U10" s="192"/>
      <c r="V10" s="192"/>
      <c r="W10" s="192"/>
    </row>
    <row r="11" spans="1:23" ht="18" customHeight="1">
      <c r="A11" s="441" t="str">
        <f>IF(R1="English","QUANTITY","KOLIČINA")</f>
        <v>QUANTITY</v>
      </c>
      <c r="B11" s="441" t="str">
        <f>IF(R1="English","Size","Število")</f>
        <v>Size</v>
      </c>
      <c r="C11" s="211" t="s">
        <v>337</v>
      </c>
      <c r="D11" s="212" t="str">
        <f>IF(R1="English","Mean","Sr. Vred.")</f>
        <v>Mean</v>
      </c>
      <c r="E11" s="212" t="str">
        <f>IF(R1="English","St.Dev.","St.Odk..")</f>
        <v>St.Dev.</v>
      </c>
      <c r="F11" s="213" t="s">
        <v>338</v>
      </c>
      <c r="G11" s="441" t="str">
        <f>IF(R1="English","Class","Razred")</f>
        <v>Class</v>
      </c>
      <c r="H11" s="214" t="s">
        <v>339</v>
      </c>
      <c r="I11" s="212" t="s">
        <v>340</v>
      </c>
      <c r="J11" s="215" t="s">
        <v>341</v>
      </c>
      <c r="K11" s="443" t="s">
        <v>342</v>
      </c>
      <c r="L11" s="216" t="s">
        <v>343</v>
      </c>
      <c r="M11" s="213" t="s">
        <v>344</v>
      </c>
      <c r="N11" s="217" t="s">
        <v>345</v>
      </c>
      <c r="O11" s="445" t="str">
        <f>IF(R1="English","Accepted Class","Privzeti Razred")</f>
        <v>Accepted Class</v>
      </c>
      <c r="P11" s="192"/>
      <c r="Q11" s="218"/>
      <c r="R11" s="192"/>
      <c r="S11" s="192"/>
      <c r="T11" s="192"/>
      <c r="U11" s="192"/>
      <c r="V11" s="192"/>
      <c r="W11" s="192"/>
    </row>
    <row r="12" spans="1:23" ht="15.75" thickBot="1">
      <c r="A12" s="442" t="str">
        <f>IF([1]Import!$B$4="English","Site:","Lokacija:")</f>
        <v>Site:</v>
      </c>
      <c r="B12" s="442" t="str">
        <f>IF([1]Import!$B$4="English","Site:","Lokacija:")</f>
        <v>Site:</v>
      </c>
      <c r="C12" s="219" t="s">
        <v>50</v>
      </c>
      <c r="D12" s="220" t="s">
        <v>50</v>
      </c>
      <c r="E12" s="220" t="s">
        <v>50</v>
      </c>
      <c r="F12" s="221" t="s">
        <v>50</v>
      </c>
      <c r="G12" s="442" t="str">
        <f>IF([1]Import!$B$4="English","Site:","Lokacija:")</f>
        <v>Site:</v>
      </c>
      <c r="H12" s="219" t="s">
        <v>50</v>
      </c>
      <c r="I12" s="220" t="s">
        <v>50</v>
      </c>
      <c r="J12" s="220" t="s">
        <v>50</v>
      </c>
      <c r="K12" s="444"/>
      <c r="L12" s="219" t="s">
        <v>50</v>
      </c>
      <c r="M12" s="221" t="s">
        <v>50</v>
      </c>
      <c r="N12" s="222" t="s">
        <v>50</v>
      </c>
      <c r="O12" s="446" t="str">
        <f>IF([1]Import!$B$4="English","Site:","Lokacija:")</f>
        <v>Site:</v>
      </c>
      <c r="P12" s="192"/>
      <c r="Q12" s="218"/>
      <c r="R12" s="192"/>
      <c r="S12" s="192"/>
      <c r="T12" s="192"/>
      <c r="U12" s="192"/>
      <c r="V12" s="192"/>
      <c r="W12" s="192"/>
    </row>
    <row r="13" spans="1:23" ht="15" customHeight="1" thickBot="1">
      <c r="A13" s="223" t="str">
        <f>IF(R1="English","GVW","Skupna masa")</f>
        <v>GVW</v>
      </c>
      <c r="B13" s="224">
        <f>Site_PLtraf_new_2!AY5</f>
        <v>29</v>
      </c>
      <c r="C13" s="225">
        <v>1</v>
      </c>
      <c r="D13" s="226">
        <f>Site_PLtraf_new_2!AY6*100</f>
        <v>-0.47447305853616323</v>
      </c>
      <c r="E13" s="227">
        <f>Site_PLtraf_new_2!AY7*100</f>
        <v>5.2806154298150361</v>
      </c>
      <c r="F13" s="228">
        <f>IF(D10&lt;&gt;"COST 323",D10*100,100*(2*NORMDIST(IF(C7="r1",2.675/IF($C$8="III",1.1,IF($C$8="II",1.05,1)),IF(C7="r2",2.36/IF($C$8="III",1.1,IF($C$8="II",1.05,1)),IF(C7="RR1",2.155/IF($C$8="III",1.1,IF($C$8="II",1.05,1)),IF(C7="RR2",2/IF($C$8="III",1.1,IF($C$8="II",1.05,1)),0))))-TINV(0.05,B13-1)/SQRT(B13),0,1,TRUE) -1))</f>
        <v>89.468614308904876</v>
      </c>
      <c r="G13" s="229" t="str">
        <f>IF(K13&lt;=5,CONCATENATE("A(",TEXT(K13,"0"),")"),IF(K13&lt;=7,CONCATENATE("B+(",TEXT(K13,"0"),")"),IF(K13&lt;=10,CONCATENATE("B(",TEXT(K13,"0"),")"),IF(K13&lt;=15,CONCATENATE("C(",TEXT(K13,"0"),")"),IF(K13&lt;=20,CONCATENATE("D+(",TEXT(K13,"0"),")"),IF(K13&lt;=25,CONCATENATE("D(",TEXT(K13,"0"),")"),CONCATENATE("E(",TEXT(K13,"0"),")")))))))</f>
        <v>C(15)</v>
      </c>
      <c r="H13" s="230">
        <f>K13*(1-$C$9*0.2)</f>
        <v>12</v>
      </c>
      <c r="I13" s="231">
        <v>10.880673198188807</v>
      </c>
      <c r="J13" s="232">
        <f>I13*IF(OR(D$9="No",D$9="Ne"),1,1.25)</f>
        <v>10.880673198188807</v>
      </c>
      <c r="K13" s="233">
        <f>IF(OR(J13&lt;=5,J13&gt;7),ROUNDUP((J13/5),0)*5,7)</f>
        <v>15</v>
      </c>
      <c r="L13" s="230">
        <f>100*(1-TDIST((I13/E13-D13/E13)-TINV(0.05,B13-1)/SQRT(B13),B13-1,1)-TDIST((I13/E13+D13/E13)-TINV(0.05,B13-1)/SQRT(B13),B13-1,1))</f>
        <v>89.468614308904861</v>
      </c>
      <c r="M13" s="234">
        <f>100*(1-TDIST((H13/E13-D13/E13)-TINV(0.05,B13-1)/SQRT(B13),B13-1,1)-TDIST((H13/E13+D13/E13)-TINV(0.05,B13-1)/SQRT(B13),B13-1,1))</f>
        <v>93.016746714838391</v>
      </c>
      <c r="N13" s="235"/>
      <c r="O13" s="436" t="str">
        <f>IF(MAX(K13:K16)&lt;=5,"A(5)",IF(MAX(K13:K16)&lt;=7,"B+(7)",IF(MAX(K13:K16)&lt;=10,"B(10)",IF(MAX(K13:K16)&lt;=15,"C(15)",IF(MAX(K13:K16)&lt;=20,"D+(20)",IF(MAX(K13:K16)&lt;=25,"D(25)",CONCATENATE("E(",MAX(K13:K16),")")))))))</f>
        <v>D+(20)</v>
      </c>
      <c r="P13" s="192"/>
      <c r="Q13" s="218"/>
      <c r="R13" s="192"/>
      <c r="S13" s="192"/>
      <c r="T13" s="192"/>
      <c r="U13" s="192"/>
      <c r="V13" s="192"/>
      <c r="W13" s="192"/>
    </row>
    <row r="14" spans="1:23" ht="15" customHeight="1">
      <c r="A14" s="236" t="str">
        <f>IF(R1="English","Axle Groups","Osi v zapregi")</f>
        <v>Axle Groups</v>
      </c>
      <c r="B14" s="237">
        <f>Site_PLtraf_new_2!BB5</f>
        <v>32</v>
      </c>
      <c r="C14" s="238">
        <v>1</v>
      </c>
      <c r="D14" s="239">
        <f>Site_PLtraf_new_2!BB6*100</f>
        <v>-2.6418593676913571</v>
      </c>
      <c r="E14" s="240">
        <f>Site_PLtraf_new_2!BB7*100</f>
        <v>7.9395324982708262</v>
      </c>
      <c r="F14" s="241">
        <f>IF(D$10&lt;&gt;"COST 323",D$10*100,100*(2*NORMDIST(IF(C$7="r1",2.675/IF($C$8="III",1.1,IF($C$8="II",1.05,1)),IF(C$7="r2",2.36/IF($C$8="III",1.1,IF($C$8="II",1.05,1)),IF(C$7="RR1",2.155/IF($C$8="III",1.1,IF($C$8="II",1.05,1)),IF(C$7="RR2",2/IF($C$8="III",1.1,IF($C$8="II",1.05,1)),0))))-TINV(0.05,B14-1)/SQRT(B14),0,1,TRUE) -1))</f>
        <v>89.888282851777504</v>
      </c>
      <c r="G14" s="242" t="str">
        <f>IF(K14&lt;=5,CONCATENATE("A(",TEXT(K14,"0"),")"),IF(K14&lt;=7,CONCATENATE("B+(",TEXT(K14,"0"),")"),IF(K14&lt;=10,CONCATENATE("B(",TEXT(K14,"0"),")"),IF(K14&lt;=15,CONCATENATE("C(",TEXT(K14,"0"),")"),IF(K14&lt;=20,CONCATENATE("D+(",TEXT(K14,"0"),")"),IF(K14&lt;=25,CONCATENATE("D(",TEXT(K14,"0"),")"),CONCATENATE("E(",TEXT(K14,"0"),")")))))))</f>
        <v>C(15)</v>
      </c>
      <c r="H14" s="243">
        <f>IF(K14&lt;7,K14/0.7,IF(K14&lt;30,K14+3,IF(K14&lt;35,K14*1.2-3,K14+4)))*(1-$C$9*0.2)</f>
        <v>14.4</v>
      </c>
      <c r="I14" s="244">
        <v>16.31940580747834</v>
      </c>
      <c r="J14" s="245">
        <f>IF(I14&lt;10,0.7*I14*IF(OR(D$9="No",D$9="Ne"),1,1.25),I14*IF(OR(D$9="No",D$9="Ne"),1,1.25)-3)</f>
        <v>13.31940580747834</v>
      </c>
      <c r="K14" s="246">
        <f>IF(OR(J14&lt;=5,J14&gt;7),ROUNDUP((J14/5),0)*5,7)</f>
        <v>15</v>
      </c>
      <c r="L14" s="243">
        <f>100*(1-TDIST((I14/E14-D14/E14)-TINV(0.05,B14-1)/SQRT(B14),B14-1,1)-TDIST((I14/E14+D14/E14)-TINV(0.05,B14-1)/SQRT(B14),B14-1,1))</f>
        <v>88.288861386565443</v>
      </c>
      <c r="M14" s="247">
        <f>100*(1-TDIST((H14/E14-D14/E14)-TINV(0.05,B14-1)/SQRT(B14),B14-1,1)-TDIST((H14/E14+D14/E14)-TINV(0.05,B14-1)/SQRT(B14),B14-1,1))</f>
        <v>82.248112914487777</v>
      </c>
      <c r="N14" s="248">
        <v>96.503494262695313</v>
      </c>
      <c r="O14" s="437"/>
      <c r="P14" s="249"/>
      <c r="Q14" s="218"/>
      <c r="R14" s="192"/>
      <c r="S14" s="192"/>
      <c r="T14" s="192"/>
      <c r="U14" s="192"/>
      <c r="V14" s="192"/>
      <c r="W14" s="192"/>
    </row>
    <row r="15" spans="1:23" ht="15" customHeight="1">
      <c r="A15" s="250" t="str">
        <f>IF(R1="English","Axles in Groups","Osi iz zaprege")</f>
        <v>Axles in Groups</v>
      </c>
      <c r="B15" s="237">
        <f>Site_PLtraf_new_2!BA5</f>
        <v>85</v>
      </c>
      <c r="C15" s="251">
        <v>1</v>
      </c>
      <c r="D15" s="239">
        <f>Site_PLtraf_new_2!BA6*100</f>
        <v>-1.7425981336629308</v>
      </c>
      <c r="E15" s="240">
        <f>Site_PLtraf_new_2!BA7*100</f>
        <v>7.9808884806855929</v>
      </c>
      <c r="F15" s="241">
        <f>IF(D$10&lt;&gt;"COST 323",D$10*100,100*(2*NORMDIST(IF(C$7="r1",2.675/IF($C$8="III",1.1,IF($C$8="II",1.05,1)),IF(C$7="r2",2.36/IF($C$8="III",1.1,IF($C$8="II",1.05,1)),IF(C$7="RR1",2.155/IF($C$8="III",1.1,IF($C$8="II",1.05,1)),IF(C$7="RR2",2/IF($C$8="III",1.1,IF($C$8="II",1.05,1)),0))))-TINV(0.05,B15-1)/SQRT(B15),0,1,TRUE) -1))</f>
        <v>92.562588132858977</v>
      </c>
      <c r="G15" s="252" t="str">
        <f>IF(K15&lt;=5,CONCATENATE("A(",TEXT(K15,"0"),")"),IF(K15&lt;=7,CONCATENATE("B+(",TEXT(K15,"0"),")"),IF(K15&lt;=10,CONCATENATE("B(",TEXT(K15,"0"),")"),IF(K15&lt;=15,CONCATENATE("C(",TEXT(K15,"0"),")"),IF(K15&lt;=20,CONCATENATE("D+(",TEXT(K15,"0"),")"),IF(K15&lt;=25,CONCATENATE("D(",TEXT(K15,"0"),")"),CONCATENATE("E(",TEXT(K15,"0"),")")))))))</f>
        <v>B(10)</v>
      </c>
      <c r="H15" s="253">
        <f>IF(K15&lt;10,2*K15,IF(K15&lt;25,K15+10,1.2*K15+5))*(1-$C$9*0.2)</f>
        <v>16</v>
      </c>
      <c r="I15" s="254">
        <v>16.141512437161172</v>
      </c>
      <c r="J15" s="255">
        <f>IF(I15&lt;20,I15*IF(OR(D$9="No",D$9="Ne"),1,1.25)/2,(I15*IF(OR(D$9="No",D$9="Ne"),1,1.25)-10))</f>
        <v>8.0707562185805859</v>
      </c>
      <c r="K15" s="256">
        <f>IF(OR(J15&lt;=5,J15&gt;7),ROUNDUP((J15/5),0)*5,7)</f>
        <v>10</v>
      </c>
      <c r="L15" s="253">
        <f>100*(1-TDIST((I15/E15-D15/E15)-TINV(0.05,B15-1)/SQRT(B15),B15-1,1)-TDIST((I15/E15+D15/E15)-TINV(0.05,B15-1)/SQRT(B15),B15-1,1))</f>
        <v>91.901985816318728</v>
      </c>
      <c r="M15" s="257">
        <f>100*(1-TDIST((H15/E15-D15/E15)-TINV(0.05,B15-1)/SQRT(B15),B15-1,1)-TDIST((H15/E15+D15/E15)-TINV(0.05,B15-1)/SQRT(B15),B15-1,1))</f>
        <v>91.604087010512984</v>
      </c>
      <c r="N15" s="258"/>
      <c r="O15" s="437"/>
      <c r="P15" s="249"/>
      <c r="Q15" s="218"/>
      <c r="R15" s="192"/>
      <c r="S15" s="192"/>
      <c r="T15" s="192"/>
      <c r="U15" s="192"/>
      <c r="V15" s="192"/>
      <c r="W15" s="192"/>
    </row>
    <row r="16" spans="1:23" ht="15" customHeight="1">
      <c r="A16" s="259" t="str">
        <f>IF(R1="English","Single Axles","Enojne osi")</f>
        <v>Single Axles</v>
      </c>
      <c r="B16" s="260">
        <f>Site_PLtraf_new_2!AZ5</f>
        <v>54</v>
      </c>
      <c r="C16" s="261">
        <v>1</v>
      </c>
      <c r="D16" s="262">
        <f>Site_PLtraf_new_2!AZ6*100</f>
        <v>1.3934692679043392</v>
      </c>
      <c r="E16" s="263">
        <f>Site_PLtraf_new_2!AZ7*100</f>
        <v>10.98442248144846</v>
      </c>
      <c r="F16" s="264">
        <f>IF(D10&lt;&gt;"COST 323",D10*100,100*(2*NORMDIST(IF(C7="r1",2.675/IF($C$8="III",1.1,IF($C$8="II",1.05,1)),IF(C7="r2",2.36/IF($C$8="III",1.1,IF($C$8="II",1.05,1)),IF(C7="RR1",2.155/IF($C$8="III",1.1,IF($C$8="II",1.05,1)),IF(C7="RR2",2/IF($C$8="III",1.1,IF($C$8="II",1.05,1)),0))))-TINV(0.05,B16-1)/SQRT(B16),0,1,TRUE) -1))</f>
        <v>91.584177234526635</v>
      </c>
      <c r="G16" s="265" t="str">
        <f>IF(K16&lt;=5,CONCATENATE("A(",TEXT(K16,"0"),")"),IF(K16&lt;=7,CONCATENATE("B+(",TEXT(K16,"0"),")"),IF(K16&lt;=10,CONCATENATE("B(",TEXT(K16,"0"),")"),IF(K16&lt;=15,CONCATENATE("C(",TEXT(K16,"0"),")"),IF(K16&lt;=20,CONCATENATE("D+(",TEXT(K16,"0"),")"),IF(K16&lt;=25,CONCATENATE("D(",TEXT(K16,"0"),")"),CONCATENATE("E(",TEXT(K16,"0"),")")))))))</f>
        <v>D+(20)</v>
      </c>
      <c r="H16" s="266">
        <f>IF(K16&lt;10,K16*(85-K16)/50,IF(K16&lt;25,K16+5,6*K16/5))*(1-$C$9*0.2)</f>
        <v>20</v>
      </c>
      <c r="I16" s="267">
        <v>22.33203129434132</v>
      </c>
      <c r="J16" s="268">
        <f>IF(I16&lt;15,I16*(I16*IF(OR(D$9="No",D$9="Ne"),1,1.25)+97)*IF(OR(D$9="No",D$9="Ne"),1,1.25)/168,I16*IF(OR(D$9="No",D$9="Ne"),1,1.25)-5)</f>
        <v>17.33203129434132</v>
      </c>
      <c r="K16" s="221">
        <f>IF(OR(J16&lt;=5,J16&gt;7),ROUNDUP((J16/5),0)*5,7)</f>
        <v>20</v>
      </c>
      <c r="L16" s="266">
        <f>100*(1-TDIST((I16/E16-D16/E16)-TINV(0.05,B16-1)/SQRT(B16),B16-1,1)-TDIST((I16/E16+D16/E16)-TINV(0.05,B16-1)/SQRT(B16),B16-1,1))</f>
        <v>91.350582387799278</v>
      </c>
      <c r="M16" s="269">
        <f>100*(1-TDIST((H16/E16-D16/E16)-TINV(0.05,B16-1)/SQRT(B16),B16-1,1)-TDIST((H16/E16+D16/E16)-TINV(0.05,B16-1)/SQRT(B16),B16-1,1))</f>
        <v>86.946121655034773</v>
      </c>
      <c r="N16" s="258">
        <v>96.943229675292969</v>
      </c>
      <c r="O16" s="438"/>
      <c r="P16" s="192"/>
      <c r="Q16" s="218"/>
      <c r="R16" s="192"/>
      <c r="S16" s="192"/>
      <c r="T16" s="192"/>
      <c r="U16" s="192"/>
      <c r="V16" s="192"/>
      <c r="W16" s="192"/>
    </row>
    <row r="17" spans="1:23" ht="15" customHeight="1">
      <c r="A17" s="270" t="s">
        <v>346</v>
      </c>
      <c r="B17" s="271">
        <v>10</v>
      </c>
      <c r="C17" s="272">
        <v>100</v>
      </c>
      <c r="D17" s="273">
        <v>0</v>
      </c>
      <c r="E17" s="273">
        <v>1E-3</v>
      </c>
      <c r="F17" s="274">
        <f>100*(2*NORMDIST(IF(C7="r1",2.675/IF($C$8="III",1.1,IF($C$8="II",1.05,1)),IF(C7="r2",2.36/IF($C$8="III",1.1,IF($C$8="II",1.05,1)),IF(C7="RR1",2.155/IF($C$8="III",1.1,IF($C$8="II",1.05,1)),IF(C7="RR2",2/IF($C$8="III",1.1,IF($C$8="II",1.05,1)),0))))-TINV(0.05,B17-1)/SQRT(B17),0,1,TRUE) -1)</f>
        <v>80.108296770730277</v>
      </c>
      <c r="G17" s="275" t="str">
        <f>IF(K17&lt;=5,CONCATENATE("A(",TEXT(K17,"0"),")"),IF(K17&lt;=7,CONCATENATE("B+(",TEXT(K17,"0"),")"),IF(K17&lt;=10,CONCATENATE("B(",TEXT(K17,"0"),")"),IF(K17&lt;=15,CONCATENATE("C(",TEXT(K17,"0"),")"),IF(K17&lt;=20,CONCATENATE("D+(",TEXT(K17,"0"),")"),IF(K17&lt;=25,CONCATENATE("D(",TEXT(K17,"0"),")"),CONCATENATE("E(",TEXT(K17,"0"),")")))))))</f>
        <v>A(5)</v>
      </c>
      <c r="H17" s="274">
        <f>IF(K17&lt;10,2*K17,IF(K17&lt;25,K17+10,6*K17/5+5))*IF(C$9=FALSE,1,0.8)</f>
        <v>8</v>
      </c>
      <c r="I17" s="272">
        <v>6.8676884948542378</v>
      </c>
      <c r="J17" s="274">
        <f>IF(I17&lt;20,I17*IF(C$9=FALSE,1,1.25)/2,(I17*IF(C$9=FALSE,1,1.25)-10))</f>
        <v>4.2923053092838988</v>
      </c>
      <c r="K17" s="276">
        <f>IF(OR(J17&lt;=5,J17&gt;7),ROUNDUP((J17/5),0)*5,7)</f>
        <v>5</v>
      </c>
      <c r="L17" s="274">
        <f>100*(1-TDIST((I17/E17-D17/E17)-TINV(0.05,B17-1)/SQRT(B17),B17-1,1)-TDIST((I17/E17+D17/E17)-TINV(0.05,B17-1)/SQRT(B17),B17-1,1))</f>
        <v>100</v>
      </c>
      <c r="M17" s="274">
        <f>100*(1-TDIST((H17/E17-D17/E17)-TINV(0.05,B17-1)/SQRT(B17),B17-1,1)-TDIST((H17/E17+D17/E17)-TINV(0.05,B17-1)/SQRT(B17),B17-1,1))</f>
        <v>100</v>
      </c>
      <c r="N17" s="274">
        <v>95.904441833496094</v>
      </c>
      <c r="O17" s="275"/>
      <c r="P17" s="192"/>
      <c r="Q17" s="218" t="b">
        <v>1</v>
      </c>
      <c r="R17" s="192"/>
      <c r="S17" s="192"/>
      <c r="T17" s="192"/>
      <c r="U17" s="192"/>
      <c r="V17" s="192"/>
      <c r="W17" s="192"/>
    </row>
    <row r="18" spans="1:23" ht="30.75" customHeight="1">
      <c r="A18" s="277"/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218"/>
      <c r="R18" s="192"/>
      <c r="S18" s="192"/>
      <c r="T18" s="192"/>
      <c r="U18" s="192"/>
      <c r="V18" s="192"/>
      <c r="W18" s="192"/>
    </row>
    <row r="19" spans="1:23">
      <c r="A19" s="192"/>
      <c r="B19" s="192"/>
      <c r="C19" s="192"/>
      <c r="D19" s="192"/>
      <c r="E19" s="278"/>
      <c r="F19" s="279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</row>
    <row r="20" spans="1:23">
      <c r="A20" s="192"/>
      <c r="B20" s="192"/>
      <c r="C20" s="192"/>
      <c r="D20" s="192"/>
      <c r="E20" s="278"/>
      <c r="F20" s="279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</row>
    <row r="21" spans="1:23">
      <c r="A21" s="192"/>
      <c r="B21" s="192"/>
      <c r="C21" s="192"/>
      <c r="D21" s="192"/>
      <c r="E21" s="192"/>
      <c r="F21" s="279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</row>
    <row r="22" spans="1:23">
      <c r="A22" s="192"/>
      <c r="B22" s="192"/>
      <c r="C22" s="192"/>
      <c r="D22" s="192"/>
      <c r="E22" s="192"/>
      <c r="F22" s="280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</row>
    <row r="23" spans="1:23">
      <c r="A23" s="192"/>
      <c r="B23" s="192"/>
      <c r="C23" s="192"/>
      <c r="D23" s="192"/>
      <c r="E23" s="192"/>
      <c r="F23" s="280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</row>
    <row r="24" spans="1:23">
      <c r="A24" s="192"/>
      <c r="B24" s="192"/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</row>
    <row r="25" spans="1:23">
      <c r="A25" s="192"/>
      <c r="B25" s="192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</row>
    <row r="26" spans="1:23">
      <c r="A26" s="192"/>
      <c r="B26" s="192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92"/>
      <c r="W26" s="192"/>
    </row>
    <row r="27" spans="1:23">
      <c r="A27" s="192"/>
      <c r="B27" s="192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</row>
    <row r="28" spans="1:23">
      <c r="A28" s="192"/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/>
    </row>
    <row r="29" spans="1:23">
      <c r="A29" s="192"/>
      <c r="B29" s="192"/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</row>
    <row r="30" spans="1:23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</row>
    <row r="31" spans="1:23">
      <c r="A31" s="192"/>
      <c r="B31" s="192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</row>
    <row r="32" spans="1:23">
      <c r="A32" s="192"/>
      <c r="B32" s="192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</row>
    <row r="33" spans="1:23">
      <c r="A33" s="192"/>
      <c r="B33" s="192"/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</row>
    <row r="34" spans="1:23">
      <c r="A34" s="192"/>
      <c r="B34" s="192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</row>
    <row r="35" spans="1:23">
      <c r="A35" s="192"/>
      <c r="B35" s="192"/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</row>
    <row r="36" spans="1:23">
      <c r="A36" s="192"/>
      <c r="B36" s="192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</row>
    <row r="37" spans="1:23">
      <c r="A37" s="192"/>
      <c r="B37" s="192"/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</row>
    <row r="38" spans="1:23">
      <c r="A38" s="192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</row>
    <row r="39" spans="1:23">
      <c r="A39" s="192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</row>
    <row r="40" spans="1:23">
      <c r="A40" s="192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</row>
    <row r="41" spans="1:23">
      <c r="A41" s="192"/>
      <c r="B41" s="192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</row>
    <row r="42" spans="1:23" ht="16.5" customHeight="1">
      <c r="A42" s="433" t="s">
        <v>347</v>
      </c>
      <c r="B42" s="389" t="s">
        <v>375</v>
      </c>
      <c r="C42" s="389"/>
      <c r="D42" s="389"/>
      <c r="E42" s="389"/>
      <c r="F42" s="389"/>
      <c r="G42" s="389"/>
      <c r="H42" s="389"/>
      <c r="I42" s="389"/>
      <c r="J42" s="389"/>
      <c r="K42" s="389"/>
      <c r="L42" s="389"/>
      <c r="M42" s="389"/>
      <c r="N42" s="281"/>
      <c r="O42" s="282" t="s">
        <v>327</v>
      </c>
      <c r="P42" s="192"/>
      <c r="Q42" s="192"/>
      <c r="R42" s="192"/>
      <c r="S42" s="192"/>
      <c r="T42" s="192"/>
      <c r="U42" s="192"/>
      <c r="V42" s="192"/>
      <c r="W42" s="192"/>
    </row>
    <row r="43" spans="1:23" ht="16.5" customHeight="1">
      <c r="A43" s="434"/>
      <c r="B43" s="390" t="s">
        <v>376</v>
      </c>
      <c r="C43" s="390"/>
      <c r="D43" s="390"/>
      <c r="E43" s="390"/>
      <c r="F43" s="390"/>
      <c r="G43" s="390"/>
      <c r="H43" s="390"/>
      <c r="I43" s="390"/>
      <c r="J43" s="390"/>
      <c r="K43" s="390"/>
      <c r="L43" s="390"/>
      <c r="M43" s="390"/>
      <c r="N43" s="283"/>
      <c r="O43" s="284" t="s">
        <v>348</v>
      </c>
      <c r="P43" s="192"/>
      <c r="Q43" s="192"/>
      <c r="R43" s="192"/>
      <c r="S43" s="192"/>
      <c r="T43" s="192"/>
      <c r="U43" s="192"/>
      <c r="V43" s="192"/>
      <c r="W43" s="192"/>
    </row>
    <row r="44" spans="1:23" ht="16.5" customHeight="1">
      <c r="A44" s="434"/>
      <c r="B44" s="390" t="s">
        <v>377</v>
      </c>
      <c r="C44" s="390"/>
      <c r="D44" s="390"/>
      <c r="E44" s="390"/>
      <c r="F44" s="390"/>
      <c r="G44" s="390"/>
      <c r="H44" s="390"/>
      <c r="I44" s="390"/>
      <c r="J44" s="390"/>
      <c r="K44" s="390"/>
      <c r="L44" s="390"/>
      <c r="M44" s="390"/>
      <c r="N44" s="283"/>
      <c r="O44" s="284" t="s">
        <v>349</v>
      </c>
      <c r="P44" s="192"/>
      <c r="Q44" s="192"/>
      <c r="R44" s="192"/>
      <c r="S44" s="192"/>
      <c r="T44" s="192"/>
      <c r="U44" s="192"/>
      <c r="V44" s="192"/>
      <c r="W44" s="192"/>
    </row>
    <row r="45" spans="1:23" ht="16.5" customHeight="1">
      <c r="A45" s="435"/>
      <c r="B45" s="391" t="s">
        <v>332</v>
      </c>
      <c r="C45" s="391"/>
      <c r="D45" s="391"/>
      <c r="E45" s="391"/>
      <c r="F45" s="391"/>
      <c r="G45" s="391"/>
      <c r="H45" s="391"/>
      <c r="I45" s="391"/>
      <c r="J45" s="391"/>
      <c r="K45" s="391"/>
      <c r="L45" s="391"/>
      <c r="M45" s="391"/>
      <c r="N45" s="285"/>
      <c r="O45" s="286" t="s">
        <v>37</v>
      </c>
      <c r="P45" s="192"/>
      <c r="Q45" s="192"/>
      <c r="R45" s="192"/>
      <c r="S45" s="192"/>
      <c r="T45" s="192"/>
      <c r="U45" s="192"/>
      <c r="V45" s="192"/>
      <c r="W45" s="192"/>
    </row>
    <row r="46" spans="1:23" ht="16.5" customHeight="1">
      <c r="A46" s="433" t="s">
        <v>350</v>
      </c>
      <c r="B46" s="389" t="s">
        <v>333</v>
      </c>
      <c r="C46" s="389"/>
      <c r="D46" s="389"/>
      <c r="E46" s="389"/>
      <c r="F46" s="389"/>
      <c r="G46" s="389"/>
      <c r="H46" s="389"/>
      <c r="I46" s="389"/>
      <c r="J46" s="389"/>
      <c r="K46" s="389"/>
      <c r="L46" s="389"/>
      <c r="M46" s="389"/>
      <c r="N46" s="281"/>
      <c r="O46" s="282" t="s">
        <v>38</v>
      </c>
      <c r="P46" s="192"/>
      <c r="Q46" s="192"/>
      <c r="R46" s="192"/>
      <c r="S46" s="192"/>
      <c r="T46" s="192"/>
      <c r="U46" s="192"/>
      <c r="V46" s="192"/>
      <c r="W46" s="192"/>
    </row>
    <row r="47" spans="1:23" ht="16.5" customHeight="1">
      <c r="A47" s="434"/>
      <c r="B47" s="390" t="s">
        <v>378</v>
      </c>
      <c r="C47" s="390"/>
      <c r="D47" s="390"/>
      <c r="E47" s="390"/>
      <c r="F47" s="390"/>
      <c r="G47" s="390"/>
      <c r="H47" s="390"/>
      <c r="I47" s="390"/>
      <c r="J47" s="390"/>
      <c r="K47" s="390"/>
      <c r="L47" s="390"/>
      <c r="M47" s="390"/>
      <c r="N47" s="283"/>
      <c r="O47" s="284" t="s">
        <v>351</v>
      </c>
      <c r="P47" s="192"/>
      <c r="Q47" s="192"/>
      <c r="R47" s="192"/>
      <c r="S47" s="192"/>
      <c r="T47" s="192"/>
      <c r="U47" s="192"/>
      <c r="V47" s="192"/>
      <c r="W47" s="192"/>
    </row>
    <row r="48" spans="1:23" ht="16.5" customHeight="1">
      <c r="A48" s="435"/>
      <c r="B48" s="391" t="s">
        <v>379</v>
      </c>
      <c r="C48" s="391"/>
      <c r="D48" s="391"/>
      <c r="E48" s="391"/>
      <c r="F48" s="391"/>
      <c r="G48" s="391"/>
      <c r="H48" s="391"/>
      <c r="I48" s="391"/>
      <c r="J48" s="391"/>
      <c r="K48" s="391"/>
      <c r="L48" s="391"/>
      <c r="M48" s="391"/>
      <c r="N48" s="285"/>
      <c r="O48" s="286" t="s">
        <v>352</v>
      </c>
      <c r="P48" s="192"/>
      <c r="Q48" s="192"/>
      <c r="R48" s="192"/>
      <c r="S48" s="192"/>
      <c r="T48" s="192"/>
      <c r="U48" s="192"/>
      <c r="V48" s="192"/>
      <c r="W48" s="192"/>
    </row>
    <row r="49" spans="1:23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</row>
    <row r="50" spans="1:23">
      <c r="A50" s="192"/>
      <c r="B50" s="192"/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</row>
    <row r="51" spans="1:23">
      <c r="A51" s="192"/>
      <c r="B51" s="192"/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</row>
    <row r="52" spans="1:23">
      <c r="A52" s="192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</row>
    <row r="53" spans="1:23">
      <c r="A53" s="192"/>
      <c r="B53" s="192"/>
      <c r="C53" s="192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</row>
    <row r="54" spans="1:23">
      <c r="A54" s="192"/>
      <c r="B54" s="192"/>
      <c r="C54" s="192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192"/>
      <c r="O54" s="192"/>
      <c r="P54" s="192"/>
      <c r="Q54" s="192"/>
      <c r="R54" s="192"/>
      <c r="S54" s="192"/>
      <c r="T54" s="192"/>
      <c r="U54" s="192"/>
      <c r="V54" s="192"/>
      <c r="W54" s="192"/>
    </row>
    <row r="56" spans="1:23" ht="15">
      <c r="A56" s="287"/>
    </row>
    <row r="57" spans="1:23" ht="15">
      <c r="A57" s="287"/>
    </row>
  </sheetData>
  <scenarios current="0">
    <scenario name="accur1" count="4" user="Bernard Jacob" comment="Créé par Bernard Jacob le 11/28/98">
      <inputCells r="I16" val="22.4272510621533"/>
      <inputCells r="I17" val="18.4903608949355"/>
      <inputCells r="I14" val="16.015615153721"/>
      <inputCells r="I13" val="19.6284274872054"/>
    </scenario>
  </scenarios>
  <mergeCells count="18">
    <mergeCell ref="S4:U4"/>
    <mergeCell ref="J5:O5"/>
    <mergeCell ref="D7:O7"/>
    <mergeCell ref="D8:O8"/>
    <mergeCell ref="A11:A12"/>
    <mergeCell ref="B11:B12"/>
    <mergeCell ref="G11:G12"/>
    <mergeCell ref="K11:K12"/>
    <mergeCell ref="O11:O12"/>
    <mergeCell ref="D6:F6"/>
    <mergeCell ref="G6:I6"/>
    <mergeCell ref="J6:L6"/>
    <mergeCell ref="A2:J2"/>
    <mergeCell ref="D4:G4"/>
    <mergeCell ref="J4:O4"/>
    <mergeCell ref="A46:A48"/>
    <mergeCell ref="O13:O16"/>
    <mergeCell ref="A42:A45"/>
  </mergeCells>
  <conditionalFormatting sqref="L13:L16">
    <cfRule type="expression" dxfId="5" priority="1" stopIfTrue="1">
      <formula>ABS($L13-$F13)&gt;0.001</formula>
    </cfRule>
  </conditionalFormatting>
  <dataValidations count="5">
    <dataValidation type="list" allowBlank="1" showInputMessage="1" showErrorMessage="1" sqref="R1">
      <formula1>Jezik</formula1>
    </dataValidation>
    <dataValidation type="list" allowBlank="1" showInputMessage="1" showErrorMessage="1" sqref="D10">
      <formula1>Interval</formula1>
    </dataValidation>
    <dataValidation type="list" allowBlank="1" showInputMessage="1" showErrorMessage="1" sqref="D9">
      <formula1>YesNo</formula1>
    </dataValidation>
    <dataValidation type="list" allowBlank="1" showInputMessage="1" showErrorMessage="1" sqref="D8:O8">
      <formula1>EnvironmentalConditions</formula1>
    </dataValidation>
    <dataValidation type="list" allowBlank="1" showInputMessage="1" showErrorMessage="1" sqref="D7:O7">
      <formula1>TestConditions</formula1>
    </dataValidation>
  </dataValidations>
  <printOptions horizontalCentered="1"/>
  <pageMargins left="0.78740157480314965" right="0.47244094488188981" top="0.38" bottom="0.9055118110236221" header="0.51181102362204722" footer="0.51181102362204722"/>
  <pageSetup paperSize="9" scale="87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B0F0"/>
    <pageSetUpPr fitToPage="1"/>
  </sheetPr>
  <dimension ref="A1:CA58"/>
  <sheetViews>
    <sheetView topLeftCell="A3" zoomScaleNormal="100" workbookViewId="0">
      <pane xSplit="1" ySplit="9" topLeftCell="J12" activePane="bottomRight" state="frozen"/>
      <selection activeCell="A3" sqref="A3"/>
      <selection pane="topRight" activeCell="B3" sqref="B3"/>
      <selection pane="bottomLeft" activeCell="A12" sqref="A12"/>
      <selection pane="bottomRight" activeCell="BO53" sqref="BO53"/>
    </sheetView>
  </sheetViews>
  <sheetFormatPr baseColWidth="10" defaultColWidth="11.5703125" defaultRowHeight="12.75"/>
  <cols>
    <col min="1" max="1" width="19.28515625" bestFit="1" customWidth="1"/>
    <col min="2" max="2" width="15.42578125" bestFit="1" customWidth="1"/>
    <col min="3" max="3" width="13.85546875" hidden="1" customWidth="1"/>
    <col min="4" max="4" width="9.7109375" customWidth="1"/>
    <col min="5" max="5" width="4.140625" customWidth="1"/>
    <col min="6" max="6" width="3.140625" hidden="1" customWidth="1"/>
    <col min="7" max="7" width="4" hidden="1" customWidth="1"/>
    <col min="8" max="8" width="4.85546875" hidden="1" customWidth="1"/>
    <col min="9" max="9" width="6.85546875" bestFit="1" customWidth="1"/>
    <col min="10" max="10" width="4.42578125" bestFit="1" customWidth="1"/>
    <col min="11" max="11" width="4.140625" hidden="1" customWidth="1"/>
    <col min="12" max="12" width="9.140625" customWidth="1"/>
    <col min="13" max="13" width="3.7109375" customWidth="1"/>
    <col min="14" max="15" width="3.5703125" customWidth="1"/>
    <col min="16" max="16" width="3.42578125" customWidth="1"/>
    <col min="17" max="17" width="4.42578125" customWidth="1"/>
    <col min="18" max="18" width="3.85546875" customWidth="1"/>
    <col min="19" max="19" width="3.7109375" hidden="1" customWidth="1"/>
    <col min="20" max="21" width="3.42578125" hidden="1" customWidth="1"/>
    <col min="22" max="22" width="2.85546875" bestFit="1" customWidth="1"/>
    <col min="23" max="23" width="5.28515625" customWidth="1"/>
    <col min="24" max="29" width="5.7109375" customWidth="1"/>
    <col min="30" max="30" width="5.7109375" hidden="1" customWidth="1"/>
    <col min="31" max="32" width="5" hidden="1" customWidth="1"/>
    <col min="33" max="33" width="7" customWidth="1"/>
    <col min="34" max="34" width="6.7109375" customWidth="1"/>
    <col min="35" max="35" width="7.140625" hidden="1" customWidth="1"/>
    <col min="36" max="36" width="6.5703125" hidden="1" customWidth="1"/>
    <col min="37" max="37" width="7.28515625" customWidth="1"/>
    <col min="38" max="42" width="5.140625" customWidth="1"/>
    <col min="43" max="43" width="4.7109375" customWidth="1"/>
    <col min="44" max="46" width="4.7109375" hidden="1" customWidth="1"/>
    <col min="47" max="48" width="4.85546875" bestFit="1" customWidth="1"/>
    <col min="49" max="49" width="6.140625" hidden="1" customWidth="1"/>
    <col min="50" max="50" width="3.85546875" hidden="1" customWidth="1"/>
    <col min="51" max="57" width="6.85546875" customWidth="1"/>
    <col min="58" max="58" width="7.140625" bestFit="1" customWidth="1"/>
    <col min="59" max="59" width="6.42578125" customWidth="1"/>
    <col min="60" max="60" width="6.85546875" bestFit="1" customWidth="1"/>
    <col min="61" max="61" width="6.42578125" customWidth="1"/>
    <col min="62" max="62" width="6.85546875" bestFit="1" customWidth="1"/>
    <col min="63" max="63" width="6.85546875" customWidth="1"/>
    <col min="64" max="65" width="12.7109375" hidden="1" customWidth="1"/>
    <col min="66" max="66" width="6.7109375" customWidth="1"/>
    <col min="67" max="67" width="7.140625" bestFit="1" customWidth="1"/>
  </cols>
  <sheetData>
    <row r="1" spans="1:79" s="77" customFormat="1" ht="11.25"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6"/>
    </row>
    <row r="2" spans="1:79" s="77" customFormat="1" ht="15">
      <c r="W2" s="78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</row>
    <row r="3" spans="1:79" s="77" customFormat="1" ht="24" customHeight="1">
      <c r="B3" s="153" t="s">
        <v>0</v>
      </c>
      <c r="C3" s="406" t="s">
        <v>283</v>
      </c>
      <c r="D3" s="406"/>
      <c r="E3" s="406"/>
      <c r="F3" s="406"/>
      <c r="G3" s="406"/>
      <c r="H3" s="406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Z3" s="421" t="s">
        <v>202</v>
      </c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3"/>
      <c r="AQ3" s="421" t="s">
        <v>196</v>
      </c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3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</row>
    <row r="4" spans="1:79" s="77" customFormat="1" ht="12.75" customHeight="1">
      <c r="B4" s="153" t="s">
        <v>1</v>
      </c>
      <c r="C4" s="406" t="s">
        <v>284</v>
      </c>
      <c r="D4" s="406"/>
      <c r="E4" s="406"/>
      <c r="F4" s="406"/>
      <c r="G4" s="406"/>
      <c r="H4" s="406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H4" s="66"/>
      <c r="BI4" s="6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</row>
    <row r="5" spans="1:79" s="77" customFormat="1" ht="12.75" customHeight="1">
      <c r="B5" s="153" t="s">
        <v>7</v>
      </c>
      <c r="C5" s="406" t="s">
        <v>201</v>
      </c>
      <c r="D5" s="406"/>
      <c r="E5" s="406"/>
      <c r="F5" s="406"/>
      <c r="G5" s="406"/>
      <c r="H5" s="406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COUNTIF($L$12:$L$48,"&gt;0,9")</f>
        <v>18</v>
      </c>
      <c r="AI5" s="117">
        <f t="array" ref="AI5">COUNT(IF($L$12:$L$48&gt;0.9,IF($M$12:$U$48&gt;=0,$M$12:$U$48,"")))</f>
        <v>91</v>
      </c>
      <c r="AJ5" s="80">
        <f t="array" ref="AJ5">COUNT(IF($L$12:$L$48&gt;0.9,IF($M$12:$U$48&gt;=1,$M$12:$U$48,"")))</f>
        <v>56</v>
      </c>
      <c r="AK5" s="80">
        <f t="array" ref="AK5">COUNT(IF($L$12:$L$48&gt;0.9,IF($AG$12:$AJ$48&gt;0,$AG$12:$AJ$48,"")))</f>
        <v>20</v>
      </c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COUNT(AY12:AY48)</f>
        <v>25</v>
      </c>
      <c r="AZ5" s="80">
        <f>COUNT(AZ12:BD47,0)</f>
        <v>48</v>
      </c>
      <c r="BA5" s="80">
        <f>COUNT(BE12:BI47,0)</f>
        <v>71</v>
      </c>
      <c r="BB5" s="80">
        <f>COUNT($BJ$12:$BM$48)</f>
        <v>26</v>
      </c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</row>
    <row r="6" spans="1:79" s="77" customFormat="1" ht="12.75" customHeight="1">
      <c r="B6" s="153" t="s">
        <v>354</v>
      </c>
      <c r="C6" s="406">
        <v>41</v>
      </c>
      <c r="D6" s="406"/>
      <c r="E6" s="406"/>
      <c r="F6" s="406"/>
      <c r="G6" s="406"/>
      <c r="H6" s="406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AVERAGEIF($L$12:$L$48,"&gt;0,9",$AY$12:$AY$48)</f>
        <v>-8.382019787620253E-3</v>
      </c>
      <c r="AI6" s="115">
        <f t="array" ref="AI6">AVERAGE(IF($L$12:$L$48&gt;0.9,IF($M$12:$U$47=0,$AZ$12:$BH$48,"")))</f>
        <v>-4.3575265219298765E-3</v>
      </c>
      <c r="AJ6" s="115">
        <f t="array" ref="AJ6">AVERAGE(IF($L$12:$L$48&gt;0.9,IF($M$12:$U$47&gt;=1,$AZ$12:$BH$48,"")))</f>
        <v>-1.6997828002693217E-2</v>
      </c>
      <c r="AK6" s="115">
        <f t="array" ref="AK6">AVERAGE(IF($L$12:$L$48&gt;0.9,IF($AG$12:$AJ$48&gt;0,$BJ$12:$BM$48,"")))</f>
        <v>-4.2920763616261876E-2</v>
      </c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AVERAGE($AY$12:$AY$48)</f>
        <v>-6.2191230643493887E-3</v>
      </c>
      <c r="AZ6" s="115">
        <f>AVERAGE(AZ12:BD48)</f>
        <v>-2.756787290505412E-4</v>
      </c>
      <c r="BA6" s="115">
        <f>AVERAGE(BE12:BI48)</f>
        <v>-8.2424468304769117E-3</v>
      </c>
      <c r="BB6" s="115">
        <f>AVERAGEIF($AG$12:$AJ$48,"&gt;0",$BJ$12:$BM$48)</f>
        <v>-2.6525377253001976E-2</v>
      </c>
      <c r="BK6" s="340" t="s">
        <v>357</v>
      </c>
      <c r="BN6" s="339">
        <v>3</v>
      </c>
      <c r="BO6" s="338" t="s">
        <v>356</v>
      </c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</row>
    <row r="7" spans="1:79" s="77" customFormat="1" ht="12.75" customHeight="1">
      <c r="B7" s="81"/>
      <c r="C7" s="76"/>
      <c r="D7" s="76"/>
      <c r="E7" s="81"/>
      <c r="F7" s="81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STDEV(IF($L$12:$L$48&gt;0.9,$AY$12:$AY$48))</f>
        <v>4.4674090084122195E-2</v>
      </c>
      <c r="AI7" s="115">
        <f t="array" ref="AI7">STDEV(IF($L$12:$L$48&gt;0.9,IF($M$12:$U$48=0,$AZ$12:$BH$48,"")))</f>
        <v>0.1049749643705542</v>
      </c>
      <c r="AJ7" s="115">
        <f t="array" ref="AJ7">STDEV(IF($L$12:$L$48&gt;0.9,IF($M$12:$U$48&gt;=1,$AZ$12:$BH$48,"")))</f>
        <v>5.3694988636334921E-2</v>
      </c>
      <c r="AK7" s="115">
        <f t="array" ref="AK7">STDEV(IF($L$12:$L$48&gt;0.9,IF($AG$12:$AJ$48&gt;0,$BJ$12:$BM$48,"")))</f>
        <v>6.4146624786097256E-2</v>
      </c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STDEV($AY$12:$AY$48)</f>
        <v>4.7249133544389144E-2</v>
      </c>
      <c r="AZ7" s="115">
        <f>STDEV(AZ12:BD48)</f>
        <v>0.11022023719651695</v>
      </c>
      <c r="BA7" s="115">
        <f>STDEV(BE12:BI48)</f>
        <v>9.6534634021008009E-2</v>
      </c>
      <c r="BB7" s="115">
        <f t="array" ref="BB7">STDEV(IF($AG$12:$AJ$47&gt;0,$BJ$12:$BM$47))</f>
        <v>6.046481821302703E-2</v>
      </c>
      <c r="BK7" s="340" t="s">
        <v>355</v>
      </c>
      <c r="BN7" s="339">
        <v>3</v>
      </c>
      <c r="BO7" s="338" t="s">
        <v>356</v>
      </c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</row>
    <row r="8" spans="1:79" s="77" customFormat="1" ht="12.75" customHeight="1">
      <c r="B8" s="81"/>
      <c r="C8" s="76"/>
      <c r="D8" s="76"/>
      <c r="E8" s="81"/>
      <c r="F8" s="8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</row>
    <row r="9" spans="1:79" s="77" customFormat="1" ht="12.75" customHeight="1">
      <c r="BN9" s="335">
        <v>0.8</v>
      </c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</row>
    <row r="10" spans="1:79" s="77" customFormat="1" ht="12.75" customHeight="1">
      <c r="A10" s="425" t="s">
        <v>181</v>
      </c>
      <c r="B10" s="425" t="s">
        <v>180</v>
      </c>
      <c r="C10" s="425" t="s">
        <v>182</v>
      </c>
      <c r="D10" s="426" t="s">
        <v>183</v>
      </c>
      <c r="E10" s="425" t="s">
        <v>13</v>
      </c>
      <c r="F10" s="425" t="s">
        <v>14</v>
      </c>
      <c r="G10" s="425" t="s">
        <v>15</v>
      </c>
      <c r="H10" s="425" t="s">
        <v>16</v>
      </c>
      <c r="I10" s="424" t="s">
        <v>17</v>
      </c>
      <c r="J10" s="424"/>
      <c r="K10" s="424"/>
      <c r="L10" s="426" t="s">
        <v>95</v>
      </c>
      <c r="M10" s="424" t="s">
        <v>18</v>
      </c>
      <c r="N10" s="424"/>
      <c r="O10" s="424"/>
      <c r="P10" s="424"/>
      <c r="Q10" s="424"/>
      <c r="R10" s="424"/>
      <c r="S10" s="424"/>
      <c r="T10" s="424"/>
      <c r="U10" s="424"/>
      <c r="V10" s="424"/>
      <c r="W10" s="424" t="s">
        <v>31</v>
      </c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 t="s">
        <v>30</v>
      </c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 t="s">
        <v>19</v>
      </c>
      <c r="AZ10" s="424"/>
      <c r="BA10" s="424"/>
      <c r="BB10" s="424"/>
      <c r="BC10" s="424"/>
      <c r="BD10" s="424"/>
      <c r="BE10" s="424"/>
      <c r="BF10" s="424"/>
      <c r="BG10" s="424"/>
      <c r="BH10" s="424"/>
      <c r="BI10" s="424"/>
      <c r="BJ10" s="424"/>
      <c r="BK10" s="424"/>
      <c r="BL10" s="424"/>
      <c r="BM10" s="424"/>
      <c r="BN10" s="336">
        <f>PERCENTILE(BN12:BN47,BN9)</f>
        <v>131.227</v>
      </c>
      <c r="BO10" s="336">
        <f>PERCENTILE(BO12:BO47,BN9)</f>
        <v>6.4799994699575825</v>
      </c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</row>
    <row r="11" spans="1:79" s="77" customFormat="1" ht="12.75" customHeight="1">
      <c r="A11" s="425"/>
      <c r="B11" s="425"/>
      <c r="C11" s="425"/>
      <c r="D11" s="426"/>
      <c r="E11" s="425"/>
      <c r="F11" s="425"/>
      <c r="G11" s="425"/>
      <c r="H11" s="425"/>
      <c r="I11" s="330" t="s">
        <v>20</v>
      </c>
      <c r="J11" s="330" t="s">
        <v>165</v>
      </c>
      <c r="K11" s="330" t="s">
        <v>21</v>
      </c>
      <c r="L11" s="426"/>
      <c r="M11" s="330" t="s">
        <v>186</v>
      </c>
      <c r="N11" s="330" t="s">
        <v>187</v>
      </c>
      <c r="O11" s="330" t="s">
        <v>188</v>
      </c>
      <c r="P11" s="330" t="s">
        <v>189</v>
      </c>
      <c r="Q11" s="330" t="s">
        <v>190</v>
      </c>
      <c r="R11" s="330" t="s">
        <v>191</v>
      </c>
      <c r="S11" s="330" t="s">
        <v>192</v>
      </c>
      <c r="T11" s="330" t="s">
        <v>193</v>
      </c>
      <c r="U11" s="330" t="s">
        <v>194</v>
      </c>
      <c r="V11" s="330" t="s">
        <v>185</v>
      </c>
      <c r="W11" s="330" t="s">
        <v>3</v>
      </c>
      <c r="X11" s="330" t="s">
        <v>22</v>
      </c>
      <c r="Y11" s="330" t="s">
        <v>23</v>
      </c>
      <c r="Z11" s="330" t="s">
        <v>24</v>
      </c>
      <c r="AA11" s="330" t="s">
        <v>25</v>
      </c>
      <c r="AB11" s="330" t="s">
        <v>26</v>
      </c>
      <c r="AC11" s="330" t="s">
        <v>27</v>
      </c>
      <c r="AD11" s="330" t="s">
        <v>90</v>
      </c>
      <c r="AE11" s="330" t="s">
        <v>91</v>
      </c>
      <c r="AF11" s="330" t="s">
        <v>184</v>
      </c>
      <c r="AG11" s="330" t="s">
        <v>28</v>
      </c>
      <c r="AH11" s="330" t="s">
        <v>29</v>
      </c>
      <c r="AI11" s="330" t="s">
        <v>92</v>
      </c>
      <c r="AJ11" s="330" t="s">
        <v>93</v>
      </c>
      <c r="AK11" s="330" t="s">
        <v>3</v>
      </c>
      <c r="AL11" s="330" t="s">
        <v>22</v>
      </c>
      <c r="AM11" s="330" t="s">
        <v>23</v>
      </c>
      <c r="AN11" s="330" t="s">
        <v>24</v>
      </c>
      <c r="AO11" s="330" t="s">
        <v>25</v>
      </c>
      <c r="AP11" s="330" t="s">
        <v>26</v>
      </c>
      <c r="AQ11" s="330" t="s">
        <v>27</v>
      </c>
      <c r="AR11" s="330" t="s">
        <v>90</v>
      </c>
      <c r="AS11" s="330" t="s">
        <v>91</v>
      </c>
      <c r="AT11" s="330" t="s">
        <v>184</v>
      </c>
      <c r="AU11" s="330" t="s">
        <v>28</v>
      </c>
      <c r="AV11" s="330" t="s">
        <v>29</v>
      </c>
      <c r="AW11" s="330" t="s">
        <v>92</v>
      </c>
      <c r="AX11" s="330" t="s">
        <v>93</v>
      </c>
      <c r="AY11" s="330" t="s">
        <v>3</v>
      </c>
      <c r="AZ11" s="330" t="s">
        <v>22</v>
      </c>
      <c r="BA11" s="330" t="s">
        <v>23</v>
      </c>
      <c r="BB11" s="330" t="s">
        <v>24</v>
      </c>
      <c r="BC11" s="330" t="s">
        <v>25</v>
      </c>
      <c r="BD11" s="330" t="s">
        <v>26</v>
      </c>
      <c r="BE11" s="330" t="s">
        <v>362</v>
      </c>
      <c r="BF11" s="330" t="s">
        <v>363</v>
      </c>
      <c r="BG11" s="330" t="s">
        <v>364</v>
      </c>
      <c r="BH11" s="330" t="s">
        <v>365</v>
      </c>
      <c r="BI11" s="330" t="s">
        <v>366</v>
      </c>
      <c r="BJ11" s="330" t="s">
        <v>28</v>
      </c>
      <c r="BK11" s="330" t="s">
        <v>29</v>
      </c>
      <c r="BL11" s="330" t="s">
        <v>92</v>
      </c>
      <c r="BM11" s="330" t="s">
        <v>93</v>
      </c>
      <c r="BN11" s="337" t="s">
        <v>353</v>
      </c>
      <c r="BP11" s="94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</row>
    <row r="12" spans="1:79" s="89" customFormat="1" ht="11.25">
      <c r="A12" s="312" t="s">
        <v>211</v>
      </c>
      <c r="B12" s="313" t="s">
        <v>246</v>
      </c>
      <c r="C12" s="314"/>
      <c r="D12" s="315">
        <v>0.38263888888888892</v>
      </c>
      <c r="E12" s="316">
        <v>66.421800000000005</v>
      </c>
      <c r="F12" s="317"/>
      <c r="G12" s="317"/>
      <c r="H12" s="312"/>
      <c r="I12" s="313" t="s">
        <v>94</v>
      </c>
      <c r="J12" s="318">
        <f>IF(ISERROR(VLOOKUP(I12,Max_Load_France!$B$2:$C$102,2,FALSE)/1000),"",VLOOKUP(I12,Max_Load_France!$B$2:$C$102,2,FALSE)/1000)</f>
        <v>40</v>
      </c>
      <c r="K12" s="319"/>
      <c r="L12" s="320">
        <f t="shared" ref="L12:L37" si="0">W12/J12</f>
        <v>0.87750000000000006</v>
      </c>
      <c r="M12" s="321">
        <f>IF(VLOOKUP($I12,Max_Load_France!$B$2:$M$102,3,FALSE)="","",VLOOKUP($I12,Max_Load_France!$B$2:$M$102,3,FALSE))</f>
        <v>0</v>
      </c>
      <c r="N12" s="321">
        <f>IF(VLOOKUP($I12,Max_Load_France!$B$2:$M$102,4,FALSE)="","",VLOOKUP($I12,Max_Load_France!$B$2:$M$102,4,FALSE))</f>
        <v>0</v>
      </c>
      <c r="O12" s="321">
        <f>IF(VLOOKUP($I12,Max_Load_France!$B$2:$M$102,5,FALSE)="","",VLOOKUP($I12,Max_Load_France!$B$2:$M$102,5,FALSE))</f>
        <v>1</v>
      </c>
      <c r="P12" s="321">
        <f>IF(VLOOKUP($I12,Max_Load_France!$B$2:$M$102,6,FALSE)="","",VLOOKUP($I12,Max_Load_France!$B$2:$M$102,6,FALSE))</f>
        <v>1</v>
      </c>
      <c r="Q12" s="321">
        <f>IF(VLOOKUP($I12,Max_Load_France!$B$2:$M$102,7,FALSE)="","",VLOOKUP($I12,Max_Load_France!$B$2:$M$102,7,FALSE))</f>
        <v>1</v>
      </c>
      <c r="R12" s="321" t="str">
        <f>IF(VLOOKUP($I12,Max_Load_France!$B$2:$M$102,8,FALSE)="","",VLOOKUP($I12,Max_Load_France!$B$2:$M$102,8,FALSE))</f>
        <v/>
      </c>
      <c r="S12" s="321" t="str">
        <f>IF(VLOOKUP($I12,Max_Load_France!$B$2:$M$102,9,FALSE)="","",VLOOKUP($I12,Max_Load_France!$B$2:$M$102,9,FALSE))</f>
        <v/>
      </c>
      <c r="T12" s="321" t="str">
        <f>IF(VLOOKUP($I12,Max_Load_France!$B$2:$M$102,10,FALSE)="","",VLOOKUP($I12,Max_Load_France!$B$2:$M$102,10,FALSE))</f>
        <v/>
      </c>
      <c r="U12" s="321" t="str">
        <f>IF(VLOOKUP($I12,Max_Load_France!$B$2:$M$102,11,FALSE)="","",VLOOKUP($I12,Max_Load_France!$B$2:$M$102,11,FALSE))</f>
        <v/>
      </c>
      <c r="V12" s="312">
        <v>5</v>
      </c>
      <c r="W12" s="322">
        <f>SUM($X12:$AF12)</f>
        <v>35.1</v>
      </c>
      <c r="X12" s="323">
        <v>6.7</v>
      </c>
      <c r="Y12" s="323">
        <v>9.6</v>
      </c>
      <c r="Z12" s="323">
        <v>6.4</v>
      </c>
      <c r="AA12" s="323">
        <v>6.2</v>
      </c>
      <c r="AB12" s="323">
        <v>6.2</v>
      </c>
      <c r="AC12" s="324"/>
      <c r="AD12" s="324"/>
      <c r="AE12" s="324"/>
      <c r="AF12" s="324"/>
      <c r="AG12" s="325">
        <f>IF(SUMIF($M12:$U12,"=1",$X12:$AF12)=0,"",SUMIF($M12:$U12,"=1",$X12:$AF12))</f>
        <v>18.8</v>
      </c>
      <c r="AH12" s="325" t="str">
        <f>IF(SUMIF($M12:$U12,"=2",$X12:$AF12)=0,"",SUMIF($M12:$U12,"=2",$X12:$AF12))</f>
        <v/>
      </c>
      <c r="AI12" s="325" t="str">
        <f>IF(SUMIF($M12:$U12,"=3",$X12:$AF12)=0,"",SUMIF($M12:$U12,"=3",$X12:$AF12))</f>
        <v/>
      </c>
      <c r="AJ12" s="325" t="str">
        <f>IF(SUMIF($M12:$U12,"=4",$X12:$AF12)=0,"",SUMIF($M12:$U12,"=4",$X12:$AF12))</f>
        <v/>
      </c>
      <c r="AK12" s="326">
        <f t="shared" ref="AK12:AK47" si="1">SUM(AL12:AR12)</f>
        <v>34.923098878695207</v>
      </c>
      <c r="AL12" s="323">
        <f>Site_PLtraf_new!AL12*(1-Site_PLtraf_new!$AZ$9)</f>
        <v>6.9861484130201585</v>
      </c>
      <c r="AM12" s="323">
        <f>Site_PLtraf_new!AM12+(Site_PLtraf_new!AL12*Site_PLtraf_new!$AZ$9)</f>
        <v>10.379977988610829</v>
      </c>
      <c r="AN12" s="323">
        <v>5.8523241590214061</v>
      </c>
      <c r="AO12" s="323">
        <v>5.8523241590214061</v>
      </c>
      <c r="AP12" s="323">
        <v>5.8523241590214061</v>
      </c>
      <c r="AQ12" s="324"/>
      <c r="AR12" s="324"/>
      <c r="AS12" s="324"/>
      <c r="AT12" s="324"/>
      <c r="AU12" s="331">
        <f>IF(SUMIF($M12:$U12,"=1",$AL12:$AT12)=0,"",SUMIF($M12:$U12,"=1",$AL12:$AT12))</f>
        <v>17.556972477064217</v>
      </c>
      <c r="AV12" s="331" t="str">
        <f>IF(SUMIF($M12:$U12,"=2",$AL12:$AT12)=0,"",SUMIF($M12:$U12,"=2",$AL12:$AT12))</f>
        <v/>
      </c>
      <c r="AW12" s="325" t="str">
        <f>IF(SUMIF($M12:$U12,"=3",$AL12:$AT12)=0,"",SUMIF($M12:$U12,"=3",$AL12:$AT12))</f>
        <v/>
      </c>
      <c r="AX12" s="325" t="str">
        <f>IF(SUMIF($M12:$U12,"=4",$AL12:$AT12)=0,"",SUMIF($M12:$U12,"=4",$AL12:$AT12))</f>
        <v/>
      </c>
      <c r="AY12" s="347">
        <f>IF($W12/$V12&lt;$BN$6,"",IF($BO12&lt;$BO$10,IF(W12&gt;0,(AK12-W12)/W12,""),""))</f>
        <v>-5.039917985891585E-3</v>
      </c>
      <c r="AZ12" s="347">
        <f>IF(M12=0,IF(AL12&lt;$BN$7,"",IF($W12/$V12&lt;$BN$6,"",IF($BO12&lt;$BO$10,IF(X12&gt;0,(AL12-X12)/X12,""),""))),"")</f>
        <v>4.2708718361217667E-2</v>
      </c>
      <c r="BA12" s="347">
        <f>IF(N12=0,IF(AM12&lt;$BN$7,"",IF($W12/$V12&lt;$BN$6,"",IF($BO12&lt;$BO$10,IF(Y12&gt;0,(AM12-Y12)/Y12,""),""))),"")</f>
        <v>8.124770714696139E-2</v>
      </c>
      <c r="BB12" s="347" t="str">
        <f>IF(O12=0,IF(AN12&lt;$BN$7,"",IF($W12/$V12&lt;$BN$6,"",IF($BO12&lt;$BO$10,IF(Z12&gt;0,(AN12-Z12)/Z12,""),""))),"")</f>
        <v/>
      </c>
      <c r="BC12" s="347" t="str">
        <f>IF(P12=0,IF(AO12&lt;$BN$7,"",IF($W12/$V12&lt;$BN$6,"",IF($BO12&lt;$BO$10,IF(AA12&gt;0,(AO12-AA12)/AA12,""),""))),"")</f>
        <v/>
      </c>
      <c r="BD12" s="347" t="str">
        <f>IF(Q12=0,IF(AP12&lt;$BN$7,"",IF($W12/$V12&lt;$BN$6,"",IF($BO12&lt;$BO$10,IF(AB12&gt;0,(AP12-AB12)/AB12,""),""))),"")</f>
        <v/>
      </c>
      <c r="BE12" s="347" t="str">
        <f>IF(N12&gt;0,IF(AM12&lt;$BN$7,"",IF($W12/$V12&lt;$BN$6,"",IF($BO12&lt;$BO$10,IF(Y12&gt;0,(AM12-Y12)/Y12,""),""))),"")</f>
        <v/>
      </c>
      <c r="BF12" s="347">
        <f>IF(O12&gt;0,IF(AN12&lt;$BN$7,"",IF($W12/$V12&lt;$BN$6,"",IF($BO12&lt;$BO$10,IF(Z12&gt;0,(AN12-Z12)/Z12,""),""))),"")</f>
        <v>-8.5574350152905349E-2</v>
      </c>
      <c r="BG12" s="347">
        <f>IF(P12&gt;0,IF(AO12&lt;$BN$7,"",IF($W12/$V12&lt;$BN$6,"",IF($BO12&lt;$BO$10,IF(AA12&gt;0,(AO12-AA12)/AA12,""),""))),"")</f>
        <v>-5.6076748544934524E-2</v>
      </c>
      <c r="BH12" s="347">
        <f>IF(Q12&gt;0,IF(AP12&lt;$BN$7,"",IF($W12/$V12&lt;$BN$6,"",IF($BO12&lt;$BO$10,IF(AB12&gt;0,(AP12-AB12)/AB12,""),""))),"")</f>
        <v>-5.6076748544934524E-2</v>
      </c>
      <c r="BI12" s="347" t="str">
        <f>IF(R12&gt;0,IF(AQ12&lt;$BN$7,"",IF($W12/$V12&lt;$BN$6,"",IF($BO12&lt;$BO$10,IF(AC12&gt;0,(AQ12-AC12)/AC12,""),""))),"")</f>
        <v/>
      </c>
      <c r="BJ12" s="347">
        <f>IF(AG12&lt;$BN$6*2,"",IF($BN12&lt;$BN$10,IF($BO12&lt;$BO$10,IF(AG12&lt;&gt;"",(AU12-AG12)/AG12,""),"")))</f>
        <v>-6.611848526254166E-2</v>
      </c>
      <c r="BK12" s="347" t="str">
        <f>IF(AH12&lt;$BN$6*2,"",IF($BN12&lt;$BN$10,IF($BO12&lt;$BO$10,IF(AH12&lt;&gt;"",(AV12-AH12)/AH12,""),"")))</f>
        <v/>
      </c>
      <c r="BL12" s="328" t="str">
        <f t="shared" ref="BL12:BL35" si="2">IF(AI12&lt;&gt;"",(AW12-AI12)/AI12,"")</f>
        <v/>
      </c>
      <c r="BM12" s="329" t="str">
        <f t="shared" ref="BM12:BM35" si="3">IF(AJ12&lt;&gt;"",(AX12-AJ12)/AJ12,"")</f>
        <v/>
      </c>
      <c r="BN12" s="334">
        <v>56.133000000000003</v>
      </c>
      <c r="BO12" s="334">
        <f>BN12/AU12</f>
        <v>3.1971913194789185</v>
      </c>
      <c r="BP12" s="94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</row>
    <row r="13" spans="1:79" s="89" customFormat="1" ht="11.25">
      <c r="A13" s="289" t="s">
        <v>212</v>
      </c>
      <c r="B13" s="290" t="s">
        <v>247</v>
      </c>
      <c r="C13" s="291"/>
      <c r="D13" s="292">
        <v>0.38541666666666669</v>
      </c>
      <c r="E13" s="293">
        <v>77.201999999999998</v>
      </c>
      <c r="F13" s="294"/>
      <c r="G13" s="294"/>
      <c r="H13" s="289"/>
      <c r="I13" s="290" t="s">
        <v>124</v>
      </c>
      <c r="J13" s="295">
        <f>IF(ISERROR(VLOOKUP(I13,Max_Load_France!$B$2:$C$102,2,FALSE)/1000),"",VLOOKUP(I13,Max_Load_France!$B$2:$C$102,2,FALSE)/1000)</f>
        <v>40</v>
      </c>
      <c r="K13" s="296"/>
      <c r="L13" s="297">
        <f t="shared" si="0"/>
        <v>0.36249999999999999</v>
      </c>
      <c r="M13" s="298">
        <f>IF(VLOOKUP($I13,Max_Load_France!$B$2:$M$102,3,FALSE)="","",VLOOKUP($I13,Max_Load_France!$B$2:$M$102,3,FALSE))</f>
        <v>0</v>
      </c>
      <c r="N13" s="298">
        <f>IF(VLOOKUP($I13,Max_Load_France!$B$2:$M$102,4,FALSE)="","",VLOOKUP($I13,Max_Load_France!$B$2:$M$102,4,FALSE))</f>
        <v>0</v>
      </c>
      <c r="O13" s="298">
        <f>IF(VLOOKUP($I13,Max_Load_France!$B$2:$M$102,5,FALSE)="","",VLOOKUP($I13,Max_Load_France!$B$2:$M$102,5,FALSE))</f>
        <v>0</v>
      </c>
      <c r="P13" s="298">
        <f>IF(VLOOKUP($I13,Max_Load_France!$B$2:$M$102,6,FALSE)="","",VLOOKUP($I13,Max_Load_France!$B$2:$M$102,6,FALSE))</f>
        <v>1</v>
      </c>
      <c r="Q13" s="298">
        <f>IF(VLOOKUP($I13,Max_Load_France!$B$2:$M$102,7,FALSE)="","",VLOOKUP($I13,Max_Load_France!$B$2:$M$102,7,FALSE))</f>
        <v>1</v>
      </c>
      <c r="R13" s="298" t="str">
        <f>IF(VLOOKUP($I13,Max_Load_France!$B$2:$M$102,8,FALSE)="","",VLOOKUP($I13,Max_Load_France!$B$2:$M$102,8,FALSE))</f>
        <v/>
      </c>
      <c r="S13" s="298" t="str">
        <f>IF(VLOOKUP($I13,Max_Load_France!$B$2:$M$102,9,FALSE)="","",VLOOKUP($I13,Max_Load_France!$B$2:$M$102,9,FALSE))</f>
        <v/>
      </c>
      <c r="T13" s="298" t="str">
        <f>IF(VLOOKUP($I13,Max_Load_France!$B$2:$M$102,10,FALSE)="","",VLOOKUP($I13,Max_Load_France!$B$2:$M$102,10,FALSE))</f>
        <v/>
      </c>
      <c r="U13" s="298" t="str">
        <f>IF(VLOOKUP($I13,Max_Load_France!$B$2:$M$102,11,FALSE)="","",VLOOKUP($I13,Max_Load_France!$B$2:$M$102,11,FALSE))</f>
        <v/>
      </c>
      <c r="V13" s="289">
        <v>5</v>
      </c>
      <c r="W13" s="299">
        <f t="shared" ref="W13:W47" si="4">SUM($X13:$AF13)</f>
        <v>14.5</v>
      </c>
      <c r="X13" s="300">
        <v>5.6</v>
      </c>
      <c r="Y13" s="300">
        <v>3.1</v>
      </c>
      <c r="Z13" s="300">
        <v>1.9</v>
      </c>
      <c r="AA13" s="300">
        <v>2</v>
      </c>
      <c r="AB13" s="300">
        <v>1.9</v>
      </c>
      <c r="AC13" s="301"/>
      <c r="AD13" s="301"/>
      <c r="AE13" s="301"/>
      <c r="AF13" s="301"/>
      <c r="AG13" s="302">
        <f t="shared" ref="AG13:AG47" si="5">IF(SUMIF($M13:$U13,"=1",$X13:$AF13)=0,"",SUMIF($M13:$U13,"=1",$X13:$AF13))</f>
        <v>3.9</v>
      </c>
      <c r="AH13" s="302" t="str">
        <f t="shared" ref="AH13:AH47" si="6">IF(SUMIF($M13:$U13,"=2",$X13:$AF13)=0,"",SUMIF($M13:$U13,"=2",$X13:$AF13))</f>
        <v/>
      </c>
      <c r="AI13" s="302" t="str">
        <f t="shared" ref="AI13:AI40" si="7">IF(SUMIF($M13:$U13,"=3",$X13:$AF13)=0,"",SUMIF($M13:$U13,"=3",$X13:$AF13))</f>
        <v/>
      </c>
      <c r="AJ13" s="302" t="str">
        <f t="shared" ref="AJ13:AJ40" si="8">IF(SUMIF($M13:$U13,"=4",$X13:$AF13)=0,"",SUMIF($M13:$U13,"=4",$X13:$AF13))</f>
        <v/>
      </c>
      <c r="AK13" s="326">
        <f t="shared" si="1"/>
        <v>13.576972477064221</v>
      </c>
      <c r="AL13" s="323">
        <f>Site_PLtraf_new!AL13*(1-Site_PLtraf_new!$AZ$9)</f>
        <v>6.0865802996297047</v>
      </c>
      <c r="AM13" s="323">
        <f>Site_PLtraf_new!AM13+(Site_PLtraf_new!AL13*Site_PLtraf_new!$AZ$9)</f>
        <v>2.863419700370295</v>
      </c>
      <c r="AN13" s="300">
        <v>2.3134862385321098</v>
      </c>
      <c r="AO13" s="300">
        <v>2.3134862385321098</v>
      </c>
      <c r="AP13" s="300"/>
      <c r="AQ13" s="301"/>
      <c r="AR13" s="301"/>
      <c r="AS13" s="301"/>
      <c r="AT13" s="301"/>
      <c r="AU13" s="332">
        <f>AN13+AO13</f>
        <v>4.6269724770642195</v>
      </c>
      <c r="AV13" s="332" t="str">
        <f t="shared" ref="AV13:AV47" si="9">IF(SUMIF($M13:$U13,"=2",$AL13:$AT13)=0,"",SUMIF($M13:$U13,"=2",$AL13:$AT13))</f>
        <v/>
      </c>
      <c r="AW13" s="302" t="str">
        <f t="shared" ref="AW13:AW24" si="10">IF(SUMIF($M13:$U13,"=3",$AL13:$AT13)=0,"",SUMIF($M13:$U13,"=3",$AL13:$AT13))</f>
        <v/>
      </c>
      <c r="AX13" s="302" t="str">
        <f t="shared" ref="AX13:AX24" si="11">IF(SUMIF($M13:$U13,"=4",$AL13:$AT13)=0,"",SUMIF($M13:$U13,"=4",$AL13:$AT13))</f>
        <v/>
      </c>
      <c r="AY13" s="347" t="str">
        <f t="shared" ref="AY13:AY46" si="12">IF($W13/$V13&lt;$BN$6,"",IF($BO13&lt;$BO$10,IF(W13&gt;0,(AK13-W13)/W13,""),""))</f>
        <v/>
      </c>
      <c r="AZ13" s="347" t="str">
        <f t="shared" ref="AZ13:AZ46" si="13">IF(M13=0,IF(AL13&lt;$BN$7,"",IF($W13/$V13&lt;$BN$6,"",IF($BO13&lt;$BO$10,IF(X13&gt;0,(AL13-X13)/X13,""),""))),"")</f>
        <v/>
      </c>
      <c r="BA13" s="347" t="str">
        <f t="shared" ref="BA13:BA47" si="14">IF(N13=0,IF(AM13&lt;$BN$7,"",IF($W13/$V13&lt;$BN$6,"",IF($BO13&lt;$BO$10,IF(Y13&gt;0,(AM13-Y13)/Y13,""),""))),"")</f>
        <v/>
      </c>
      <c r="BB13" s="347" t="str">
        <f t="shared" ref="BB13:BB47" si="15">IF(O13=0,IF(AN13&lt;$BN$7,"",IF($W13/$V13&lt;$BN$6,"",IF($BO13&lt;$BO$10,IF(Z13&gt;0,(AN13-Z13)/Z13,""),""))),"")</f>
        <v/>
      </c>
      <c r="BC13" s="347" t="str">
        <f t="shared" ref="BC13:BC47" si="16">IF(P13=0,IF(AO13&lt;$BN$7,"",IF($W13/$V13&lt;$BN$6,"",IF($BO13&lt;$BO$10,IF(AA13&gt;0,(AO13-AA13)/AA13,""),""))),"")</f>
        <v/>
      </c>
      <c r="BD13" s="347" t="str">
        <f t="shared" ref="BD13:BD47" si="17">IF(Q13=0,IF(AP13&lt;$BN$7,"",IF($W13/$V13&lt;$BN$6,"",IF($BO13&lt;$BO$10,IF(AB13&gt;0,(AP13-AB13)/AB13,""),""))),"")</f>
        <v/>
      </c>
      <c r="BE13" s="347" t="str">
        <f t="shared" ref="BE13:BE46" si="18">IF(N13&gt;0,IF(AM13&lt;$BN$7,"",IF($W13/$V13&lt;$BN$6,"",IF($BO13&lt;$BO$10,IF(Y13&gt;0,(AM13-Y13)/Y13,""),""))),"")</f>
        <v/>
      </c>
      <c r="BF13" s="347" t="str">
        <f t="shared" ref="BF13:BF47" si="19">IF(O13&gt;0,IF(AN13&lt;$BN$7,"",IF($W13/$V13&lt;$BN$6,"",IF($BO13&lt;$BO$10,IF(Z13&gt;0,(AN13-Z13)/Z13,""),""))),"")</f>
        <v/>
      </c>
      <c r="BG13" s="347" t="str">
        <f t="shared" ref="BG13:BG47" si="20">IF(P13&gt;0,IF(AO13&lt;$BN$7,"",IF($W13/$V13&lt;$BN$6,"",IF($BO13&lt;$BO$10,IF(AA13&gt;0,(AO13-AA13)/AA13,""),""))),"")</f>
        <v/>
      </c>
      <c r="BH13" s="347" t="str">
        <f t="shared" ref="BH13:BH47" si="21">IF(Q13&gt;0,IF(AP13&lt;$BN$7,"",IF($W13/$V13&lt;$BN$6,"",IF($BO13&lt;$BO$10,IF(AB13&gt;0,(AP13-AB13)/AB13,""),""))),"")</f>
        <v/>
      </c>
      <c r="BI13" s="347" t="str">
        <f t="shared" ref="BI13:BI47" si="22">IF(R13&gt;0,IF(AQ13&lt;$BN$7,"",IF($W13/$V13&lt;$BN$6,"",IF($BO13&lt;$BO$10,IF(AC13&gt;0,(AQ13-AC13)/AC13,""),""))),"")</f>
        <v/>
      </c>
      <c r="BJ13" s="347" t="str">
        <f t="shared" ref="BJ13:BJ46" si="23">IF(AG13&lt;$BN$6*2,"",IF($BN13&lt;$BN$10,IF($BO13&lt;$BO$10,IF(AG13&lt;&gt;"",(AU13-AG13)/AG13,""),"")))</f>
        <v/>
      </c>
      <c r="BK13" s="347" t="str">
        <f t="shared" ref="BK13:BK46" si="24">IF(AH13&lt;$BN$6*2,"",IF($BN13&lt;$BN$10,IF($BO13&lt;$BO$10,IF(AH13&lt;&gt;"",(AV13-AH13)/AH13,""),"")))</f>
        <v/>
      </c>
      <c r="BL13" s="288" t="str">
        <f t="shared" si="2"/>
        <v/>
      </c>
      <c r="BM13" s="136" t="str">
        <f t="shared" si="3"/>
        <v/>
      </c>
      <c r="BN13" s="334">
        <v>16.951699999999999</v>
      </c>
      <c r="BO13" s="334">
        <f t="shared" ref="BO13:BO46" si="25">BN13/AU13</f>
        <v>3.6636699448784551</v>
      </c>
      <c r="BP13" s="94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</row>
    <row r="14" spans="1:79" s="89" customFormat="1" ht="11.25">
      <c r="A14" s="289" t="s">
        <v>213</v>
      </c>
      <c r="B14" s="290" t="s">
        <v>248</v>
      </c>
      <c r="C14" s="291"/>
      <c r="D14" s="292">
        <v>0.38958333333333334</v>
      </c>
      <c r="E14" s="293">
        <v>54.816480000000006</v>
      </c>
      <c r="F14" s="294"/>
      <c r="G14" s="294"/>
      <c r="H14" s="289"/>
      <c r="I14" s="290" t="s">
        <v>94</v>
      </c>
      <c r="J14" s="295">
        <f>IF(ISERROR(VLOOKUP(I14,Max_Load_France!$B$2:$C$102,2,FALSE)/1000),"",VLOOKUP(I14,Max_Load_France!$B$2:$C$102,2,FALSE)/1000)</f>
        <v>40</v>
      </c>
      <c r="K14" s="296"/>
      <c r="L14" s="297">
        <f t="shared" si="0"/>
        <v>1.05</v>
      </c>
      <c r="M14" s="298">
        <f>IF(VLOOKUP($I14,Max_Load_France!$B$2:$M$102,3,FALSE)="","",VLOOKUP($I14,Max_Load_France!$B$2:$M$102,3,FALSE))</f>
        <v>0</v>
      </c>
      <c r="N14" s="298">
        <f>IF(VLOOKUP($I14,Max_Load_France!$B$2:$M$102,4,FALSE)="","",VLOOKUP($I14,Max_Load_France!$B$2:$M$102,4,FALSE))</f>
        <v>0</v>
      </c>
      <c r="O14" s="298">
        <f>IF(VLOOKUP($I14,Max_Load_France!$B$2:$M$102,5,FALSE)="","",VLOOKUP($I14,Max_Load_France!$B$2:$M$102,5,FALSE))</f>
        <v>1</v>
      </c>
      <c r="P14" s="298">
        <f>IF(VLOOKUP($I14,Max_Load_France!$B$2:$M$102,6,FALSE)="","",VLOOKUP($I14,Max_Load_France!$B$2:$M$102,6,FALSE))</f>
        <v>1</v>
      </c>
      <c r="Q14" s="298">
        <f>IF(VLOOKUP($I14,Max_Load_France!$B$2:$M$102,7,FALSE)="","",VLOOKUP($I14,Max_Load_France!$B$2:$M$102,7,FALSE))</f>
        <v>1</v>
      </c>
      <c r="R14" s="298" t="str">
        <f>IF(VLOOKUP($I14,Max_Load_France!$B$2:$M$102,8,FALSE)="","",VLOOKUP($I14,Max_Load_France!$B$2:$M$102,8,FALSE))</f>
        <v/>
      </c>
      <c r="S14" s="298" t="str">
        <f>IF(VLOOKUP($I14,Max_Load_France!$B$2:$M$102,9,FALSE)="","",VLOOKUP($I14,Max_Load_France!$B$2:$M$102,9,FALSE))</f>
        <v/>
      </c>
      <c r="T14" s="298" t="str">
        <f>IF(VLOOKUP($I14,Max_Load_France!$B$2:$M$102,10,FALSE)="","",VLOOKUP($I14,Max_Load_France!$B$2:$M$102,10,FALSE))</f>
        <v/>
      </c>
      <c r="U14" s="298" t="str">
        <f>IF(VLOOKUP($I14,Max_Load_France!$B$2:$M$102,11,FALSE)="","",VLOOKUP($I14,Max_Load_France!$B$2:$M$102,11,FALSE))</f>
        <v/>
      </c>
      <c r="V14" s="289">
        <v>5</v>
      </c>
      <c r="W14" s="299">
        <f t="shared" si="4"/>
        <v>42</v>
      </c>
      <c r="X14" s="300">
        <v>7.5</v>
      </c>
      <c r="Y14" s="300">
        <v>13.8</v>
      </c>
      <c r="Z14" s="300">
        <v>7</v>
      </c>
      <c r="AA14" s="300">
        <v>6.9</v>
      </c>
      <c r="AB14" s="300">
        <v>6.8</v>
      </c>
      <c r="AC14" s="301"/>
      <c r="AD14" s="301"/>
      <c r="AE14" s="301"/>
      <c r="AF14" s="301"/>
      <c r="AG14" s="302">
        <f t="shared" si="5"/>
        <v>20.7</v>
      </c>
      <c r="AH14" s="302" t="str">
        <f t="shared" si="6"/>
        <v/>
      </c>
      <c r="AI14" s="302" t="str">
        <f t="shared" si="7"/>
        <v/>
      </c>
      <c r="AJ14" s="302" t="str">
        <f t="shared" si="8"/>
        <v/>
      </c>
      <c r="AK14" s="326">
        <f t="shared" si="1"/>
        <v>40.810703363914371</v>
      </c>
      <c r="AL14" s="323">
        <f>Site_PLtraf_new!AL14*(1-Site_PLtraf_new!$AZ$9)</f>
        <v>7.7537886236358782</v>
      </c>
      <c r="AM14" s="323">
        <f>Site_PLtraf_new!AM14+(Site_PLtraf_new!AL14*Site_PLtraf_new!$AZ$9)</f>
        <v>12.996517186761675</v>
      </c>
      <c r="AN14" s="300">
        <v>6.6867991845056061</v>
      </c>
      <c r="AO14" s="300">
        <v>6.6867991845056061</v>
      </c>
      <c r="AP14" s="300">
        <v>6.6867991845056061</v>
      </c>
      <c r="AQ14" s="301"/>
      <c r="AR14" s="301"/>
      <c r="AS14" s="301"/>
      <c r="AT14" s="301"/>
      <c r="AU14" s="332">
        <f t="shared" ref="AU14:AU47" si="26">IF(SUMIF($M14:$U14,"=1",$AL14:$AT14)=0,"",SUMIF($M14:$U14,"=1",$AL14:$AT14))</f>
        <v>20.060397553516818</v>
      </c>
      <c r="AV14" s="332" t="str">
        <f t="shared" si="9"/>
        <v/>
      </c>
      <c r="AW14" s="302" t="str">
        <f t="shared" si="10"/>
        <v/>
      </c>
      <c r="AX14" s="302" t="str">
        <f t="shared" si="11"/>
        <v/>
      </c>
      <c r="AY14" s="347">
        <f t="shared" si="12"/>
        <v>-2.8316586573467362E-2</v>
      </c>
      <c r="AZ14" s="347">
        <f t="shared" si="13"/>
        <v>3.3838483151450424E-2</v>
      </c>
      <c r="BA14" s="347">
        <f t="shared" si="14"/>
        <v>-5.8223392263646763E-2</v>
      </c>
      <c r="BB14" s="347" t="str">
        <f t="shared" si="15"/>
        <v/>
      </c>
      <c r="BC14" s="347" t="str">
        <f t="shared" si="16"/>
        <v/>
      </c>
      <c r="BD14" s="347" t="str">
        <f t="shared" si="17"/>
        <v/>
      </c>
      <c r="BE14" s="347" t="str">
        <f t="shared" si="18"/>
        <v/>
      </c>
      <c r="BF14" s="347">
        <f t="shared" si="19"/>
        <v>-4.4742973642056275E-2</v>
      </c>
      <c r="BG14" s="347">
        <f t="shared" si="20"/>
        <v>-3.0898668912231055E-2</v>
      </c>
      <c r="BH14" s="347">
        <f t="shared" si="21"/>
        <v>-1.6647178749175554E-2</v>
      </c>
      <c r="BI14" s="347" t="str">
        <f t="shared" si="22"/>
        <v/>
      </c>
      <c r="BJ14" s="347">
        <f t="shared" si="23"/>
        <v>-3.0898668912230972E-2</v>
      </c>
      <c r="BK14" s="347" t="str">
        <f t="shared" si="24"/>
        <v/>
      </c>
      <c r="BL14" s="288" t="str">
        <f t="shared" si="2"/>
        <v/>
      </c>
      <c r="BM14" s="136" t="str">
        <f t="shared" si="3"/>
        <v/>
      </c>
      <c r="BN14" s="334">
        <v>51.723599999999998</v>
      </c>
      <c r="BO14" s="334">
        <f t="shared" si="25"/>
        <v>2.5783935668280042</v>
      </c>
      <c r="BP14" s="94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</row>
    <row r="15" spans="1:79" s="89" customFormat="1" ht="11.25">
      <c r="A15" s="289" t="s">
        <v>214</v>
      </c>
      <c r="B15" s="298" t="s">
        <v>250</v>
      </c>
      <c r="C15" s="298"/>
      <c r="D15" s="292">
        <v>0.39374999999999999</v>
      </c>
      <c r="E15" s="293">
        <v>60.186239999999998</v>
      </c>
      <c r="F15" s="294"/>
      <c r="G15" s="294"/>
      <c r="H15" s="289"/>
      <c r="I15" s="290" t="s">
        <v>129</v>
      </c>
      <c r="J15" s="295">
        <f>IF(ISERROR(VLOOKUP(I15,Max_Load_France!$B$2:$C$102,2,FALSE)/1000),"",VLOOKUP(I15,Max_Load_France!$B$2:$C$102,2,FALSE)/1000)</f>
        <v>40</v>
      </c>
      <c r="K15" s="296"/>
      <c r="L15" s="297">
        <f t="shared" si="0"/>
        <v>0.72250000000000003</v>
      </c>
      <c r="M15" s="298">
        <f>IF(VLOOKUP($I15,Max_Load_France!$B$2:$M$102,3,FALSE)="","",VLOOKUP($I15,Max_Load_France!$B$2:$M$102,3,FALSE))</f>
        <v>0</v>
      </c>
      <c r="N15" s="298">
        <f>IF(VLOOKUP($I15,Max_Load_France!$B$2:$M$102,4,FALSE)="","",VLOOKUP($I15,Max_Load_France!$B$2:$M$102,4,FALSE))</f>
        <v>1</v>
      </c>
      <c r="O15" s="298">
        <f>IF(VLOOKUP($I15,Max_Load_France!$B$2:$M$102,5,FALSE)="","",VLOOKUP($I15,Max_Load_France!$B$2:$M$102,5,FALSE))</f>
        <v>1</v>
      </c>
      <c r="P15" s="298">
        <f>IF(VLOOKUP($I15,Max_Load_France!$B$2:$M$102,6,FALSE)="","",VLOOKUP($I15,Max_Load_France!$B$2:$M$102,6,FALSE))</f>
        <v>2</v>
      </c>
      <c r="Q15" s="298">
        <f>IF(VLOOKUP($I15,Max_Load_France!$B$2:$M$102,7,FALSE)="","",VLOOKUP($I15,Max_Load_France!$B$2:$M$102,7,FALSE))</f>
        <v>2</v>
      </c>
      <c r="R15" s="298" t="str">
        <f>IF(VLOOKUP($I15,Max_Load_France!$B$2:$M$102,8,FALSE)="","",VLOOKUP($I15,Max_Load_France!$B$2:$M$102,8,FALSE))</f>
        <v/>
      </c>
      <c r="S15" s="298" t="str">
        <f>IF(VLOOKUP($I15,Max_Load_France!$B$2:$M$102,9,FALSE)="","",VLOOKUP($I15,Max_Load_France!$B$2:$M$102,9,FALSE))</f>
        <v/>
      </c>
      <c r="T15" s="298" t="str">
        <f>IF(VLOOKUP($I15,Max_Load_France!$B$2:$M$102,10,FALSE)="","",VLOOKUP($I15,Max_Load_France!$B$2:$M$102,10,FALSE))</f>
        <v/>
      </c>
      <c r="U15" s="298" t="str">
        <f>IF(VLOOKUP($I15,Max_Load_France!$B$2:$M$102,11,FALSE)="","",VLOOKUP($I15,Max_Load_France!$B$2:$M$102,11,FALSE))</f>
        <v/>
      </c>
      <c r="V15" s="289">
        <v>5</v>
      </c>
      <c r="W15" s="299">
        <f t="shared" si="4"/>
        <v>28.900000000000002</v>
      </c>
      <c r="X15" s="300">
        <v>6</v>
      </c>
      <c r="Y15" s="300">
        <v>8.1999999999999993</v>
      </c>
      <c r="Z15" s="300">
        <v>4.9000000000000004</v>
      </c>
      <c r="AA15" s="300">
        <v>4.8</v>
      </c>
      <c r="AB15" s="300">
        <v>5</v>
      </c>
      <c r="AC15" s="301"/>
      <c r="AD15" s="301"/>
      <c r="AE15" s="301"/>
      <c r="AF15" s="301"/>
      <c r="AG15" s="302">
        <f t="shared" si="5"/>
        <v>13.1</v>
      </c>
      <c r="AH15" s="302">
        <f t="shared" si="6"/>
        <v>9.8000000000000007</v>
      </c>
      <c r="AI15" s="302" t="str">
        <f t="shared" si="7"/>
        <v/>
      </c>
      <c r="AJ15" s="302" t="str">
        <f t="shared" si="8"/>
        <v/>
      </c>
      <c r="AK15" s="326">
        <f t="shared" si="1"/>
        <v>29.125147808358815</v>
      </c>
      <c r="AL15" s="323">
        <f>Site_PLtraf_new!AL15*(1-Site_PLtraf_new!$AZ$9)</f>
        <v>5.7173621122310196</v>
      </c>
      <c r="AM15" s="323">
        <f>Site_PLtraf_new!AM15+(Site_PLtraf_new!AL15*Site_PLtraf_new!$AZ$9)</f>
        <v>9.1239324851186243</v>
      </c>
      <c r="AN15" s="300">
        <v>4.7612844036697242</v>
      </c>
      <c r="AO15" s="300">
        <v>4.7612844036697242</v>
      </c>
      <c r="AP15" s="300">
        <v>4.7612844036697242</v>
      </c>
      <c r="AQ15" s="301"/>
      <c r="AR15" s="301"/>
      <c r="AS15" s="301"/>
      <c r="AT15" s="301"/>
      <c r="AU15" s="332">
        <f t="shared" si="26"/>
        <v>13.885216888788349</v>
      </c>
      <c r="AV15" s="332">
        <f t="shared" si="9"/>
        <v>9.5225688073394483</v>
      </c>
      <c r="AW15" s="302" t="str">
        <f t="shared" si="10"/>
        <v/>
      </c>
      <c r="AX15" s="302" t="str">
        <f t="shared" si="11"/>
        <v/>
      </c>
      <c r="AY15" s="347">
        <f t="shared" si="12"/>
        <v>7.7905816041111599E-3</v>
      </c>
      <c r="AZ15" s="347">
        <f t="shared" si="13"/>
        <v>-4.7106314628163393E-2</v>
      </c>
      <c r="BA15" s="347" t="str">
        <f t="shared" si="14"/>
        <v/>
      </c>
      <c r="BB15" s="347" t="str">
        <f t="shared" si="15"/>
        <v/>
      </c>
      <c r="BC15" s="347" t="str">
        <f t="shared" si="16"/>
        <v/>
      </c>
      <c r="BD15" s="347" t="str">
        <f t="shared" si="17"/>
        <v/>
      </c>
      <c r="BE15" s="347">
        <f t="shared" si="18"/>
        <v>0.11267469330714941</v>
      </c>
      <c r="BF15" s="347">
        <f t="shared" si="19"/>
        <v>-2.8309305373525752E-2</v>
      </c>
      <c r="BG15" s="347">
        <f t="shared" si="20"/>
        <v>-8.0657492354740956E-3</v>
      </c>
      <c r="BH15" s="347">
        <f t="shared" si="21"/>
        <v>-4.7743119266055165E-2</v>
      </c>
      <c r="BI15" s="347" t="str">
        <f t="shared" si="22"/>
        <v/>
      </c>
      <c r="BJ15" s="347">
        <f t="shared" si="23"/>
        <v>5.9940220518194635E-2</v>
      </c>
      <c r="BK15" s="347">
        <f t="shared" si="24"/>
        <v>-2.8309305373525752E-2</v>
      </c>
      <c r="BL15" s="288" t="str">
        <f t="shared" si="2"/>
        <v/>
      </c>
      <c r="BM15" s="136" t="str">
        <f t="shared" si="3"/>
        <v/>
      </c>
      <c r="BN15" s="334">
        <v>63.4497</v>
      </c>
      <c r="BO15" s="334">
        <f t="shared" si="25"/>
        <v>4.569586525597062</v>
      </c>
      <c r="BP15" s="94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</row>
    <row r="16" spans="1:79" s="89" customFormat="1" ht="11.25">
      <c r="A16" s="289" t="s">
        <v>215</v>
      </c>
      <c r="B16" s="290" t="s">
        <v>249</v>
      </c>
      <c r="C16" s="291"/>
      <c r="D16" s="292">
        <v>0.39652777777777781</v>
      </c>
      <c r="E16" s="293">
        <v>58.747320000000002</v>
      </c>
      <c r="F16" s="294"/>
      <c r="G16" s="294"/>
      <c r="H16" s="289"/>
      <c r="I16" s="290" t="s">
        <v>94</v>
      </c>
      <c r="J16" s="295">
        <f>IF(ISERROR(VLOOKUP(I16,Max_Load_France!$B$2:$C$102,2,FALSE)/1000),"",VLOOKUP(I16,Max_Load_France!$B$2:$C$102,2,FALSE)/1000)</f>
        <v>40</v>
      </c>
      <c r="K16" s="296"/>
      <c r="L16" s="297">
        <f t="shared" si="0"/>
        <v>0.36499999999999994</v>
      </c>
      <c r="M16" s="298">
        <f>IF(VLOOKUP($I16,Max_Load_France!$B$2:$M$102,3,FALSE)="","",VLOOKUP($I16,Max_Load_France!$B$2:$M$102,3,FALSE))</f>
        <v>0</v>
      </c>
      <c r="N16" s="298">
        <f>IF(VLOOKUP($I16,Max_Load_France!$B$2:$M$102,4,FALSE)="","",VLOOKUP($I16,Max_Load_France!$B$2:$M$102,4,FALSE))</f>
        <v>0</v>
      </c>
      <c r="O16" s="298">
        <f>IF(VLOOKUP($I16,Max_Load_France!$B$2:$M$102,5,FALSE)="","",VLOOKUP($I16,Max_Load_France!$B$2:$M$102,5,FALSE))</f>
        <v>1</v>
      </c>
      <c r="P16" s="298">
        <f>IF(VLOOKUP($I16,Max_Load_France!$B$2:$M$102,6,FALSE)="","",VLOOKUP($I16,Max_Load_France!$B$2:$M$102,6,FALSE))</f>
        <v>1</v>
      </c>
      <c r="Q16" s="298">
        <f>IF(VLOOKUP($I16,Max_Load_France!$B$2:$M$102,7,FALSE)="","",VLOOKUP($I16,Max_Load_France!$B$2:$M$102,7,FALSE))</f>
        <v>1</v>
      </c>
      <c r="R16" s="298" t="str">
        <f>IF(VLOOKUP($I16,Max_Load_France!$B$2:$M$102,8,FALSE)="","",VLOOKUP($I16,Max_Load_France!$B$2:$M$102,8,FALSE))</f>
        <v/>
      </c>
      <c r="S16" s="298" t="str">
        <f>IF(VLOOKUP($I16,Max_Load_France!$B$2:$M$102,9,FALSE)="","",VLOOKUP($I16,Max_Load_France!$B$2:$M$102,9,FALSE))</f>
        <v/>
      </c>
      <c r="T16" s="298" t="str">
        <f>IF(VLOOKUP($I16,Max_Load_France!$B$2:$M$102,10,FALSE)="","",VLOOKUP($I16,Max_Load_France!$B$2:$M$102,10,FALSE))</f>
        <v/>
      </c>
      <c r="U16" s="298" t="str">
        <f>IF(VLOOKUP($I16,Max_Load_France!$B$2:$M$102,11,FALSE)="","",VLOOKUP($I16,Max_Load_France!$B$2:$M$102,11,FALSE))</f>
        <v/>
      </c>
      <c r="V16" s="289">
        <v>5</v>
      </c>
      <c r="W16" s="299">
        <f t="shared" si="4"/>
        <v>14.599999999999998</v>
      </c>
      <c r="X16" s="300">
        <v>4.5999999999999996</v>
      </c>
      <c r="Y16" s="300">
        <v>3.8</v>
      </c>
      <c r="Z16" s="300">
        <v>2.1</v>
      </c>
      <c r="AA16" s="300">
        <v>2.1</v>
      </c>
      <c r="AB16" s="300">
        <v>2</v>
      </c>
      <c r="AC16" s="301"/>
      <c r="AD16" s="301"/>
      <c r="AE16" s="301"/>
      <c r="AF16" s="301"/>
      <c r="AG16" s="302">
        <f t="shared" si="5"/>
        <v>6.2</v>
      </c>
      <c r="AH16" s="302" t="str">
        <f t="shared" si="6"/>
        <v/>
      </c>
      <c r="AI16" s="302" t="str">
        <f t="shared" si="7"/>
        <v/>
      </c>
      <c r="AJ16" s="302" t="str">
        <f t="shared" si="8"/>
        <v/>
      </c>
      <c r="AK16" s="326">
        <f t="shared" si="1"/>
        <v>16.125667686034657</v>
      </c>
      <c r="AL16" s="323">
        <f>Site_PLtraf_new!AL16*(1-Site_PLtraf_new!$AZ$9)</f>
        <v>6.0187136004048805</v>
      </c>
      <c r="AM16" s="323">
        <f>Site_PLtraf_new!AM16+(Site_PLtraf_new!AL16*Site_PLtraf_new!$AZ$9)</f>
        <v>3.9445687645288601</v>
      </c>
      <c r="AN16" s="300">
        <v>2.0541284403669722</v>
      </c>
      <c r="AO16" s="300">
        <v>2.0541284403669722</v>
      </c>
      <c r="AP16" s="300">
        <v>2.0541284403669722</v>
      </c>
      <c r="AQ16" s="301"/>
      <c r="AR16" s="301"/>
      <c r="AS16" s="301"/>
      <c r="AT16" s="301"/>
      <c r="AU16" s="332">
        <f t="shared" si="26"/>
        <v>6.162385321100917</v>
      </c>
      <c r="AV16" s="332" t="str">
        <f t="shared" si="9"/>
        <v/>
      </c>
      <c r="AW16" s="302" t="str">
        <f t="shared" si="10"/>
        <v/>
      </c>
      <c r="AX16" s="302" t="str">
        <f t="shared" si="11"/>
        <v/>
      </c>
      <c r="AY16" s="347" t="str">
        <f t="shared" si="12"/>
        <v/>
      </c>
      <c r="AZ16" s="347" t="str">
        <f t="shared" si="13"/>
        <v/>
      </c>
      <c r="BA16" s="347" t="str">
        <f t="shared" si="14"/>
        <v/>
      </c>
      <c r="BB16" s="347" t="str">
        <f t="shared" si="15"/>
        <v/>
      </c>
      <c r="BC16" s="347" t="str">
        <f t="shared" si="16"/>
        <v/>
      </c>
      <c r="BD16" s="347" t="str">
        <f t="shared" si="17"/>
        <v/>
      </c>
      <c r="BE16" s="347" t="str">
        <f t="shared" si="18"/>
        <v/>
      </c>
      <c r="BF16" s="347" t="str">
        <f t="shared" si="19"/>
        <v/>
      </c>
      <c r="BG16" s="347" t="str">
        <f t="shared" si="20"/>
        <v/>
      </c>
      <c r="BH16" s="347" t="str">
        <f t="shared" si="21"/>
        <v/>
      </c>
      <c r="BI16" s="347" t="str">
        <f t="shared" si="22"/>
        <v/>
      </c>
      <c r="BJ16" s="347">
        <f t="shared" si="23"/>
        <v>-6.066883693400517E-3</v>
      </c>
      <c r="BK16" s="347" t="str">
        <f t="shared" si="24"/>
        <v/>
      </c>
      <c r="BL16" s="288" t="str">
        <f t="shared" si="2"/>
        <v/>
      </c>
      <c r="BM16" s="136" t="str">
        <f t="shared" si="3"/>
        <v/>
      </c>
      <c r="BN16" s="334">
        <v>11.212999999999999</v>
      </c>
      <c r="BO16" s="334">
        <f t="shared" si="25"/>
        <v>1.8195876135179396</v>
      </c>
      <c r="BP16" s="94"/>
      <c r="BQ16" s="76"/>
      <c r="BR16" s="76"/>
      <c r="BS16" s="76"/>
      <c r="BT16" s="70"/>
      <c r="BU16" s="76"/>
      <c r="BV16" s="76"/>
      <c r="BW16" s="76"/>
      <c r="BX16" s="76"/>
      <c r="BY16" s="76"/>
      <c r="BZ16" s="76"/>
      <c r="CA16" s="76"/>
    </row>
    <row r="17" spans="1:79" s="89" customFormat="1" ht="11.25">
      <c r="A17" s="289" t="s">
        <v>216</v>
      </c>
      <c r="B17" s="290" t="s">
        <v>251</v>
      </c>
      <c r="C17" s="291"/>
      <c r="D17" s="292">
        <v>0.39999999999999997</v>
      </c>
      <c r="E17" s="293">
        <v>61.18524</v>
      </c>
      <c r="F17" s="294"/>
      <c r="G17" s="294"/>
      <c r="H17" s="289"/>
      <c r="I17" s="290" t="s">
        <v>139</v>
      </c>
      <c r="J17" s="295">
        <f>IF(ISERROR(VLOOKUP(I17,Max_Load_France!$B$2:$C$102,2,FALSE)/1000),"",VLOOKUP(I17,Max_Load_France!$B$2:$C$102,2,FALSE)/1000)</f>
        <v>40</v>
      </c>
      <c r="K17" s="296"/>
      <c r="L17" s="297">
        <f t="shared" si="0"/>
        <v>1.0074999999999998</v>
      </c>
      <c r="M17" s="298">
        <f>IF(VLOOKUP($I17,Max_Load_France!$B$2:$M$102,3,FALSE)="","",VLOOKUP($I17,Max_Load_France!$B$2:$M$102,3,FALSE))</f>
        <v>0</v>
      </c>
      <c r="N17" s="298">
        <f>IF(VLOOKUP($I17,Max_Load_France!$B$2:$M$102,4,FALSE)="","",VLOOKUP($I17,Max_Load_France!$B$2:$M$102,4,FALSE))</f>
        <v>1</v>
      </c>
      <c r="O17" s="298">
        <f>IF(VLOOKUP($I17,Max_Load_France!$B$2:$M$102,5,FALSE)="","",VLOOKUP($I17,Max_Load_France!$B$2:$M$102,5,FALSE))</f>
        <v>1</v>
      </c>
      <c r="P17" s="298">
        <f>IF(VLOOKUP($I17,Max_Load_France!$B$2:$M$102,6,FALSE)="","",VLOOKUP($I17,Max_Load_France!$B$2:$M$102,6,FALSE))</f>
        <v>0</v>
      </c>
      <c r="Q17" s="298">
        <f>IF(VLOOKUP($I17,Max_Load_France!$B$2:$M$102,7,FALSE)="","",VLOOKUP($I17,Max_Load_France!$B$2:$M$102,7,FALSE))</f>
        <v>2</v>
      </c>
      <c r="R17" s="298">
        <f>IF(VLOOKUP($I17,Max_Load_France!$B$2:$M$102,8,FALSE)="","",VLOOKUP($I17,Max_Load_France!$B$2:$M$102,8,FALSE))</f>
        <v>2</v>
      </c>
      <c r="S17" s="298" t="str">
        <f>IF(VLOOKUP($I17,Max_Load_France!$B$2:$M$102,9,FALSE)="","",VLOOKUP($I17,Max_Load_France!$B$2:$M$102,9,FALSE))</f>
        <v/>
      </c>
      <c r="T17" s="298" t="str">
        <f>IF(VLOOKUP($I17,Max_Load_France!$B$2:$M$102,10,FALSE)="","",VLOOKUP($I17,Max_Load_France!$B$2:$M$102,10,FALSE))</f>
        <v/>
      </c>
      <c r="U17" s="298" t="str">
        <f>IF(VLOOKUP($I17,Max_Load_France!$B$2:$M$102,11,FALSE)="","",VLOOKUP($I17,Max_Load_France!$B$2:$M$102,11,FALSE))</f>
        <v/>
      </c>
      <c r="V17" s="289">
        <v>6</v>
      </c>
      <c r="W17" s="299">
        <f t="shared" si="4"/>
        <v>40.299999999999997</v>
      </c>
      <c r="X17" s="300">
        <v>7</v>
      </c>
      <c r="Y17" s="300">
        <v>12.6</v>
      </c>
      <c r="Z17" s="300">
        <v>7</v>
      </c>
      <c r="AA17" s="300">
        <v>6.9</v>
      </c>
      <c r="AB17" s="300">
        <v>3</v>
      </c>
      <c r="AC17" s="301">
        <v>3.8</v>
      </c>
      <c r="AD17" s="301"/>
      <c r="AE17" s="301"/>
      <c r="AF17" s="301"/>
      <c r="AG17" s="302">
        <f>Z17+AA17</f>
        <v>13.9</v>
      </c>
      <c r="AH17" s="302">
        <f t="shared" si="6"/>
        <v>6.8</v>
      </c>
      <c r="AI17" s="302" t="str">
        <f t="shared" si="7"/>
        <v/>
      </c>
      <c r="AJ17" s="302" t="str">
        <f t="shared" si="8"/>
        <v/>
      </c>
      <c r="AK17" s="326">
        <f t="shared" si="1"/>
        <v>39.341712538226304</v>
      </c>
      <c r="AL17" s="323">
        <f>Site_PLtraf_new!AL17*(1-Site_PLtraf_new!$AZ$9)</f>
        <v>6.2587394649868369</v>
      </c>
      <c r="AM17" s="323">
        <f>Site_PLtraf_new!AM17+(Site_PLtraf_new!AL17*Site_PLtraf_new!$AZ$9)</f>
        <v>13.827274806165049</v>
      </c>
      <c r="AN17" s="300">
        <v>6.9461875637104988</v>
      </c>
      <c r="AO17" s="300">
        <v>6.9461875637104988</v>
      </c>
      <c r="AP17" s="300">
        <v>2.6816615698267072</v>
      </c>
      <c r="AQ17" s="301">
        <v>2.6816615698267072</v>
      </c>
      <c r="AR17" s="301"/>
      <c r="AS17" s="301"/>
      <c r="AT17" s="301"/>
      <c r="AU17" s="332">
        <f>AN17+AO17</f>
        <v>13.892375127420998</v>
      </c>
      <c r="AV17" s="332">
        <f t="shared" si="9"/>
        <v>5.3633231396534145</v>
      </c>
      <c r="AW17" s="302" t="str">
        <f t="shared" si="10"/>
        <v/>
      </c>
      <c r="AX17" s="302" t="str">
        <f t="shared" si="11"/>
        <v/>
      </c>
      <c r="AY17" s="347">
        <f t="shared" si="12"/>
        <v>-2.3778845205302566E-2</v>
      </c>
      <c r="AZ17" s="347">
        <f t="shared" si="13"/>
        <v>-0.10589436214473759</v>
      </c>
      <c r="BA17" s="347" t="str">
        <f t="shared" si="14"/>
        <v/>
      </c>
      <c r="BB17" s="347" t="str">
        <f t="shared" si="15"/>
        <v/>
      </c>
      <c r="BC17" s="347">
        <f t="shared" si="16"/>
        <v>6.6938498131157214E-3</v>
      </c>
      <c r="BD17" s="347" t="str">
        <f t="shared" si="17"/>
        <v/>
      </c>
      <c r="BE17" s="347">
        <f t="shared" si="18"/>
        <v>9.7402762394051504E-2</v>
      </c>
      <c r="BF17" s="347">
        <f t="shared" si="19"/>
        <v>-7.6874908985001666E-3</v>
      </c>
      <c r="BG17" s="347" t="str">
        <f t="shared" si="20"/>
        <v/>
      </c>
      <c r="BH17" s="347" t="str">
        <f t="shared" si="21"/>
        <v/>
      </c>
      <c r="BI17" s="347" t="str">
        <f t="shared" si="22"/>
        <v/>
      </c>
      <c r="BJ17" s="347">
        <f t="shared" si="23"/>
        <v>-5.4855198410091251E-4</v>
      </c>
      <c r="BK17" s="347">
        <f t="shared" si="24"/>
        <v>-0.21127600887449785</v>
      </c>
      <c r="BL17" s="288" t="str">
        <f t="shared" si="2"/>
        <v/>
      </c>
      <c r="BM17" s="136" t="str">
        <f t="shared" si="3"/>
        <v/>
      </c>
      <c r="BN17" s="334">
        <v>80.444400000000002</v>
      </c>
      <c r="BO17" s="334">
        <f t="shared" si="25"/>
        <v>5.7905433205023042</v>
      </c>
      <c r="BP17" s="94"/>
      <c r="BQ17" s="76"/>
      <c r="BR17" s="76"/>
      <c r="BS17" s="76"/>
      <c r="BT17" s="70"/>
      <c r="BU17" s="76"/>
      <c r="BV17" s="76"/>
      <c r="BW17" s="76"/>
      <c r="BX17" s="76"/>
      <c r="BY17" s="76"/>
      <c r="BZ17" s="76"/>
      <c r="CA17" s="76"/>
    </row>
    <row r="18" spans="1:79" s="89" customFormat="1" ht="11.25">
      <c r="A18" s="289" t="s">
        <v>217</v>
      </c>
      <c r="B18" s="290" t="s">
        <v>252</v>
      </c>
      <c r="C18" s="291"/>
      <c r="D18" s="292">
        <v>0.40416666666666662</v>
      </c>
      <c r="E18" s="293">
        <v>71.9298</v>
      </c>
      <c r="F18" s="294"/>
      <c r="G18" s="294"/>
      <c r="H18" s="289"/>
      <c r="I18" s="290" t="s">
        <v>130</v>
      </c>
      <c r="J18" s="295">
        <f>IF(ISERROR(VLOOKUP(I18,Max_Load_France!$B$2:$C$102,2,FALSE)/1000),"",VLOOKUP(I18,Max_Load_France!$B$2:$C$102,2,FALSE)/1000)</f>
        <v>40</v>
      </c>
      <c r="K18" s="296"/>
      <c r="L18" s="297">
        <f t="shared" si="0"/>
        <v>0.52500000000000002</v>
      </c>
      <c r="M18" s="298">
        <f>IF(VLOOKUP($I18,Max_Load_France!$B$2:$M$102,3,FALSE)="","",VLOOKUP($I18,Max_Load_France!$B$2:$M$102,3,FALSE))</f>
        <v>0</v>
      </c>
      <c r="N18" s="298">
        <f>IF(VLOOKUP($I18,Max_Load_France!$B$2:$M$102,4,FALSE)="","",VLOOKUP($I18,Max_Load_France!$B$2:$M$102,4,FALSE))</f>
        <v>1</v>
      </c>
      <c r="O18" s="298">
        <f>IF(VLOOKUP($I18,Max_Load_France!$B$2:$M$102,5,FALSE)="","",VLOOKUP($I18,Max_Load_France!$B$2:$M$102,5,FALSE))</f>
        <v>1</v>
      </c>
      <c r="P18" s="298">
        <f>IF(VLOOKUP($I18,Max_Load_France!$B$2:$M$102,6,FALSE)="","",VLOOKUP($I18,Max_Load_France!$B$2:$M$102,6,FALSE))</f>
        <v>2</v>
      </c>
      <c r="Q18" s="298">
        <f>IF(VLOOKUP($I18,Max_Load_France!$B$2:$M$102,7,FALSE)="","",VLOOKUP($I18,Max_Load_France!$B$2:$M$102,7,FALSE))</f>
        <v>2</v>
      </c>
      <c r="R18" s="298" t="str">
        <f>IF(VLOOKUP($I18,Max_Load_France!$B$2:$M$102,8,FALSE)="","",VLOOKUP($I18,Max_Load_France!$B$2:$M$102,8,FALSE))</f>
        <v/>
      </c>
      <c r="S18" s="298" t="str">
        <f>IF(VLOOKUP($I18,Max_Load_France!$B$2:$M$102,9,FALSE)="","",VLOOKUP($I18,Max_Load_France!$B$2:$M$102,9,FALSE))</f>
        <v/>
      </c>
      <c r="T18" s="298" t="str">
        <f>IF(VLOOKUP($I18,Max_Load_France!$B$2:$M$102,10,FALSE)="","",VLOOKUP($I18,Max_Load_France!$B$2:$M$102,10,FALSE))</f>
        <v/>
      </c>
      <c r="U18" s="298" t="str">
        <f>IF(VLOOKUP($I18,Max_Load_France!$B$2:$M$102,11,FALSE)="","",VLOOKUP($I18,Max_Load_France!$B$2:$M$102,11,FALSE))</f>
        <v/>
      </c>
      <c r="V18" s="289">
        <v>5</v>
      </c>
      <c r="W18" s="299">
        <f t="shared" si="4"/>
        <v>21</v>
      </c>
      <c r="X18" s="300">
        <v>5.0999999999999996</v>
      </c>
      <c r="Y18" s="300">
        <v>5.9</v>
      </c>
      <c r="Z18" s="300">
        <v>5.7</v>
      </c>
      <c r="AA18" s="300">
        <v>2.2000000000000002</v>
      </c>
      <c r="AB18" s="300">
        <v>2.1</v>
      </c>
      <c r="AC18" s="301"/>
      <c r="AD18" s="301"/>
      <c r="AE18" s="301"/>
      <c r="AF18" s="301"/>
      <c r="AG18" s="302">
        <f t="shared" si="5"/>
        <v>11.600000000000001</v>
      </c>
      <c r="AH18" s="302">
        <f t="shared" si="6"/>
        <v>4.3000000000000007</v>
      </c>
      <c r="AI18" s="302" t="str">
        <f t="shared" si="7"/>
        <v/>
      </c>
      <c r="AJ18" s="302" t="str">
        <f t="shared" si="8"/>
        <v/>
      </c>
      <c r="AK18" s="326">
        <f t="shared" si="1"/>
        <v>21.066207951070339</v>
      </c>
      <c r="AL18" s="323">
        <f>Site_PLtraf_new!AL18*(1-Site_PLtraf_new!$AZ$9)</f>
        <v>5.0869264341756972</v>
      </c>
      <c r="AM18" s="323">
        <f>Site_PLtraf_new!AM18+(Site_PLtraf_new!AL18*Site_PLtraf_new!$AZ$9)</f>
        <v>5.6723396208701731</v>
      </c>
      <c r="AN18" s="300">
        <v>6.4942609582059116</v>
      </c>
      <c r="AO18" s="300">
        <v>1.9063404689092762</v>
      </c>
      <c r="AP18" s="300">
        <v>1.9063404689092762</v>
      </c>
      <c r="AQ18" s="301"/>
      <c r="AR18" s="301"/>
      <c r="AS18" s="301"/>
      <c r="AT18" s="301"/>
      <c r="AU18" s="332">
        <f t="shared" si="26"/>
        <v>12.166600579076086</v>
      </c>
      <c r="AV18" s="332">
        <f t="shared" si="9"/>
        <v>3.8126809378185524</v>
      </c>
      <c r="AW18" s="302" t="str">
        <f t="shared" si="10"/>
        <v/>
      </c>
      <c r="AX18" s="302" t="str">
        <f t="shared" si="11"/>
        <v/>
      </c>
      <c r="AY18" s="347">
        <f t="shared" si="12"/>
        <v>3.1527595747780609E-3</v>
      </c>
      <c r="AZ18" s="347">
        <f t="shared" si="13"/>
        <v>-2.5634442792749831E-3</v>
      </c>
      <c r="BA18" s="347" t="str">
        <f t="shared" si="14"/>
        <v/>
      </c>
      <c r="BB18" s="347" t="str">
        <f t="shared" si="15"/>
        <v/>
      </c>
      <c r="BC18" s="347" t="str">
        <f t="shared" si="16"/>
        <v/>
      </c>
      <c r="BD18" s="347" t="str">
        <f t="shared" si="17"/>
        <v/>
      </c>
      <c r="BE18" s="347">
        <f t="shared" si="18"/>
        <v>-3.8586504937258861E-2</v>
      </c>
      <c r="BF18" s="347">
        <f t="shared" si="19"/>
        <v>0.13934402775542307</v>
      </c>
      <c r="BG18" s="347" t="str">
        <f t="shared" si="20"/>
        <v/>
      </c>
      <c r="BH18" s="347" t="str">
        <f t="shared" si="21"/>
        <v/>
      </c>
      <c r="BI18" s="347" t="str">
        <f t="shared" si="22"/>
        <v/>
      </c>
      <c r="BJ18" s="347">
        <f t="shared" si="23"/>
        <v>4.8844877506558977E-2</v>
      </c>
      <c r="BK18" s="347" t="str">
        <f t="shared" si="24"/>
        <v/>
      </c>
      <c r="BL18" s="288" t="str">
        <f t="shared" si="2"/>
        <v/>
      </c>
      <c r="BM18" s="136" t="str">
        <f t="shared" si="3"/>
        <v/>
      </c>
      <c r="BN18" s="334">
        <v>49.796599999999998</v>
      </c>
      <c r="BO18" s="334">
        <f t="shared" si="25"/>
        <v>4.092893464887748</v>
      </c>
      <c r="BP18" s="94"/>
      <c r="BQ18" s="76"/>
      <c r="BR18" s="76"/>
      <c r="BS18" s="76"/>
      <c r="BT18" s="76"/>
      <c r="BU18" s="76"/>
      <c r="BV18" s="76"/>
      <c r="BW18" s="76"/>
      <c r="BX18" s="76"/>
      <c r="BY18" s="76"/>
      <c r="BZ18" s="76"/>
      <c r="CA18" s="76"/>
    </row>
    <row r="19" spans="1:79" s="89" customFormat="1" ht="11.25">
      <c r="A19" s="289" t="s">
        <v>218</v>
      </c>
      <c r="B19" s="290" t="s">
        <v>253</v>
      </c>
      <c r="C19" s="291"/>
      <c r="D19" s="292">
        <v>0.41736111111111113</v>
      </c>
      <c r="E19" s="293">
        <v>64.111320000000006</v>
      </c>
      <c r="F19" s="294"/>
      <c r="G19" s="294"/>
      <c r="H19" s="289"/>
      <c r="I19" s="290" t="s">
        <v>94</v>
      </c>
      <c r="J19" s="295">
        <f>IF(ISERROR(VLOOKUP(I19,Max_Load_France!$B$2:$C$102,2,FALSE)/1000),"",VLOOKUP(I19,Max_Load_France!$B$2:$C$102,2,FALSE)/1000)</f>
        <v>40</v>
      </c>
      <c r="K19" s="296"/>
      <c r="L19" s="297">
        <f t="shared" si="0"/>
        <v>1.0299999999999998</v>
      </c>
      <c r="M19" s="298">
        <f>IF(VLOOKUP($I19,Max_Load_France!$B$2:$M$102,3,FALSE)="","",VLOOKUP($I19,Max_Load_France!$B$2:$M$102,3,FALSE))</f>
        <v>0</v>
      </c>
      <c r="N19" s="298">
        <f>IF(VLOOKUP($I19,Max_Load_France!$B$2:$M$102,4,FALSE)="","",VLOOKUP($I19,Max_Load_France!$B$2:$M$102,4,FALSE))</f>
        <v>0</v>
      </c>
      <c r="O19" s="298">
        <f>IF(VLOOKUP($I19,Max_Load_France!$B$2:$M$102,5,FALSE)="","",VLOOKUP($I19,Max_Load_France!$B$2:$M$102,5,FALSE))</f>
        <v>1</v>
      </c>
      <c r="P19" s="298">
        <f>IF(VLOOKUP($I19,Max_Load_France!$B$2:$M$102,6,FALSE)="","",VLOOKUP($I19,Max_Load_France!$B$2:$M$102,6,FALSE))</f>
        <v>1</v>
      </c>
      <c r="Q19" s="298">
        <f>IF(VLOOKUP($I19,Max_Load_France!$B$2:$M$102,7,FALSE)="","",VLOOKUP($I19,Max_Load_France!$B$2:$M$102,7,FALSE))</f>
        <v>1</v>
      </c>
      <c r="R19" s="298" t="str">
        <f>IF(VLOOKUP($I19,Max_Load_France!$B$2:$M$102,8,FALSE)="","",VLOOKUP($I19,Max_Load_France!$B$2:$M$102,8,FALSE))</f>
        <v/>
      </c>
      <c r="S19" s="298" t="str">
        <f>IF(VLOOKUP($I19,Max_Load_France!$B$2:$M$102,9,FALSE)="","",VLOOKUP($I19,Max_Load_France!$B$2:$M$102,9,FALSE))</f>
        <v/>
      </c>
      <c r="T19" s="298" t="str">
        <f>IF(VLOOKUP($I19,Max_Load_France!$B$2:$M$102,10,FALSE)="","",VLOOKUP($I19,Max_Load_France!$B$2:$M$102,10,FALSE))</f>
        <v/>
      </c>
      <c r="U19" s="298" t="str">
        <f>IF(VLOOKUP($I19,Max_Load_France!$B$2:$M$102,11,FALSE)="","",VLOOKUP($I19,Max_Load_France!$B$2:$M$102,11,FALSE))</f>
        <v/>
      </c>
      <c r="V19" s="289">
        <v>5</v>
      </c>
      <c r="W19" s="299">
        <f t="shared" si="4"/>
        <v>41.199999999999996</v>
      </c>
      <c r="X19" s="300">
        <v>7.1</v>
      </c>
      <c r="Y19" s="300">
        <v>15</v>
      </c>
      <c r="Z19" s="300">
        <v>6.4</v>
      </c>
      <c r="AA19" s="300">
        <v>6.3</v>
      </c>
      <c r="AB19" s="300">
        <v>6.4</v>
      </c>
      <c r="AC19" s="301"/>
      <c r="AD19" s="301"/>
      <c r="AE19" s="301"/>
      <c r="AF19" s="301"/>
      <c r="AG19" s="302">
        <f t="shared" si="5"/>
        <v>19.100000000000001</v>
      </c>
      <c r="AH19" s="302" t="str">
        <f t="shared" si="6"/>
        <v/>
      </c>
      <c r="AI19" s="302" t="str">
        <f t="shared" si="7"/>
        <v/>
      </c>
      <c r="AJ19" s="302" t="str">
        <f t="shared" si="8"/>
        <v/>
      </c>
      <c r="AK19" s="326">
        <f t="shared" si="1"/>
        <v>39.948960244648312</v>
      </c>
      <c r="AL19" s="323">
        <f>Site_PLtraf_new!AL19*(1-Site_PLtraf_new!$AZ$9)</f>
        <v>5.9659108281488056</v>
      </c>
      <c r="AM19" s="323">
        <f>Site_PLtraf_new!AM19+(Site_PLtraf_new!AL19*Site_PLtraf_new!$AZ$9)</f>
        <v>15.784884278884833</v>
      </c>
      <c r="AN19" s="300">
        <v>6.0660550458715594</v>
      </c>
      <c r="AO19" s="300">
        <v>6.0660550458715594</v>
      </c>
      <c r="AP19" s="300">
        <v>6.0660550458715594</v>
      </c>
      <c r="AQ19" s="301"/>
      <c r="AR19" s="301"/>
      <c r="AS19" s="301"/>
      <c r="AT19" s="301"/>
      <c r="AU19" s="332">
        <f t="shared" si="26"/>
        <v>18.19816513761468</v>
      </c>
      <c r="AV19" s="332" t="str">
        <f t="shared" si="9"/>
        <v/>
      </c>
      <c r="AW19" s="302" t="str">
        <f t="shared" si="10"/>
        <v/>
      </c>
      <c r="AX19" s="302" t="str">
        <f t="shared" si="11"/>
        <v/>
      </c>
      <c r="AY19" s="347">
        <f t="shared" si="12"/>
        <v>-3.0365042605623397E-2</v>
      </c>
      <c r="AZ19" s="347">
        <f t="shared" si="13"/>
        <v>-0.15973086927481608</v>
      </c>
      <c r="BA19" s="347">
        <f t="shared" si="14"/>
        <v>5.2325618592322223E-2</v>
      </c>
      <c r="BB19" s="347" t="str">
        <f t="shared" si="15"/>
        <v/>
      </c>
      <c r="BC19" s="347" t="str">
        <f t="shared" si="16"/>
        <v/>
      </c>
      <c r="BD19" s="347" t="str">
        <f t="shared" si="17"/>
        <v/>
      </c>
      <c r="BE19" s="347" t="str">
        <f t="shared" si="18"/>
        <v/>
      </c>
      <c r="BF19" s="347">
        <f t="shared" si="19"/>
        <v>-5.2178899082568897E-2</v>
      </c>
      <c r="BG19" s="347">
        <f t="shared" si="20"/>
        <v>-3.713411970292705E-2</v>
      </c>
      <c r="BH19" s="347">
        <f t="shared" si="21"/>
        <v>-5.2178899082568897E-2</v>
      </c>
      <c r="BI19" s="347" t="str">
        <f t="shared" si="22"/>
        <v/>
      </c>
      <c r="BJ19" s="347">
        <f t="shared" si="23"/>
        <v>-4.7216484941639859E-2</v>
      </c>
      <c r="BK19" s="347" t="str">
        <f t="shared" si="24"/>
        <v/>
      </c>
      <c r="BL19" s="288" t="str">
        <f t="shared" si="2"/>
        <v/>
      </c>
      <c r="BM19" s="136" t="str">
        <f t="shared" si="3"/>
        <v/>
      </c>
      <c r="BN19" s="334">
        <v>68.449799999999996</v>
      </c>
      <c r="BO19" s="334">
        <f t="shared" si="25"/>
        <v>3.7613572292800965</v>
      </c>
      <c r="BP19" s="94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</row>
    <row r="20" spans="1:79" s="89" customFormat="1" ht="11.25">
      <c r="A20" s="289" t="s">
        <v>219</v>
      </c>
      <c r="B20" s="290" t="s">
        <v>254</v>
      </c>
      <c r="C20" s="291"/>
      <c r="D20" s="292">
        <v>0.4284722222222222</v>
      </c>
      <c r="E20" s="293">
        <v>57.825719999999997</v>
      </c>
      <c r="F20" s="294"/>
      <c r="G20" s="294"/>
      <c r="H20" s="289"/>
      <c r="I20" s="290" t="s">
        <v>94</v>
      </c>
      <c r="J20" s="295">
        <f>IF(ISERROR(VLOOKUP(I20,Max_Load_France!$B$2:$C$102,2,FALSE)/1000),"",VLOOKUP(I20,Max_Load_France!$B$2:$C$102,2,FALSE)/1000)</f>
        <v>40</v>
      </c>
      <c r="K20" s="296"/>
      <c r="L20" s="297">
        <f t="shared" si="0"/>
        <v>0.99250000000000005</v>
      </c>
      <c r="M20" s="298">
        <f>IF(VLOOKUP($I20,Max_Load_France!$B$2:$M$102,3,FALSE)="","",VLOOKUP($I20,Max_Load_France!$B$2:$M$102,3,FALSE))</f>
        <v>0</v>
      </c>
      <c r="N20" s="298">
        <f>IF(VLOOKUP($I20,Max_Load_France!$B$2:$M$102,4,FALSE)="","",VLOOKUP($I20,Max_Load_France!$B$2:$M$102,4,FALSE))</f>
        <v>0</v>
      </c>
      <c r="O20" s="298">
        <f>IF(VLOOKUP($I20,Max_Load_France!$B$2:$M$102,5,FALSE)="","",VLOOKUP($I20,Max_Load_France!$B$2:$M$102,5,FALSE))</f>
        <v>1</v>
      </c>
      <c r="P20" s="298">
        <f>IF(VLOOKUP($I20,Max_Load_France!$B$2:$M$102,6,FALSE)="","",VLOOKUP($I20,Max_Load_France!$B$2:$M$102,6,FALSE))</f>
        <v>1</v>
      </c>
      <c r="Q20" s="298">
        <f>IF(VLOOKUP($I20,Max_Load_France!$B$2:$M$102,7,FALSE)="","",VLOOKUP($I20,Max_Load_France!$B$2:$M$102,7,FALSE))</f>
        <v>1</v>
      </c>
      <c r="R20" s="298" t="str">
        <f>IF(VLOOKUP($I20,Max_Load_France!$B$2:$M$102,8,FALSE)="","",VLOOKUP($I20,Max_Load_France!$B$2:$M$102,8,FALSE))</f>
        <v/>
      </c>
      <c r="S20" s="298" t="str">
        <f>IF(VLOOKUP($I20,Max_Load_France!$B$2:$M$102,9,FALSE)="","",VLOOKUP($I20,Max_Load_France!$B$2:$M$102,9,FALSE))</f>
        <v/>
      </c>
      <c r="T20" s="298" t="str">
        <f>IF(VLOOKUP($I20,Max_Load_France!$B$2:$M$102,10,FALSE)="","",VLOOKUP($I20,Max_Load_France!$B$2:$M$102,10,FALSE))</f>
        <v/>
      </c>
      <c r="U20" s="298" t="str">
        <f>IF(VLOOKUP($I20,Max_Load_France!$B$2:$M$102,11,FALSE)="","",VLOOKUP($I20,Max_Load_France!$B$2:$M$102,11,FALSE))</f>
        <v/>
      </c>
      <c r="V20" s="289">
        <v>5</v>
      </c>
      <c r="W20" s="299">
        <f t="shared" si="4"/>
        <v>39.700000000000003</v>
      </c>
      <c r="X20" s="300">
        <v>7.4</v>
      </c>
      <c r="Y20" s="300">
        <v>14.8</v>
      </c>
      <c r="Z20" s="300">
        <v>5.0999999999999996</v>
      </c>
      <c r="AA20" s="300">
        <v>6</v>
      </c>
      <c r="AB20" s="300">
        <v>6.4</v>
      </c>
      <c r="AC20" s="301"/>
      <c r="AD20" s="301"/>
      <c r="AE20" s="301"/>
      <c r="AF20" s="301"/>
      <c r="AG20" s="302">
        <f t="shared" si="5"/>
        <v>17.5</v>
      </c>
      <c r="AH20" s="302" t="str">
        <f t="shared" si="6"/>
        <v/>
      </c>
      <c r="AI20" s="302" t="str">
        <f t="shared" si="7"/>
        <v/>
      </c>
      <c r="AJ20" s="302" t="str">
        <f t="shared" si="8"/>
        <v/>
      </c>
      <c r="AK20" s="326">
        <f t="shared" si="1"/>
        <v>35.208481141692147</v>
      </c>
      <c r="AL20" s="323">
        <f>Site_PLtraf_new!AL20*(1-Site_PLtraf_new!$AZ$9)</f>
        <v>6.6186445223951571</v>
      </c>
      <c r="AM20" s="323">
        <f>Site_PLtraf_new!AM20+(Site_PLtraf_new!AL20*Site_PLtraf_new!$AZ$9)</f>
        <v>14.35230348983726</v>
      </c>
      <c r="AN20" s="300">
        <v>7.1187665647298672</v>
      </c>
      <c r="AO20" s="300">
        <v>7.1187665647298672</v>
      </c>
      <c r="AP20" s="300"/>
      <c r="AQ20" s="301"/>
      <c r="AR20" s="301"/>
      <c r="AS20" s="301"/>
      <c r="AT20" s="301"/>
      <c r="AU20" s="332">
        <f t="shared" si="26"/>
        <v>14.237533129459734</v>
      </c>
      <c r="AV20" s="332" t="str">
        <f t="shared" si="9"/>
        <v/>
      </c>
      <c r="AW20" s="302" t="str">
        <f t="shared" si="10"/>
        <v/>
      </c>
      <c r="AX20" s="302" t="str">
        <f t="shared" si="11"/>
        <v/>
      </c>
      <c r="AY20" s="347" t="str">
        <f t="shared" si="12"/>
        <v/>
      </c>
      <c r="AZ20" s="347" t="str">
        <f t="shared" si="13"/>
        <v/>
      </c>
      <c r="BA20" s="347" t="str">
        <f t="shared" si="14"/>
        <v/>
      </c>
      <c r="BB20" s="347" t="str">
        <f t="shared" si="15"/>
        <v/>
      </c>
      <c r="BC20" s="347" t="str">
        <f t="shared" si="16"/>
        <v/>
      </c>
      <c r="BD20" s="347" t="str">
        <f t="shared" si="17"/>
        <v/>
      </c>
      <c r="BE20" s="347" t="str">
        <f t="shared" si="18"/>
        <v/>
      </c>
      <c r="BF20" s="347" t="str">
        <f t="shared" si="19"/>
        <v/>
      </c>
      <c r="BG20" s="347" t="str">
        <f t="shared" si="20"/>
        <v/>
      </c>
      <c r="BH20" s="347" t="str">
        <f t="shared" si="21"/>
        <v/>
      </c>
      <c r="BI20" s="347" t="str">
        <f t="shared" si="22"/>
        <v/>
      </c>
      <c r="BJ20" s="347" t="b">
        <f t="shared" si="23"/>
        <v>0</v>
      </c>
      <c r="BK20" s="347" t="b">
        <f t="shared" si="24"/>
        <v>0</v>
      </c>
      <c r="BL20" s="288" t="str">
        <f t="shared" si="2"/>
        <v/>
      </c>
      <c r="BM20" s="136" t="str">
        <f t="shared" si="3"/>
        <v/>
      </c>
      <c r="BN20" s="334">
        <v>182.994</v>
      </c>
      <c r="BO20" s="334">
        <f t="shared" si="25"/>
        <v>12.852928828053516</v>
      </c>
      <c r="BP20" s="94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</row>
    <row r="21" spans="1:79" s="89" customFormat="1" ht="11.25">
      <c r="A21" s="289" t="s">
        <v>220</v>
      </c>
      <c r="B21" s="290" t="s">
        <v>255</v>
      </c>
      <c r="C21" s="291"/>
      <c r="D21" s="292">
        <v>0.44027777777777777</v>
      </c>
      <c r="E21" s="293">
        <v>54.411839999999998</v>
      </c>
      <c r="F21" s="294"/>
      <c r="G21" s="294"/>
      <c r="H21" s="289"/>
      <c r="I21" s="290" t="s">
        <v>94</v>
      </c>
      <c r="J21" s="295">
        <f>IF(ISERROR(VLOOKUP(I21,Max_Load_France!$B$2:$C$102,2,FALSE)/1000),"",VLOOKUP(I21,Max_Load_France!$B$2:$C$102,2,FALSE)/1000)</f>
        <v>40</v>
      </c>
      <c r="K21" s="296"/>
      <c r="L21" s="297">
        <f t="shared" si="0"/>
        <v>0.89499999999999991</v>
      </c>
      <c r="M21" s="298">
        <f>IF(VLOOKUP($I21,Max_Load_France!$B$2:$M$102,3,FALSE)="","",VLOOKUP($I21,Max_Load_France!$B$2:$M$102,3,FALSE))</f>
        <v>0</v>
      </c>
      <c r="N21" s="298">
        <f>IF(VLOOKUP($I21,Max_Load_France!$B$2:$M$102,4,FALSE)="","",VLOOKUP($I21,Max_Load_France!$B$2:$M$102,4,FALSE))</f>
        <v>0</v>
      </c>
      <c r="O21" s="298">
        <f>IF(VLOOKUP($I21,Max_Load_France!$B$2:$M$102,5,FALSE)="","",VLOOKUP($I21,Max_Load_France!$B$2:$M$102,5,FALSE))</f>
        <v>1</v>
      </c>
      <c r="P21" s="298">
        <f>IF(VLOOKUP($I21,Max_Load_France!$B$2:$M$102,6,FALSE)="","",VLOOKUP($I21,Max_Load_France!$B$2:$M$102,6,FALSE))</f>
        <v>1</v>
      </c>
      <c r="Q21" s="298">
        <f>IF(VLOOKUP($I21,Max_Load_France!$B$2:$M$102,7,FALSE)="","",VLOOKUP($I21,Max_Load_France!$B$2:$M$102,7,FALSE))</f>
        <v>1</v>
      </c>
      <c r="R21" s="298" t="str">
        <f>IF(VLOOKUP($I21,Max_Load_France!$B$2:$M$102,8,FALSE)="","",VLOOKUP($I21,Max_Load_France!$B$2:$M$102,8,FALSE))</f>
        <v/>
      </c>
      <c r="S21" s="298" t="str">
        <f>IF(VLOOKUP($I21,Max_Load_France!$B$2:$M$102,9,FALSE)="","",VLOOKUP($I21,Max_Load_France!$B$2:$M$102,9,FALSE))</f>
        <v/>
      </c>
      <c r="T21" s="298" t="str">
        <f>IF(VLOOKUP($I21,Max_Load_France!$B$2:$M$102,10,FALSE)="","",VLOOKUP($I21,Max_Load_France!$B$2:$M$102,10,FALSE))</f>
        <v/>
      </c>
      <c r="U21" s="298" t="str">
        <f>IF(VLOOKUP($I21,Max_Load_France!$B$2:$M$102,11,FALSE)="","",VLOOKUP($I21,Max_Load_France!$B$2:$M$102,11,FALSE))</f>
        <v/>
      </c>
      <c r="V21" s="289">
        <v>5</v>
      </c>
      <c r="W21" s="299">
        <f t="shared" si="4"/>
        <v>35.799999999999997</v>
      </c>
      <c r="X21" s="300">
        <v>7.1</v>
      </c>
      <c r="Y21" s="300">
        <v>9.5</v>
      </c>
      <c r="Z21" s="300">
        <v>6.7</v>
      </c>
      <c r="AA21" s="300">
        <v>6.2</v>
      </c>
      <c r="AB21" s="300">
        <v>6.3</v>
      </c>
      <c r="AC21" s="301"/>
      <c r="AD21" s="301"/>
      <c r="AE21" s="301"/>
      <c r="AF21" s="301"/>
      <c r="AG21" s="302">
        <f t="shared" si="5"/>
        <v>19.2</v>
      </c>
      <c r="AH21" s="302" t="str">
        <f t="shared" si="6"/>
        <v/>
      </c>
      <c r="AI21" s="302" t="str">
        <f t="shared" si="7"/>
        <v/>
      </c>
      <c r="AJ21" s="302" t="str">
        <f t="shared" si="8"/>
        <v/>
      </c>
      <c r="AK21" s="326">
        <f t="shared" si="1"/>
        <v>38.799153924566767</v>
      </c>
      <c r="AL21" s="323">
        <f>Site_PLtraf_new!AL21*(1-Site_PLtraf_new!$AZ$9)</f>
        <v>6.6699518442741885</v>
      </c>
      <c r="AM21" s="323">
        <f>Site_PLtraf_new!AM21+(Site_PLtraf_new!AL21*Site_PLtraf_new!$AZ$9)</f>
        <v>11.282443670506646</v>
      </c>
      <c r="AN21" s="300">
        <v>6.9489194699286436</v>
      </c>
      <c r="AO21" s="300">
        <v>6.9489194699286436</v>
      </c>
      <c r="AP21" s="300">
        <v>6.9489194699286436</v>
      </c>
      <c r="AQ21" s="301"/>
      <c r="AR21" s="301"/>
      <c r="AS21" s="301"/>
      <c r="AT21" s="301"/>
      <c r="AU21" s="332">
        <f t="shared" si="26"/>
        <v>20.846758409785931</v>
      </c>
      <c r="AV21" s="332" t="str">
        <f t="shared" si="9"/>
        <v/>
      </c>
      <c r="AW21" s="302" t="str">
        <f t="shared" si="10"/>
        <v/>
      </c>
      <c r="AX21" s="302" t="str">
        <f t="shared" si="11"/>
        <v/>
      </c>
      <c r="AY21" s="347">
        <f t="shared" si="12"/>
        <v>8.3775249289574569E-2</v>
      </c>
      <c r="AZ21" s="347">
        <f t="shared" si="13"/>
        <v>-6.0570162778283261E-2</v>
      </c>
      <c r="BA21" s="347">
        <f t="shared" si="14"/>
        <v>0.18762564952701541</v>
      </c>
      <c r="BB21" s="347" t="str">
        <f t="shared" si="15"/>
        <v/>
      </c>
      <c r="BC21" s="347" t="str">
        <f t="shared" si="16"/>
        <v/>
      </c>
      <c r="BD21" s="347" t="str">
        <f t="shared" si="17"/>
        <v/>
      </c>
      <c r="BE21" s="347" t="str">
        <f t="shared" si="18"/>
        <v/>
      </c>
      <c r="BF21" s="347">
        <f t="shared" si="19"/>
        <v>3.7152159690842304E-2</v>
      </c>
      <c r="BG21" s="347">
        <f t="shared" si="20"/>
        <v>0.12079346289171668</v>
      </c>
      <c r="BH21" s="347">
        <f t="shared" si="21"/>
        <v>0.1030030904648641</v>
      </c>
      <c r="BI21" s="347" t="str">
        <f t="shared" si="22"/>
        <v/>
      </c>
      <c r="BJ21" s="347">
        <f t="shared" si="23"/>
        <v>8.5768667176350608E-2</v>
      </c>
      <c r="BK21" s="347" t="str">
        <f t="shared" si="24"/>
        <v/>
      </c>
      <c r="BL21" s="288" t="str">
        <f t="shared" si="2"/>
        <v/>
      </c>
      <c r="BM21" s="136" t="str">
        <f t="shared" si="3"/>
        <v/>
      </c>
      <c r="BN21" s="334">
        <v>53.984299999999998</v>
      </c>
      <c r="BO21" s="334">
        <f t="shared" si="25"/>
        <v>2.5895776666485744</v>
      </c>
      <c r="BP21" s="94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</row>
    <row r="22" spans="1:79" s="89" customFormat="1" ht="11.25">
      <c r="A22" s="289" t="s">
        <v>221</v>
      </c>
      <c r="B22" s="290" t="s">
        <v>256</v>
      </c>
      <c r="C22" s="291"/>
      <c r="D22" s="292">
        <v>0.44722222222222219</v>
      </c>
      <c r="E22" s="293">
        <v>55.434600000000003</v>
      </c>
      <c r="F22" s="294"/>
      <c r="G22" s="294"/>
      <c r="H22" s="289"/>
      <c r="I22" s="290" t="s">
        <v>94</v>
      </c>
      <c r="J22" s="295">
        <f>IF(ISERROR(VLOOKUP(I22,Max_Load_France!$B$2:$C$102,2,FALSE)/1000),"",VLOOKUP(I22,Max_Load_France!$B$2:$C$102,2,FALSE)/1000)</f>
        <v>40</v>
      </c>
      <c r="K22" s="296"/>
      <c r="L22" s="297">
        <f t="shared" si="0"/>
        <v>1.0325</v>
      </c>
      <c r="M22" s="298">
        <f>IF(VLOOKUP($I22,Max_Load_France!$B$2:$M$102,3,FALSE)="","",VLOOKUP($I22,Max_Load_France!$B$2:$M$102,3,FALSE))</f>
        <v>0</v>
      </c>
      <c r="N22" s="298">
        <f>IF(VLOOKUP($I22,Max_Load_France!$B$2:$M$102,4,FALSE)="","",VLOOKUP($I22,Max_Load_France!$B$2:$M$102,4,FALSE))</f>
        <v>0</v>
      </c>
      <c r="O22" s="298">
        <f>IF(VLOOKUP($I22,Max_Load_France!$B$2:$M$102,5,FALSE)="","",VLOOKUP($I22,Max_Load_France!$B$2:$M$102,5,FALSE))</f>
        <v>1</v>
      </c>
      <c r="P22" s="298">
        <f>IF(VLOOKUP($I22,Max_Load_France!$B$2:$M$102,6,FALSE)="","",VLOOKUP($I22,Max_Load_France!$B$2:$M$102,6,FALSE))</f>
        <v>1</v>
      </c>
      <c r="Q22" s="298">
        <f>IF(VLOOKUP($I22,Max_Load_France!$B$2:$M$102,7,FALSE)="","",VLOOKUP($I22,Max_Load_France!$B$2:$M$102,7,FALSE))</f>
        <v>1</v>
      </c>
      <c r="R22" s="298" t="str">
        <f>IF(VLOOKUP($I22,Max_Load_France!$B$2:$M$102,8,FALSE)="","",VLOOKUP($I22,Max_Load_France!$B$2:$M$102,8,FALSE))</f>
        <v/>
      </c>
      <c r="S22" s="298" t="str">
        <f>IF(VLOOKUP($I22,Max_Load_France!$B$2:$M$102,9,FALSE)="","",VLOOKUP($I22,Max_Load_France!$B$2:$M$102,9,FALSE))</f>
        <v/>
      </c>
      <c r="T22" s="298" t="str">
        <f>IF(VLOOKUP($I22,Max_Load_France!$B$2:$M$102,10,FALSE)="","",VLOOKUP($I22,Max_Load_France!$B$2:$M$102,10,FALSE))</f>
        <v/>
      </c>
      <c r="U22" s="298" t="str">
        <f>IF(VLOOKUP($I22,Max_Load_France!$B$2:$M$102,11,FALSE)="","",VLOOKUP($I22,Max_Load_France!$B$2:$M$102,11,FALSE))</f>
        <v/>
      </c>
      <c r="V22" s="289">
        <v>5</v>
      </c>
      <c r="W22" s="299">
        <f t="shared" si="4"/>
        <v>41.3</v>
      </c>
      <c r="X22" s="300">
        <v>8.3000000000000007</v>
      </c>
      <c r="Y22" s="300">
        <v>11.4</v>
      </c>
      <c r="Z22" s="300">
        <v>7.2</v>
      </c>
      <c r="AA22" s="300">
        <v>7.1</v>
      </c>
      <c r="AB22" s="300">
        <v>7.3</v>
      </c>
      <c r="AC22" s="301"/>
      <c r="AD22" s="301"/>
      <c r="AE22" s="301"/>
      <c r="AF22" s="301"/>
      <c r="AG22" s="302">
        <f t="shared" si="5"/>
        <v>21.6</v>
      </c>
      <c r="AH22" s="302" t="str">
        <f t="shared" si="6"/>
        <v/>
      </c>
      <c r="AI22" s="302" t="str">
        <f t="shared" si="7"/>
        <v/>
      </c>
      <c r="AJ22" s="302" t="str">
        <f t="shared" si="8"/>
        <v/>
      </c>
      <c r="AK22" s="326">
        <f t="shared" si="1"/>
        <v>40.613272171253826</v>
      </c>
      <c r="AL22" s="323">
        <f>Site_PLtraf_new!AL22*(1-Site_PLtraf_new!$AZ$9)</f>
        <v>7.9399418002448501</v>
      </c>
      <c r="AM22" s="323">
        <f>Site_PLtraf_new!AM22+(Site_PLtraf_new!AL22*Site_PLtraf_new!$AZ$9)</f>
        <v>12.117000095779616</v>
      </c>
      <c r="AN22" s="300">
        <v>6.8521100917431186</v>
      </c>
      <c r="AO22" s="300">
        <v>6.8521100917431186</v>
      </c>
      <c r="AP22" s="300">
        <v>6.8521100917431186</v>
      </c>
      <c r="AQ22" s="301"/>
      <c r="AR22" s="301"/>
      <c r="AS22" s="301"/>
      <c r="AT22" s="301"/>
      <c r="AU22" s="332">
        <f t="shared" si="26"/>
        <v>20.556330275229357</v>
      </c>
      <c r="AV22" s="332" t="str">
        <f t="shared" si="9"/>
        <v/>
      </c>
      <c r="AW22" s="302" t="str">
        <f t="shared" si="10"/>
        <v/>
      </c>
      <c r="AX22" s="302" t="str">
        <f t="shared" si="11"/>
        <v/>
      </c>
      <c r="AY22" s="347">
        <f t="shared" si="12"/>
        <v>-1.6627792463587691E-2</v>
      </c>
      <c r="AZ22" s="347">
        <f t="shared" si="13"/>
        <v>-4.3380505994596461E-2</v>
      </c>
      <c r="BA22" s="347">
        <f t="shared" si="14"/>
        <v>6.2894745243825947E-2</v>
      </c>
      <c r="BB22" s="347" t="str">
        <f t="shared" si="15"/>
        <v/>
      </c>
      <c r="BC22" s="347" t="str">
        <f t="shared" si="16"/>
        <v/>
      </c>
      <c r="BD22" s="347" t="str">
        <f t="shared" si="17"/>
        <v/>
      </c>
      <c r="BE22" s="347" t="str">
        <f t="shared" si="18"/>
        <v/>
      </c>
      <c r="BF22" s="347">
        <f t="shared" si="19"/>
        <v>-4.8318042813455774E-2</v>
      </c>
      <c r="BG22" s="347">
        <f t="shared" si="20"/>
        <v>-3.4914071585476207E-2</v>
      </c>
      <c r="BH22" s="347">
        <f t="shared" si="21"/>
        <v>-6.1354781952997435E-2</v>
      </c>
      <c r="BI22" s="347" t="str">
        <f t="shared" si="22"/>
        <v/>
      </c>
      <c r="BJ22" s="347">
        <f t="shared" si="23"/>
        <v>-4.8318042813455774E-2</v>
      </c>
      <c r="BK22" s="347" t="str">
        <f t="shared" si="24"/>
        <v/>
      </c>
      <c r="BL22" s="288" t="str">
        <f t="shared" si="2"/>
        <v/>
      </c>
      <c r="BM22" s="136" t="str">
        <f t="shared" si="3"/>
        <v/>
      </c>
      <c r="BN22" s="334">
        <v>68.422300000000007</v>
      </c>
      <c r="BO22" s="334">
        <f t="shared" si="25"/>
        <v>3.3285269833618973</v>
      </c>
      <c r="BP22" s="94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</row>
    <row r="23" spans="1:79" s="89" customFormat="1" ht="11.25">
      <c r="A23" s="289" t="s">
        <v>222</v>
      </c>
      <c r="B23" s="290" t="s">
        <v>257</v>
      </c>
      <c r="C23" s="291"/>
      <c r="D23" s="292">
        <v>0.45347222222222222</v>
      </c>
      <c r="E23" s="293">
        <v>67.331519999999998</v>
      </c>
      <c r="F23" s="294"/>
      <c r="G23" s="294"/>
      <c r="H23" s="289"/>
      <c r="I23" s="290" t="s">
        <v>94</v>
      </c>
      <c r="J23" s="295">
        <f>IF(ISERROR(VLOOKUP(I23,Max_Load_France!$B$2:$C$102,2,FALSE)/1000),"",VLOOKUP(I23,Max_Load_France!$B$2:$C$102,2,FALSE)/1000)</f>
        <v>40</v>
      </c>
      <c r="K23" s="296"/>
      <c r="L23" s="297">
        <f t="shared" si="0"/>
        <v>0.93</v>
      </c>
      <c r="M23" s="298">
        <f>IF(VLOOKUP($I23,Max_Load_France!$B$2:$M$102,3,FALSE)="","",VLOOKUP($I23,Max_Load_France!$B$2:$M$102,3,FALSE))</f>
        <v>0</v>
      </c>
      <c r="N23" s="298">
        <f>IF(VLOOKUP($I23,Max_Load_France!$B$2:$M$102,4,FALSE)="","",VLOOKUP($I23,Max_Load_France!$B$2:$M$102,4,FALSE))</f>
        <v>0</v>
      </c>
      <c r="O23" s="298">
        <f>IF(VLOOKUP($I23,Max_Load_France!$B$2:$M$102,5,FALSE)="","",VLOOKUP($I23,Max_Load_France!$B$2:$M$102,5,FALSE))</f>
        <v>1</v>
      </c>
      <c r="P23" s="298">
        <f>IF(VLOOKUP($I23,Max_Load_France!$B$2:$M$102,6,FALSE)="","",VLOOKUP($I23,Max_Load_France!$B$2:$M$102,6,FALSE))</f>
        <v>1</v>
      </c>
      <c r="Q23" s="298">
        <f>IF(VLOOKUP($I23,Max_Load_France!$B$2:$M$102,7,FALSE)="","",VLOOKUP($I23,Max_Load_France!$B$2:$M$102,7,FALSE))</f>
        <v>1</v>
      </c>
      <c r="R23" s="298" t="str">
        <f>IF(VLOOKUP($I23,Max_Load_France!$B$2:$M$102,8,FALSE)="","",VLOOKUP($I23,Max_Load_France!$B$2:$M$102,8,FALSE))</f>
        <v/>
      </c>
      <c r="S23" s="298" t="str">
        <f>IF(VLOOKUP($I23,Max_Load_France!$B$2:$M$102,9,FALSE)="","",VLOOKUP($I23,Max_Load_France!$B$2:$M$102,9,FALSE))</f>
        <v/>
      </c>
      <c r="T23" s="298" t="str">
        <f>IF(VLOOKUP($I23,Max_Load_France!$B$2:$M$102,10,FALSE)="","",VLOOKUP($I23,Max_Load_France!$B$2:$M$102,10,FALSE))</f>
        <v/>
      </c>
      <c r="U23" s="298" t="str">
        <f>IF(VLOOKUP($I23,Max_Load_France!$B$2:$M$102,11,FALSE)="","",VLOOKUP($I23,Max_Load_France!$B$2:$M$102,11,FALSE))</f>
        <v/>
      </c>
      <c r="V23" s="289">
        <v>5</v>
      </c>
      <c r="W23" s="299">
        <f t="shared" si="4"/>
        <v>37.200000000000003</v>
      </c>
      <c r="X23" s="300">
        <v>8.1999999999999993</v>
      </c>
      <c r="Y23" s="300">
        <v>13.2</v>
      </c>
      <c r="Z23" s="300">
        <v>5.0999999999999996</v>
      </c>
      <c r="AA23" s="300">
        <v>5.3</v>
      </c>
      <c r="AB23" s="300">
        <v>5.4</v>
      </c>
      <c r="AC23" s="301"/>
      <c r="AD23" s="301"/>
      <c r="AE23" s="301"/>
      <c r="AF23" s="301"/>
      <c r="AG23" s="302">
        <f t="shared" si="5"/>
        <v>15.799999999999999</v>
      </c>
      <c r="AH23" s="302" t="str">
        <f t="shared" si="6"/>
        <v/>
      </c>
      <c r="AI23" s="302" t="str">
        <f t="shared" si="7"/>
        <v/>
      </c>
      <c r="AJ23" s="302" t="str">
        <f t="shared" si="8"/>
        <v/>
      </c>
      <c r="AK23" s="326">
        <f t="shared" si="1"/>
        <v>35.477451580020386</v>
      </c>
      <c r="AL23" s="323">
        <f>Site_PLtraf_new!AL23*(1-Site_PLtraf_new!$AZ$9)</f>
        <v>6.9809812064328147</v>
      </c>
      <c r="AM23" s="323">
        <f>Site_PLtraf_new!AM23+(Site_PLtraf_new!AL23*Site_PLtraf_new!$AZ$9)</f>
        <v>13.763075878174726</v>
      </c>
      <c r="AN23" s="300">
        <v>4.9111314984709473</v>
      </c>
      <c r="AO23" s="300">
        <v>4.9111314984709473</v>
      </c>
      <c r="AP23" s="300">
        <v>4.9111314984709473</v>
      </c>
      <c r="AQ23" s="301"/>
      <c r="AR23" s="301"/>
      <c r="AS23" s="301"/>
      <c r="AT23" s="301"/>
      <c r="AU23" s="332">
        <f t="shared" si="26"/>
        <v>14.733394495412842</v>
      </c>
      <c r="AV23" s="332" t="str">
        <f t="shared" si="9"/>
        <v/>
      </c>
      <c r="AW23" s="302" t="str">
        <f t="shared" si="10"/>
        <v/>
      </c>
      <c r="AX23" s="302" t="str">
        <f t="shared" si="11"/>
        <v/>
      </c>
      <c r="AY23" s="347">
        <f t="shared" si="12"/>
        <v>-4.6305065053215508E-2</v>
      </c>
      <c r="AZ23" s="347">
        <f t="shared" si="13"/>
        <v>-0.14866082848380302</v>
      </c>
      <c r="BA23" s="347">
        <f t="shared" si="14"/>
        <v>4.2657263498085393E-2</v>
      </c>
      <c r="BB23" s="347" t="str">
        <f t="shared" si="15"/>
        <v/>
      </c>
      <c r="BC23" s="347" t="str">
        <f t="shared" si="16"/>
        <v/>
      </c>
      <c r="BD23" s="347" t="str">
        <f t="shared" si="17"/>
        <v/>
      </c>
      <c r="BE23" s="347" t="str">
        <f t="shared" si="18"/>
        <v/>
      </c>
      <c r="BF23" s="347">
        <f t="shared" si="19"/>
        <v>-3.7033039515500459E-2</v>
      </c>
      <c r="BG23" s="347">
        <f t="shared" si="20"/>
        <v>-7.3371415382840102E-2</v>
      </c>
      <c r="BH23" s="347">
        <f t="shared" si="21"/>
        <v>-9.0531203986861666E-2</v>
      </c>
      <c r="BI23" s="347" t="str">
        <f t="shared" si="22"/>
        <v/>
      </c>
      <c r="BJ23" s="347">
        <f t="shared" si="23"/>
        <v>-6.7506677505516269E-2</v>
      </c>
      <c r="BK23" s="347" t="str">
        <f t="shared" si="24"/>
        <v/>
      </c>
      <c r="BL23" s="288" t="str">
        <f t="shared" si="2"/>
        <v/>
      </c>
      <c r="BM23" s="136" t="str">
        <f t="shared" si="3"/>
        <v/>
      </c>
      <c r="BN23" s="334">
        <v>66.808499999999995</v>
      </c>
      <c r="BO23" s="334">
        <f t="shared" si="25"/>
        <v>4.5344947507378857</v>
      </c>
      <c r="BP23" s="94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</row>
    <row r="24" spans="1:79" s="89" customFormat="1" ht="11.25">
      <c r="A24" s="289" t="s">
        <v>282</v>
      </c>
      <c r="B24" s="290" t="s">
        <v>258</v>
      </c>
      <c r="C24" s="291"/>
      <c r="D24" s="292">
        <v>0.47638888888888892</v>
      </c>
      <c r="E24" s="293">
        <v>40</v>
      </c>
      <c r="F24" s="294"/>
      <c r="G24" s="294"/>
      <c r="H24" s="289"/>
      <c r="I24" s="290" t="s">
        <v>94</v>
      </c>
      <c r="J24" s="295">
        <f>IF(ISERROR(VLOOKUP(I24,Max_Load_France!$B$2:$C$102,2,FALSE)/1000),"",VLOOKUP(I24,Max_Load_France!$B$2:$C$102,2,FALSE)/1000)</f>
        <v>40</v>
      </c>
      <c r="K24" s="296"/>
      <c r="L24" s="297">
        <f t="shared" si="0"/>
        <v>1.115</v>
      </c>
      <c r="M24" s="298">
        <f>IF(VLOOKUP($I24,Max_Load_France!$B$2:$M$102,3,FALSE)="","",VLOOKUP($I24,Max_Load_France!$B$2:$M$102,3,FALSE))</f>
        <v>0</v>
      </c>
      <c r="N24" s="298">
        <f>IF(VLOOKUP($I24,Max_Load_France!$B$2:$M$102,4,FALSE)="","",VLOOKUP($I24,Max_Load_France!$B$2:$M$102,4,FALSE))</f>
        <v>0</v>
      </c>
      <c r="O24" s="298">
        <f>IF(VLOOKUP($I24,Max_Load_France!$B$2:$M$102,5,FALSE)="","",VLOOKUP($I24,Max_Load_France!$B$2:$M$102,5,FALSE))</f>
        <v>1</v>
      </c>
      <c r="P24" s="298">
        <f>IF(VLOOKUP($I24,Max_Load_France!$B$2:$M$102,6,FALSE)="","",VLOOKUP($I24,Max_Load_France!$B$2:$M$102,6,FALSE))</f>
        <v>1</v>
      </c>
      <c r="Q24" s="298">
        <f>IF(VLOOKUP($I24,Max_Load_France!$B$2:$M$102,7,FALSE)="","",VLOOKUP($I24,Max_Load_France!$B$2:$M$102,7,FALSE))</f>
        <v>1</v>
      </c>
      <c r="R24" s="298" t="str">
        <f>IF(VLOOKUP($I24,Max_Load_France!$B$2:$M$102,8,FALSE)="","",VLOOKUP($I24,Max_Load_France!$B$2:$M$102,8,FALSE))</f>
        <v/>
      </c>
      <c r="S24" s="298" t="str">
        <f>IF(VLOOKUP($I24,Max_Load_France!$B$2:$M$102,9,FALSE)="","",VLOOKUP($I24,Max_Load_France!$B$2:$M$102,9,FALSE))</f>
        <v/>
      </c>
      <c r="T24" s="298" t="str">
        <f>IF(VLOOKUP($I24,Max_Load_France!$B$2:$M$102,10,FALSE)="","",VLOOKUP($I24,Max_Load_France!$B$2:$M$102,10,FALSE))</f>
        <v/>
      </c>
      <c r="U24" s="298" t="str">
        <f>IF(VLOOKUP($I24,Max_Load_France!$B$2:$M$102,11,FALSE)="","",VLOOKUP($I24,Max_Load_France!$B$2:$M$102,11,FALSE))</f>
        <v/>
      </c>
      <c r="V24" s="289">
        <v>5</v>
      </c>
      <c r="W24" s="299">
        <f t="shared" si="4"/>
        <v>44.6</v>
      </c>
      <c r="X24" s="300">
        <v>6.3</v>
      </c>
      <c r="Y24" s="300">
        <v>12</v>
      </c>
      <c r="Z24" s="300">
        <v>8.9</v>
      </c>
      <c r="AA24" s="300">
        <v>8.5</v>
      </c>
      <c r="AB24" s="300">
        <v>8.9</v>
      </c>
      <c r="AC24" s="301"/>
      <c r="AD24" s="301"/>
      <c r="AE24" s="301"/>
      <c r="AF24" s="301"/>
      <c r="AG24" s="302">
        <f t="shared" si="5"/>
        <v>26.299999999999997</v>
      </c>
      <c r="AH24" s="302" t="str">
        <f t="shared" si="6"/>
        <v/>
      </c>
      <c r="AI24" s="302" t="str">
        <f t="shared" si="7"/>
        <v/>
      </c>
      <c r="AJ24" s="302" t="str">
        <f t="shared" si="8"/>
        <v/>
      </c>
      <c r="AK24" s="326">
        <f t="shared" si="1"/>
        <v>41.73601427115188</v>
      </c>
      <c r="AL24" s="323">
        <f>Site_PLtraf_new!AL24*(1-Site_PLtraf_new!$AZ$9)</f>
        <v>5.2045928467693647</v>
      </c>
      <c r="AM24" s="323">
        <f>Site_PLtraf_new!AM24+(Site_PLtraf_new!AL24*Site_PLtraf_new!$AZ$9)</f>
        <v>12.891176776064476</v>
      </c>
      <c r="AN24" s="300">
        <v>7.8800815494393479</v>
      </c>
      <c r="AO24" s="300">
        <v>7.8800815494393479</v>
      </c>
      <c r="AP24" s="300">
        <v>7.8800815494393479</v>
      </c>
      <c r="AQ24" s="301"/>
      <c r="AR24" s="301"/>
      <c r="AS24" s="301"/>
      <c r="AT24" s="301"/>
      <c r="AU24" s="332">
        <f t="shared" si="26"/>
        <v>23.640244648318046</v>
      </c>
      <c r="AV24" s="332" t="str">
        <f t="shared" si="9"/>
        <v/>
      </c>
      <c r="AW24" s="302" t="str">
        <f t="shared" si="10"/>
        <v/>
      </c>
      <c r="AX24" s="302" t="str">
        <f t="shared" si="11"/>
        <v/>
      </c>
      <c r="AY24" s="347" t="str">
        <f t="shared" si="12"/>
        <v/>
      </c>
      <c r="AZ24" s="347" t="str">
        <f t="shared" si="13"/>
        <v/>
      </c>
      <c r="BA24" s="347" t="str">
        <f t="shared" si="14"/>
        <v/>
      </c>
      <c r="BB24" s="347" t="str">
        <f t="shared" si="15"/>
        <v/>
      </c>
      <c r="BC24" s="347" t="str">
        <f t="shared" si="16"/>
        <v/>
      </c>
      <c r="BD24" s="347" t="str">
        <f t="shared" si="17"/>
        <v/>
      </c>
      <c r="BE24" s="347" t="str">
        <f t="shared" si="18"/>
        <v/>
      </c>
      <c r="BF24" s="347" t="str">
        <f t="shared" si="19"/>
        <v/>
      </c>
      <c r="BG24" s="347" t="str">
        <f t="shared" si="20"/>
        <v/>
      </c>
      <c r="BH24" s="347" t="str">
        <f t="shared" si="21"/>
        <v/>
      </c>
      <c r="BI24" s="347" t="str">
        <f t="shared" si="22"/>
        <v/>
      </c>
      <c r="BJ24" s="347" t="b">
        <f t="shared" si="23"/>
        <v>0</v>
      </c>
      <c r="BK24" s="347" t="b">
        <f t="shared" si="24"/>
        <v>0</v>
      </c>
      <c r="BL24" s="288" t="str">
        <f t="shared" si="2"/>
        <v/>
      </c>
      <c r="BM24" s="136" t="str">
        <f t="shared" si="3"/>
        <v/>
      </c>
      <c r="BN24" s="334">
        <v>374.77600000000001</v>
      </c>
      <c r="BO24" s="334">
        <f t="shared" si="25"/>
        <v>15.853304632643239</v>
      </c>
      <c r="BP24" s="94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</row>
    <row r="25" spans="1:79" s="89" customFormat="1" ht="11.25">
      <c r="A25" s="289" t="s">
        <v>223</v>
      </c>
      <c r="B25" s="295" t="s">
        <v>259</v>
      </c>
      <c r="C25" s="305"/>
      <c r="D25" s="292">
        <v>0.60347222222222219</v>
      </c>
      <c r="E25" s="293">
        <v>56.713680000000004</v>
      </c>
      <c r="F25" s="298"/>
      <c r="G25" s="298"/>
      <c r="H25" s="298"/>
      <c r="I25" s="290" t="s">
        <v>94</v>
      </c>
      <c r="J25" s="295">
        <f>IF(ISERROR(VLOOKUP(I25,Max_Load_France!$B$2:$C$102,2,FALSE)/1000),"",VLOOKUP(I25,Max_Load_France!$B$2:$C$102,2,FALSE)/1000)</f>
        <v>40</v>
      </c>
      <c r="K25" s="296"/>
      <c r="L25" s="297">
        <f t="shared" si="0"/>
        <v>1.0349999999999999</v>
      </c>
      <c r="M25" s="298">
        <f>IF(VLOOKUP($I25,Max_Load_France!$B$2:$M$102,3,FALSE)="","",VLOOKUP($I25,Max_Load_France!$B$2:$M$102,3,FALSE))</f>
        <v>0</v>
      </c>
      <c r="N25" s="298">
        <f>IF(VLOOKUP($I25,Max_Load_France!$B$2:$M$102,4,FALSE)="","",VLOOKUP($I25,Max_Load_France!$B$2:$M$102,4,FALSE))</f>
        <v>0</v>
      </c>
      <c r="O25" s="298">
        <f>IF(VLOOKUP($I25,Max_Load_France!$B$2:$M$102,5,FALSE)="","",VLOOKUP($I25,Max_Load_France!$B$2:$M$102,5,FALSE))</f>
        <v>1</v>
      </c>
      <c r="P25" s="298">
        <f>IF(VLOOKUP($I25,Max_Load_France!$B$2:$M$102,6,FALSE)="","",VLOOKUP($I25,Max_Load_France!$B$2:$M$102,6,FALSE))</f>
        <v>1</v>
      </c>
      <c r="Q25" s="298">
        <f>IF(VLOOKUP($I25,Max_Load_France!$B$2:$M$102,7,FALSE)="","",VLOOKUP($I25,Max_Load_France!$B$2:$M$102,7,FALSE))</f>
        <v>1</v>
      </c>
      <c r="R25" s="298" t="str">
        <f>IF(VLOOKUP($I25,Max_Load_France!$B$2:$M$102,8,FALSE)="","",VLOOKUP($I25,Max_Load_France!$B$2:$M$102,8,FALSE))</f>
        <v/>
      </c>
      <c r="S25" s="298" t="str">
        <f>IF(VLOOKUP($I25,Max_Load_France!$B$2:$M$102,9,FALSE)="","",VLOOKUP($I25,Max_Load_France!$B$2:$M$102,9,FALSE))</f>
        <v/>
      </c>
      <c r="T25" s="298" t="str">
        <f>IF(VLOOKUP($I25,Max_Load_France!$B$2:$M$102,10,FALSE)="","",VLOOKUP($I25,Max_Load_France!$B$2:$M$102,10,FALSE))</f>
        <v/>
      </c>
      <c r="U25" s="298" t="str">
        <f>IF(VLOOKUP($I25,Max_Load_France!$B$2:$M$102,11,FALSE)="","",VLOOKUP($I25,Max_Load_France!$B$2:$M$102,11,FALSE))</f>
        <v/>
      </c>
      <c r="V25" s="289">
        <v>5</v>
      </c>
      <c r="W25" s="299">
        <f t="shared" si="4"/>
        <v>41.4</v>
      </c>
      <c r="X25" s="300">
        <v>6.5</v>
      </c>
      <c r="Y25" s="300">
        <v>9.3000000000000007</v>
      </c>
      <c r="Z25" s="300">
        <v>8.5</v>
      </c>
      <c r="AA25" s="300">
        <v>8.6</v>
      </c>
      <c r="AB25" s="300">
        <v>8.5</v>
      </c>
      <c r="AC25" s="301"/>
      <c r="AD25" s="301"/>
      <c r="AE25" s="301"/>
      <c r="AF25" s="301"/>
      <c r="AG25" s="302">
        <f t="shared" si="5"/>
        <v>25.6</v>
      </c>
      <c r="AH25" s="302" t="str">
        <f t="shared" si="6"/>
        <v/>
      </c>
      <c r="AI25" s="302" t="str">
        <f t="shared" si="7"/>
        <v/>
      </c>
      <c r="AJ25" s="302" t="str">
        <f t="shared" si="8"/>
        <v/>
      </c>
      <c r="AK25" s="326">
        <f t="shared" si="1"/>
        <v>43.600662589194691</v>
      </c>
      <c r="AL25" s="323">
        <f>Site_PLtraf_new!AL25*(1-Site_PLtraf_new!$AZ$9)</f>
        <v>7.5986386865509647</v>
      </c>
      <c r="AM25" s="323">
        <f>Site_PLtraf_new!AM25+(Site_PLtraf_new!AL25*Site_PLtraf_new!$AZ$9)</f>
        <v>9.0947761962217157</v>
      </c>
      <c r="AN25" s="300">
        <v>8.9690825688073392</v>
      </c>
      <c r="AO25" s="300">
        <v>8.9690825688073392</v>
      </c>
      <c r="AP25" s="300">
        <v>8.9690825688073392</v>
      </c>
      <c r="AQ25" s="301"/>
      <c r="AR25" s="301"/>
      <c r="AS25" s="301"/>
      <c r="AT25" s="301"/>
      <c r="AU25" s="332">
        <f t="shared" si="26"/>
        <v>26.907247706422019</v>
      </c>
      <c r="AV25" s="332" t="str">
        <f t="shared" si="9"/>
        <v/>
      </c>
      <c r="AW25" s="302"/>
      <c r="AX25" s="302"/>
      <c r="AY25" s="347">
        <f t="shared" si="12"/>
        <v>5.3156101188277599E-2</v>
      </c>
      <c r="AZ25" s="347">
        <f t="shared" si="13"/>
        <v>0.16902133639245612</v>
      </c>
      <c r="BA25" s="347">
        <f t="shared" si="14"/>
        <v>-2.2067075675084404E-2</v>
      </c>
      <c r="BB25" s="347" t="str">
        <f t="shared" si="15"/>
        <v/>
      </c>
      <c r="BC25" s="347" t="str">
        <f t="shared" si="16"/>
        <v/>
      </c>
      <c r="BD25" s="347" t="str">
        <f t="shared" si="17"/>
        <v/>
      </c>
      <c r="BE25" s="347" t="str">
        <f t="shared" si="18"/>
        <v/>
      </c>
      <c r="BF25" s="347">
        <f t="shared" si="19"/>
        <v>5.518618456556932E-2</v>
      </c>
      <c r="BG25" s="347">
        <f t="shared" si="20"/>
        <v>4.29165777682953E-2</v>
      </c>
      <c r="BH25" s="347">
        <f t="shared" si="21"/>
        <v>5.518618456556932E-2</v>
      </c>
      <c r="BI25" s="347" t="str">
        <f t="shared" si="22"/>
        <v/>
      </c>
      <c r="BJ25" s="347">
        <f t="shared" si="23"/>
        <v>5.106436353211008E-2</v>
      </c>
      <c r="BK25" s="347" t="str">
        <f t="shared" si="24"/>
        <v/>
      </c>
      <c r="BL25" s="288" t="str">
        <f t="shared" si="2"/>
        <v/>
      </c>
      <c r="BM25" s="136" t="str">
        <f t="shared" si="3"/>
        <v/>
      </c>
      <c r="BN25" s="334">
        <v>86.717600000000004</v>
      </c>
      <c r="BO25" s="334">
        <f t="shared" si="25"/>
        <v>3.2228342692702419</v>
      </c>
      <c r="BP25" s="94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</row>
    <row r="26" spans="1:79" s="89" customFormat="1" ht="11.25">
      <c r="A26" s="289" t="s">
        <v>224</v>
      </c>
      <c r="B26" s="295" t="s">
        <v>260</v>
      </c>
      <c r="C26" s="305"/>
      <c r="D26" s="292">
        <v>0.61249999999999993</v>
      </c>
      <c r="E26" s="306">
        <v>41.420159999999996</v>
      </c>
      <c r="F26" s="298"/>
      <c r="G26" s="298"/>
      <c r="H26" s="298"/>
      <c r="I26" s="290" t="s">
        <v>129</v>
      </c>
      <c r="J26" s="295">
        <f>IF(ISERROR(VLOOKUP(I26,Max_Load_France!$B$2:$C$102,2,FALSE)/1000),"",VLOOKUP(I26,Max_Load_France!$B$2:$C$102,2,FALSE)/1000)</f>
        <v>40</v>
      </c>
      <c r="K26" s="296"/>
      <c r="L26" s="297">
        <f t="shared" si="0"/>
        <v>1.0574999999999999</v>
      </c>
      <c r="M26" s="298">
        <f>IF(VLOOKUP($I26,Max_Load_France!$B$2:$M$102,3,FALSE)="","",VLOOKUP($I26,Max_Load_France!$B$2:$M$102,3,FALSE))</f>
        <v>0</v>
      </c>
      <c r="N26" s="298">
        <f>IF(VLOOKUP($I26,Max_Load_France!$B$2:$M$102,4,FALSE)="","",VLOOKUP($I26,Max_Load_France!$B$2:$M$102,4,FALSE))</f>
        <v>1</v>
      </c>
      <c r="O26" s="298">
        <f>IF(VLOOKUP($I26,Max_Load_France!$B$2:$M$102,5,FALSE)="","",VLOOKUP($I26,Max_Load_France!$B$2:$M$102,5,FALSE))</f>
        <v>1</v>
      </c>
      <c r="P26" s="298">
        <f>IF(VLOOKUP($I26,Max_Load_France!$B$2:$M$102,6,FALSE)="","",VLOOKUP($I26,Max_Load_France!$B$2:$M$102,6,FALSE))</f>
        <v>2</v>
      </c>
      <c r="Q26" s="298">
        <f>IF(VLOOKUP($I26,Max_Load_France!$B$2:$M$102,7,FALSE)="","",VLOOKUP($I26,Max_Load_France!$B$2:$M$102,7,FALSE))</f>
        <v>2</v>
      </c>
      <c r="R26" s="298" t="str">
        <f>IF(VLOOKUP($I26,Max_Load_France!$B$2:$M$102,8,FALSE)="","",VLOOKUP($I26,Max_Load_France!$B$2:$M$102,8,FALSE))</f>
        <v/>
      </c>
      <c r="S26" s="298" t="str">
        <f>IF(VLOOKUP($I26,Max_Load_France!$B$2:$M$102,9,FALSE)="","",VLOOKUP($I26,Max_Load_France!$B$2:$M$102,9,FALSE))</f>
        <v/>
      </c>
      <c r="T26" s="298" t="str">
        <f>IF(VLOOKUP($I26,Max_Load_France!$B$2:$M$102,10,FALSE)="","",VLOOKUP($I26,Max_Load_France!$B$2:$M$102,10,FALSE))</f>
        <v/>
      </c>
      <c r="U26" s="298" t="str">
        <f>IF(VLOOKUP($I26,Max_Load_France!$B$2:$M$102,11,FALSE)="","",VLOOKUP($I26,Max_Load_France!$B$2:$M$102,11,FALSE))</f>
        <v/>
      </c>
      <c r="V26" s="289">
        <v>5</v>
      </c>
      <c r="W26" s="299">
        <f t="shared" si="4"/>
        <v>42.3</v>
      </c>
      <c r="X26" s="300">
        <v>5.9</v>
      </c>
      <c r="Y26" s="300">
        <v>7.5</v>
      </c>
      <c r="Z26" s="300">
        <v>7.3</v>
      </c>
      <c r="AA26" s="300">
        <v>10.8</v>
      </c>
      <c r="AB26" s="300">
        <v>10.8</v>
      </c>
      <c r="AC26" s="301"/>
      <c r="AD26" s="301"/>
      <c r="AE26" s="301"/>
      <c r="AF26" s="301"/>
      <c r="AG26" s="302">
        <f t="shared" si="5"/>
        <v>14.8</v>
      </c>
      <c r="AH26" s="302">
        <f t="shared" si="6"/>
        <v>21.6</v>
      </c>
      <c r="AI26" s="302" t="str">
        <f t="shared" si="7"/>
        <v/>
      </c>
      <c r="AJ26" s="302" t="str">
        <f t="shared" si="8"/>
        <v/>
      </c>
      <c r="AK26" s="326">
        <f t="shared" si="1"/>
        <v>43.617747196738023</v>
      </c>
      <c r="AL26" s="323">
        <f>Site_PLtraf_new!AL26*(1-Site_PLtraf_new!$AZ$9)</f>
        <v>6.8426338093566281</v>
      </c>
      <c r="AM26" s="323">
        <f>Site_PLtraf_new!AM26+(Site_PLtraf_new!AL26*Site_PLtraf_new!$AZ$9)</f>
        <v>6.6360817869736461</v>
      </c>
      <c r="AN26" s="300">
        <v>7.7416819571865432</v>
      </c>
      <c r="AO26" s="300">
        <v>11.1986748216106</v>
      </c>
      <c r="AP26" s="300">
        <v>11.1986748216106</v>
      </c>
      <c r="AQ26" s="301"/>
      <c r="AR26" s="301"/>
      <c r="AS26" s="301"/>
      <c r="AT26" s="301"/>
      <c r="AU26" s="332">
        <f t="shared" si="26"/>
        <v>14.377763744160189</v>
      </c>
      <c r="AV26" s="332">
        <f t="shared" si="9"/>
        <v>22.397349643221201</v>
      </c>
      <c r="AW26" s="302"/>
      <c r="AX26" s="302"/>
      <c r="AY26" s="347" t="str">
        <f t="shared" si="12"/>
        <v/>
      </c>
      <c r="AZ26" s="347" t="str">
        <f t="shared" si="13"/>
        <v/>
      </c>
      <c r="BA26" s="347" t="str">
        <f t="shared" si="14"/>
        <v/>
      </c>
      <c r="BB26" s="347" t="str">
        <f t="shared" si="15"/>
        <v/>
      </c>
      <c r="BC26" s="347" t="str">
        <f t="shared" si="16"/>
        <v/>
      </c>
      <c r="BD26" s="347" t="str">
        <f t="shared" si="17"/>
        <v/>
      </c>
      <c r="BE26" s="347" t="str">
        <f t="shared" si="18"/>
        <v/>
      </c>
      <c r="BF26" s="347" t="str">
        <f t="shared" si="19"/>
        <v/>
      </c>
      <c r="BG26" s="347" t="str">
        <f t="shared" si="20"/>
        <v/>
      </c>
      <c r="BH26" s="347" t="str">
        <f t="shared" si="21"/>
        <v/>
      </c>
      <c r="BI26" s="347" t="str">
        <f t="shared" si="22"/>
        <v/>
      </c>
      <c r="BJ26" s="347" t="str">
        <f t="shared" si="23"/>
        <v/>
      </c>
      <c r="BK26" s="347" t="str">
        <f t="shared" si="24"/>
        <v/>
      </c>
      <c r="BL26" s="288" t="str">
        <f t="shared" si="2"/>
        <v/>
      </c>
      <c r="BM26" s="136" t="str">
        <f t="shared" si="3"/>
        <v/>
      </c>
      <c r="BN26" s="334">
        <v>130.86699999999999</v>
      </c>
      <c r="BO26" s="334">
        <f t="shared" si="25"/>
        <v>9.1020413416623427</v>
      </c>
      <c r="BP26" s="94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</row>
    <row r="27" spans="1:79" s="89" customFormat="1" ht="11.25">
      <c r="A27" s="289" t="s">
        <v>225</v>
      </c>
      <c r="B27" s="295" t="s">
        <v>261</v>
      </c>
      <c r="C27" s="305"/>
      <c r="D27" s="292">
        <v>0.61736111111111114</v>
      </c>
      <c r="E27" s="306">
        <v>67.025520000000014</v>
      </c>
      <c r="F27" s="298"/>
      <c r="G27" s="298"/>
      <c r="H27" s="298"/>
      <c r="I27" s="290" t="s">
        <v>94</v>
      </c>
      <c r="J27" s="295">
        <f>IF(ISERROR(VLOOKUP(I27,Max_Load_France!$B$2:$C$102,2,FALSE)/1000),"",VLOOKUP(I27,Max_Load_France!$B$2:$C$102,2,FALSE)/1000)</f>
        <v>40</v>
      </c>
      <c r="K27" s="296"/>
      <c r="L27" s="297">
        <f t="shared" si="0"/>
        <v>0.86999999999999988</v>
      </c>
      <c r="M27" s="298">
        <f>IF(VLOOKUP($I27,Max_Load_France!$B$2:$M$102,3,FALSE)="","",VLOOKUP($I27,Max_Load_France!$B$2:$M$102,3,FALSE))</f>
        <v>0</v>
      </c>
      <c r="N27" s="298">
        <f>IF(VLOOKUP($I27,Max_Load_France!$B$2:$M$102,4,FALSE)="","",VLOOKUP($I27,Max_Load_France!$B$2:$M$102,4,FALSE))</f>
        <v>0</v>
      </c>
      <c r="O27" s="298">
        <f>IF(VLOOKUP($I27,Max_Load_France!$B$2:$M$102,5,FALSE)="","",VLOOKUP($I27,Max_Load_France!$B$2:$M$102,5,FALSE))</f>
        <v>1</v>
      </c>
      <c r="P27" s="298">
        <f>IF(VLOOKUP($I27,Max_Load_France!$B$2:$M$102,6,FALSE)="","",VLOOKUP($I27,Max_Load_France!$B$2:$M$102,6,FALSE))</f>
        <v>1</v>
      </c>
      <c r="Q27" s="298">
        <f>IF(VLOOKUP($I27,Max_Load_France!$B$2:$M$102,7,FALSE)="","",VLOOKUP($I27,Max_Load_France!$B$2:$M$102,7,FALSE))</f>
        <v>1</v>
      </c>
      <c r="R27" s="298" t="str">
        <f>IF(VLOOKUP($I27,Max_Load_France!$B$2:$M$102,8,FALSE)="","",VLOOKUP($I27,Max_Load_France!$B$2:$M$102,8,FALSE))</f>
        <v/>
      </c>
      <c r="S27" s="298" t="str">
        <f>IF(VLOOKUP($I27,Max_Load_France!$B$2:$M$102,9,FALSE)="","",VLOOKUP($I27,Max_Load_France!$B$2:$M$102,9,FALSE))</f>
        <v/>
      </c>
      <c r="T27" s="298" t="str">
        <f>IF(VLOOKUP($I27,Max_Load_France!$B$2:$M$102,10,FALSE)="","",VLOOKUP($I27,Max_Load_France!$B$2:$M$102,10,FALSE))</f>
        <v/>
      </c>
      <c r="U27" s="298" t="str">
        <f>IF(VLOOKUP($I27,Max_Load_France!$B$2:$M$102,11,FALSE)="","",VLOOKUP($I27,Max_Load_France!$B$2:$M$102,11,FALSE))</f>
        <v/>
      </c>
      <c r="V27" s="289">
        <v>5</v>
      </c>
      <c r="W27" s="299">
        <f t="shared" si="4"/>
        <v>34.799999999999997</v>
      </c>
      <c r="X27" s="300">
        <v>7.1</v>
      </c>
      <c r="Y27" s="300">
        <v>10</v>
      </c>
      <c r="Z27" s="300">
        <v>5.9</v>
      </c>
      <c r="AA27" s="300">
        <v>6</v>
      </c>
      <c r="AB27" s="300">
        <v>5.8</v>
      </c>
      <c r="AC27" s="301"/>
      <c r="AD27" s="301"/>
      <c r="AE27" s="301"/>
      <c r="AF27" s="301"/>
      <c r="AG27" s="302">
        <f t="shared" si="5"/>
        <v>17.7</v>
      </c>
      <c r="AH27" s="302" t="str">
        <f t="shared" si="6"/>
        <v/>
      </c>
      <c r="AI27" s="302" t="str">
        <f t="shared" si="7"/>
        <v/>
      </c>
      <c r="AJ27" s="302" t="str">
        <f t="shared" si="8"/>
        <v/>
      </c>
      <c r="AK27" s="326">
        <f t="shared" si="1"/>
        <v>34.81245667686035</v>
      </c>
      <c r="AL27" s="323">
        <f>Site_PLtraf_new!AL27*(1-Site_PLtraf_new!$AZ$9)</f>
        <v>6.3446488338013483</v>
      </c>
      <c r="AM27" s="323">
        <f>Site_PLtraf_new!AM27+(Site_PLtraf_new!AL27*Site_PLtraf_new!$AZ$9)</f>
        <v>10.920835365994778</v>
      </c>
      <c r="AN27" s="300">
        <v>5.8489908256880732</v>
      </c>
      <c r="AO27" s="300">
        <v>5.8489908256880732</v>
      </c>
      <c r="AP27" s="300">
        <v>5.8489908256880732</v>
      </c>
      <c r="AQ27" s="301"/>
      <c r="AR27" s="301"/>
      <c r="AS27" s="301"/>
      <c r="AT27" s="301"/>
      <c r="AU27" s="332">
        <f t="shared" si="26"/>
        <v>17.546972477064219</v>
      </c>
      <c r="AV27" s="332" t="str">
        <f t="shared" si="9"/>
        <v/>
      </c>
      <c r="AW27" s="302"/>
      <c r="AX27" s="302"/>
      <c r="AY27" s="347">
        <f t="shared" si="12"/>
        <v>3.5795048449289947E-4</v>
      </c>
      <c r="AZ27" s="347">
        <f t="shared" si="13"/>
        <v>-0.10638748819699316</v>
      </c>
      <c r="BA27" s="347">
        <f t="shared" si="14"/>
        <v>9.2083536599477794E-2</v>
      </c>
      <c r="BB27" s="347" t="str">
        <f t="shared" si="15"/>
        <v/>
      </c>
      <c r="BC27" s="347" t="str">
        <f t="shared" si="16"/>
        <v/>
      </c>
      <c r="BD27" s="347" t="str">
        <f t="shared" si="17"/>
        <v/>
      </c>
      <c r="BE27" s="347" t="str">
        <f t="shared" si="18"/>
        <v/>
      </c>
      <c r="BF27" s="347">
        <f t="shared" si="19"/>
        <v>-8.6456227647334228E-3</v>
      </c>
      <c r="BG27" s="347">
        <f t="shared" si="20"/>
        <v>-2.5168195718654474E-2</v>
      </c>
      <c r="BH27" s="347">
        <f t="shared" si="21"/>
        <v>8.4466940841505748E-3</v>
      </c>
      <c r="BI27" s="347" t="str">
        <f t="shared" si="22"/>
        <v/>
      </c>
      <c r="BJ27" s="347">
        <f t="shared" si="23"/>
        <v>-8.6456227647333239E-3</v>
      </c>
      <c r="BK27" s="347" t="str">
        <f t="shared" si="24"/>
        <v/>
      </c>
      <c r="BL27" s="288" t="str">
        <f t="shared" si="2"/>
        <v/>
      </c>
      <c r="BM27" s="136" t="str">
        <f t="shared" si="3"/>
        <v/>
      </c>
      <c r="BN27" s="334">
        <v>102.935</v>
      </c>
      <c r="BO27" s="334">
        <f t="shared" si="25"/>
        <v>5.8662541435308642</v>
      </c>
      <c r="BP27" s="94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</row>
    <row r="28" spans="1:79" s="89" customFormat="1" ht="11.25">
      <c r="A28" s="289" t="s">
        <v>226</v>
      </c>
      <c r="B28" s="295" t="s">
        <v>262</v>
      </c>
      <c r="C28" s="305"/>
      <c r="D28" s="292">
        <v>0.61944444444444446</v>
      </c>
      <c r="E28" s="306">
        <v>43.49736</v>
      </c>
      <c r="F28" s="298"/>
      <c r="G28" s="298"/>
      <c r="H28" s="298"/>
      <c r="I28" s="290" t="s">
        <v>94</v>
      </c>
      <c r="J28" s="295">
        <f>IF(ISERROR(VLOOKUP(I28,Max_Load_France!$B$2:$C$102,2,FALSE)/1000),"",VLOOKUP(I28,Max_Load_France!$B$2:$C$102,2,FALSE)/1000)</f>
        <v>40</v>
      </c>
      <c r="K28" s="296"/>
      <c r="L28" s="297">
        <f t="shared" si="0"/>
        <v>0.97499999999999998</v>
      </c>
      <c r="M28" s="298">
        <f>IF(VLOOKUP($I28,Max_Load_France!$B$2:$M$102,3,FALSE)="","",VLOOKUP($I28,Max_Load_France!$B$2:$M$102,3,FALSE))</f>
        <v>0</v>
      </c>
      <c r="N28" s="298">
        <f>IF(VLOOKUP($I28,Max_Load_France!$B$2:$M$102,4,FALSE)="","",VLOOKUP($I28,Max_Load_France!$B$2:$M$102,4,FALSE))</f>
        <v>0</v>
      </c>
      <c r="O28" s="298">
        <f>IF(VLOOKUP($I28,Max_Load_France!$B$2:$M$102,5,FALSE)="","",VLOOKUP($I28,Max_Load_France!$B$2:$M$102,5,FALSE))</f>
        <v>1</v>
      </c>
      <c r="P28" s="298">
        <f>IF(VLOOKUP($I28,Max_Load_France!$B$2:$M$102,6,FALSE)="","",VLOOKUP($I28,Max_Load_France!$B$2:$M$102,6,FALSE))</f>
        <v>1</v>
      </c>
      <c r="Q28" s="298">
        <f>IF(VLOOKUP($I28,Max_Load_France!$B$2:$M$102,7,FALSE)="","",VLOOKUP($I28,Max_Load_France!$B$2:$M$102,7,FALSE))</f>
        <v>1</v>
      </c>
      <c r="R28" s="298" t="str">
        <f>IF(VLOOKUP($I28,Max_Load_France!$B$2:$M$102,8,FALSE)="","",VLOOKUP($I28,Max_Load_France!$B$2:$M$102,8,FALSE))</f>
        <v/>
      </c>
      <c r="S28" s="298" t="str">
        <f>IF(VLOOKUP($I28,Max_Load_France!$B$2:$M$102,9,FALSE)="","",VLOOKUP($I28,Max_Load_France!$B$2:$M$102,9,FALSE))</f>
        <v/>
      </c>
      <c r="T28" s="298" t="str">
        <f>IF(VLOOKUP($I28,Max_Load_France!$B$2:$M$102,10,FALSE)="","",VLOOKUP($I28,Max_Load_France!$B$2:$M$102,10,FALSE))</f>
        <v/>
      </c>
      <c r="U28" s="298" t="str">
        <f>IF(VLOOKUP($I28,Max_Load_France!$B$2:$M$102,11,FALSE)="","",VLOOKUP($I28,Max_Load_France!$B$2:$M$102,11,FALSE))</f>
        <v/>
      </c>
      <c r="V28" s="289">
        <v>5</v>
      </c>
      <c r="W28" s="299">
        <f t="shared" si="4"/>
        <v>39</v>
      </c>
      <c r="X28" s="300">
        <v>6.9</v>
      </c>
      <c r="Y28" s="300">
        <v>12.2</v>
      </c>
      <c r="Z28" s="300">
        <v>6.1</v>
      </c>
      <c r="AA28" s="300">
        <v>6.4</v>
      </c>
      <c r="AB28" s="300">
        <v>7.4</v>
      </c>
      <c r="AC28" s="301"/>
      <c r="AD28" s="301"/>
      <c r="AE28" s="301"/>
      <c r="AF28" s="301"/>
      <c r="AG28" s="302">
        <f t="shared" si="5"/>
        <v>19.899999999999999</v>
      </c>
      <c r="AH28" s="302" t="str">
        <f t="shared" si="6"/>
        <v/>
      </c>
      <c r="AI28" s="302" t="str">
        <f t="shared" si="7"/>
        <v/>
      </c>
      <c r="AJ28" s="302" t="str">
        <f t="shared" si="8"/>
        <v/>
      </c>
      <c r="AK28" s="326">
        <f t="shared" si="1"/>
        <v>35.588888888888889</v>
      </c>
      <c r="AL28" s="323">
        <f>Site_PLtraf_new!AL28*(1-Site_PLtraf_new!$AZ$9)</f>
        <v>6.213097833154162</v>
      </c>
      <c r="AM28" s="323">
        <f>Site_PLtraf_new!AM28+(Site_PLtraf_new!AL28*Site_PLtraf_new!$AZ$9)</f>
        <v>11.517320107722494</v>
      </c>
      <c r="AN28" s="300">
        <v>5.95282364933741</v>
      </c>
      <c r="AO28" s="300">
        <v>5.95282364933741</v>
      </c>
      <c r="AP28" s="300">
        <v>5.95282364933741</v>
      </c>
      <c r="AQ28" s="301"/>
      <c r="AR28" s="301"/>
      <c r="AS28" s="301"/>
      <c r="AT28" s="301"/>
      <c r="AU28" s="332">
        <f t="shared" si="26"/>
        <v>17.858470948012229</v>
      </c>
      <c r="AV28" s="332" t="str">
        <f t="shared" si="9"/>
        <v/>
      </c>
      <c r="AW28" s="302"/>
      <c r="AX28" s="302"/>
      <c r="AY28" s="347">
        <f t="shared" si="12"/>
        <v>-8.7464387464387477E-2</v>
      </c>
      <c r="AZ28" s="347">
        <f t="shared" si="13"/>
        <v>-9.9551038673309902E-2</v>
      </c>
      <c r="BA28" s="347">
        <f t="shared" si="14"/>
        <v>-5.5957368219467667E-2</v>
      </c>
      <c r="BB28" s="347" t="str">
        <f t="shared" si="15"/>
        <v/>
      </c>
      <c r="BC28" s="347" t="str">
        <f t="shared" si="16"/>
        <v/>
      </c>
      <c r="BD28" s="347" t="str">
        <f t="shared" si="17"/>
        <v/>
      </c>
      <c r="BE28" s="347" t="str">
        <f t="shared" si="18"/>
        <v/>
      </c>
      <c r="BF28" s="347">
        <f t="shared" si="19"/>
        <v>-2.4127270600424525E-2</v>
      </c>
      <c r="BG28" s="347">
        <f t="shared" si="20"/>
        <v>-6.9871304791029737E-2</v>
      </c>
      <c r="BH28" s="347">
        <f t="shared" si="21"/>
        <v>-0.19556437171116084</v>
      </c>
      <c r="BI28" s="347" t="str">
        <f t="shared" si="22"/>
        <v/>
      </c>
      <c r="BJ28" s="347">
        <f t="shared" si="23"/>
        <v>-0.10258939959737536</v>
      </c>
      <c r="BK28" s="347" t="str">
        <f t="shared" si="24"/>
        <v/>
      </c>
      <c r="BL28" s="288" t="str">
        <f t="shared" si="2"/>
        <v/>
      </c>
      <c r="BM28" s="136" t="str">
        <f t="shared" si="3"/>
        <v/>
      </c>
      <c r="BN28" s="334">
        <v>104.705</v>
      </c>
      <c r="BO28" s="334">
        <f t="shared" si="25"/>
        <v>5.8630439473125433</v>
      </c>
      <c r="BP28" s="94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</row>
    <row r="29" spans="1:79" s="89" customFormat="1" ht="11.25">
      <c r="A29" s="289" t="s">
        <v>227</v>
      </c>
      <c r="B29" s="295" t="s">
        <v>263</v>
      </c>
      <c r="C29" s="305"/>
      <c r="D29" s="292">
        <v>0.62430555555555556</v>
      </c>
      <c r="E29" s="306">
        <v>43.755479999999999</v>
      </c>
      <c r="F29" s="298"/>
      <c r="G29" s="298"/>
      <c r="H29" s="298"/>
      <c r="I29" s="290" t="s">
        <v>94</v>
      </c>
      <c r="J29" s="295">
        <f>IF(ISERROR(VLOOKUP(I29,Max_Load_France!$B$2:$C$102,2,FALSE)/1000),"",VLOOKUP(I29,Max_Load_France!$B$2:$C$102,2,FALSE)/1000)</f>
        <v>40</v>
      </c>
      <c r="K29" s="296"/>
      <c r="L29" s="297">
        <f t="shared" si="0"/>
        <v>1.0450000000000002</v>
      </c>
      <c r="M29" s="298">
        <f>IF(VLOOKUP($I29,Max_Load_France!$B$2:$M$102,3,FALSE)="","",VLOOKUP($I29,Max_Load_France!$B$2:$M$102,3,FALSE))</f>
        <v>0</v>
      </c>
      <c r="N29" s="298">
        <f>IF(VLOOKUP($I29,Max_Load_France!$B$2:$M$102,4,FALSE)="","",VLOOKUP($I29,Max_Load_France!$B$2:$M$102,4,FALSE))</f>
        <v>0</v>
      </c>
      <c r="O29" s="298">
        <f>IF(VLOOKUP($I29,Max_Load_France!$B$2:$M$102,5,FALSE)="","",VLOOKUP($I29,Max_Load_France!$B$2:$M$102,5,FALSE))</f>
        <v>1</v>
      </c>
      <c r="P29" s="298">
        <f>IF(VLOOKUP($I29,Max_Load_France!$B$2:$M$102,6,FALSE)="","",VLOOKUP($I29,Max_Load_France!$B$2:$M$102,6,FALSE))</f>
        <v>1</v>
      </c>
      <c r="Q29" s="298">
        <f>IF(VLOOKUP($I29,Max_Load_France!$B$2:$M$102,7,FALSE)="","",VLOOKUP($I29,Max_Load_France!$B$2:$M$102,7,FALSE))</f>
        <v>1</v>
      </c>
      <c r="R29" s="298" t="str">
        <f>IF(VLOOKUP($I29,Max_Load_France!$B$2:$M$102,8,FALSE)="","",VLOOKUP($I29,Max_Load_France!$B$2:$M$102,8,FALSE))</f>
        <v/>
      </c>
      <c r="S29" s="298" t="str">
        <f>IF(VLOOKUP($I29,Max_Load_France!$B$2:$M$102,9,FALSE)="","",VLOOKUP($I29,Max_Load_France!$B$2:$M$102,9,FALSE))</f>
        <v/>
      </c>
      <c r="T29" s="298" t="str">
        <f>IF(VLOOKUP($I29,Max_Load_France!$B$2:$M$102,10,FALSE)="","",VLOOKUP($I29,Max_Load_France!$B$2:$M$102,10,FALSE))</f>
        <v/>
      </c>
      <c r="U29" s="298" t="str">
        <f>IF(VLOOKUP($I29,Max_Load_France!$B$2:$M$102,11,FALSE)="","",VLOOKUP($I29,Max_Load_France!$B$2:$M$102,11,FALSE))</f>
        <v/>
      </c>
      <c r="V29" s="289">
        <v>5</v>
      </c>
      <c r="W29" s="299">
        <f t="shared" si="4"/>
        <v>41.800000000000004</v>
      </c>
      <c r="X29" s="300">
        <v>6.3</v>
      </c>
      <c r="Y29" s="300">
        <v>12.7</v>
      </c>
      <c r="Z29" s="300">
        <v>7.2</v>
      </c>
      <c r="AA29" s="300">
        <v>7.9</v>
      </c>
      <c r="AB29" s="300">
        <v>7.7</v>
      </c>
      <c r="AC29" s="301"/>
      <c r="AD29" s="301"/>
      <c r="AE29" s="301"/>
      <c r="AF29" s="301"/>
      <c r="AG29" s="302">
        <f t="shared" si="5"/>
        <v>22.8</v>
      </c>
      <c r="AH29" s="302" t="str">
        <f t="shared" si="6"/>
        <v/>
      </c>
      <c r="AI29" s="302" t="str">
        <f t="shared" si="7"/>
        <v/>
      </c>
      <c r="AJ29" s="302" t="str">
        <f t="shared" si="8"/>
        <v/>
      </c>
      <c r="AK29" s="326">
        <f t="shared" si="1"/>
        <v>40.37951070336392</v>
      </c>
      <c r="AL29" s="323">
        <f>Site_PLtraf_new!AL29*(1-Site_PLtraf_new!$AZ$9)</f>
        <v>6.4646739242254725</v>
      </c>
      <c r="AM29" s="323">
        <f>Site_PLtraf_new!AM29+(Site_PLtraf_new!AL29*Site_PLtraf_new!$AZ$9)</f>
        <v>10.534163996263825</v>
      </c>
      <c r="AN29" s="300">
        <v>7.7935575942915394</v>
      </c>
      <c r="AO29" s="300">
        <v>7.7935575942915394</v>
      </c>
      <c r="AP29" s="300">
        <v>7.7935575942915394</v>
      </c>
      <c r="AQ29" s="301"/>
      <c r="AR29" s="301"/>
      <c r="AS29" s="301"/>
      <c r="AT29" s="301"/>
      <c r="AU29" s="332">
        <f t="shared" si="26"/>
        <v>23.380672782874619</v>
      </c>
      <c r="AV29" s="332" t="str">
        <f t="shared" si="9"/>
        <v/>
      </c>
      <c r="AW29" s="302"/>
      <c r="AX29" s="302"/>
      <c r="AY29" s="347">
        <f t="shared" si="12"/>
        <v>-3.3982997527179051E-2</v>
      </c>
      <c r="AZ29" s="347">
        <f t="shared" si="13"/>
        <v>2.6138718131027409E-2</v>
      </c>
      <c r="BA29" s="347">
        <f t="shared" si="14"/>
        <v>-0.17053826801072242</v>
      </c>
      <c r="BB29" s="347" t="str">
        <f t="shared" si="15"/>
        <v/>
      </c>
      <c r="BC29" s="347" t="str">
        <f t="shared" si="16"/>
        <v/>
      </c>
      <c r="BD29" s="347" t="str">
        <f t="shared" si="17"/>
        <v/>
      </c>
      <c r="BE29" s="347" t="str">
        <f t="shared" si="18"/>
        <v/>
      </c>
      <c r="BF29" s="347">
        <f t="shared" si="19"/>
        <v>8.2438554762713778E-2</v>
      </c>
      <c r="BG29" s="347">
        <f t="shared" si="20"/>
        <v>-1.3473722241577338E-2</v>
      </c>
      <c r="BH29" s="347">
        <f t="shared" si="21"/>
        <v>1.2150336920979117E-2</v>
      </c>
      <c r="BI29" s="347" t="str">
        <f t="shared" si="22"/>
        <v/>
      </c>
      <c r="BJ29" s="347" t="b">
        <f t="shared" si="23"/>
        <v>0</v>
      </c>
      <c r="BK29" s="347" t="b">
        <f t="shared" si="24"/>
        <v>0</v>
      </c>
      <c r="BL29" s="288" t="str">
        <f t="shared" si="2"/>
        <v/>
      </c>
      <c r="BM29" s="136" t="str">
        <f t="shared" si="3"/>
        <v/>
      </c>
      <c r="BN29" s="334">
        <v>149.30000000000001</v>
      </c>
      <c r="BO29" s="334">
        <f t="shared" si="25"/>
        <v>6.3856160764268566</v>
      </c>
      <c r="BP29" s="94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</row>
    <row r="30" spans="1:79" s="89" customFormat="1" ht="11.25">
      <c r="A30" s="289" t="s">
        <v>228</v>
      </c>
      <c r="B30" s="295" t="s">
        <v>264</v>
      </c>
      <c r="C30" s="305"/>
      <c r="D30" s="307">
        <v>0.62708333333333333</v>
      </c>
      <c r="E30" s="306">
        <v>56.496600000000001</v>
      </c>
      <c r="F30" s="296"/>
      <c r="G30" s="296"/>
      <c r="H30" s="298"/>
      <c r="I30" s="290" t="s">
        <v>94</v>
      </c>
      <c r="J30" s="295">
        <f>IF(ISERROR(VLOOKUP(I30,Max_Load_France!$B$2:$C$102,2,FALSE)/1000),"",VLOOKUP(I30,Max_Load_France!$B$2:$C$102,2,FALSE)/1000)</f>
        <v>40</v>
      </c>
      <c r="K30" s="296"/>
      <c r="L30" s="297">
        <f t="shared" si="0"/>
        <v>1.0899999999999999</v>
      </c>
      <c r="M30" s="298">
        <f>IF(VLOOKUP($I30,Max_Load_France!$B$2:$M$102,3,FALSE)="","",VLOOKUP($I30,Max_Load_France!$B$2:$M$102,3,FALSE))</f>
        <v>0</v>
      </c>
      <c r="N30" s="298">
        <f>IF(VLOOKUP($I30,Max_Load_France!$B$2:$M$102,4,FALSE)="","",VLOOKUP($I30,Max_Load_France!$B$2:$M$102,4,FALSE))</f>
        <v>0</v>
      </c>
      <c r="O30" s="298">
        <f>IF(VLOOKUP($I30,Max_Load_France!$B$2:$M$102,5,FALSE)="","",VLOOKUP($I30,Max_Load_France!$B$2:$M$102,5,FALSE))</f>
        <v>1</v>
      </c>
      <c r="P30" s="298">
        <f>IF(VLOOKUP($I30,Max_Load_France!$B$2:$M$102,6,FALSE)="","",VLOOKUP($I30,Max_Load_France!$B$2:$M$102,6,FALSE))</f>
        <v>1</v>
      </c>
      <c r="Q30" s="298">
        <f>IF(VLOOKUP($I30,Max_Load_France!$B$2:$M$102,7,FALSE)="","",VLOOKUP($I30,Max_Load_France!$B$2:$M$102,7,FALSE))</f>
        <v>1</v>
      </c>
      <c r="R30" s="298" t="str">
        <f>IF(VLOOKUP($I30,Max_Load_France!$B$2:$M$102,8,FALSE)="","",VLOOKUP($I30,Max_Load_France!$B$2:$M$102,8,FALSE))</f>
        <v/>
      </c>
      <c r="S30" s="298" t="str">
        <f>IF(VLOOKUP($I30,Max_Load_France!$B$2:$M$102,9,FALSE)="","",VLOOKUP($I30,Max_Load_France!$B$2:$M$102,9,FALSE))</f>
        <v/>
      </c>
      <c r="T30" s="298" t="str">
        <f>IF(VLOOKUP($I30,Max_Load_France!$B$2:$M$102,10,FALSE)="","",VLOOKUP($I30,Max_Load_France!$B$2:$M$102,10,FALSE))</f>
        <v/>
      </c>
      <c r="U30" s="298" t="str">
        <f>IF(VLOOKUP($I30,Max_Load_France!$B$2:$M$102,11,FALSE)="","",VLOOKUP($I30,Max_Load_France!$B$2:$M$102,11,FALSE))</f>
        <v/>
      </c>
      <c r="V30" s="289">
        <v>5</v>
      </c>
      <c r="W30" s="299">
        <f t="shared" si="4"/>
        <v>43.599999999999994</v>
      </c>
      <c r="X30" s="308">
        <v>7.2</v>
      </c>
      <c r="Y30" s="308">
        <v>12.2</v>
      </c>
      <c r="Z30" s="308">
        <v>8.1999999999999993</v>
      </c>
      <c r="AA30" s="308">
        <v>8.1</v>
      </c>
      <c r="AB30" s="308">
        <v>7.9</v>
      </c>
      <c r="AC30" s="308"/>
      <c r="AD30" s="308"/>
      <c r="AE30" s="308"/>
      <c r="AF30" s="308"/>
      <c r="AG30" s="302">
        <f t="shared" si="5"/>
        <v>24.199999999999996</v>
      </c>
      <c r="AH30" s="302" t="str">
        <f t="shared" si="6"/>
        <v/>
      </c>
      <c r="AI30" s="302" t="str">
        <f t="shared" si="7"/>
        <v/>
      </c>
      <c r="AJ30" s="302" t="str">
        <f t="shared" si="8"/>
        <v/>
      </c>
      <c r="AK30" s="326">
        <f t="shared" si="1"/>
        <v>43.022242609582058</v>
      </c>
      <c r="AL30" s="323">
        <f>Site_PLtraf_new!AL30*(1-Site_PLtraf_new!$AZ$9)</f>
        <v>6.2472378710300687</v>
      </c>
      <c r="AM30" s="323">
        <f>Site_PLtraf_new!AM30+(Site_PLtraf_new!AL30*Site_PLtraf_new!$AZ$9)</f>
        <v>13.297634707970952</v>
      </c>
      <c r="AN30" s="309">
        <v>7.8257900101936793</v>
      </c>
      <c r="AO30" s="309">
        <v>7.8257900101936793</v>
      </c>
      <c r="AP30" s="309">
        <v>7.8257900101936793</v>
      </c>
      <c r="AQ30" s="309"/>
      <c r="AR30" s="309"/>
      <c r="AS30" s="309"/>
      <c r="AT30" s="309"/>
      <c r="AU30" s="332">
        <f t="shared" si="26"/>
        <v>23.477370030581039</v>
      </c>
      <c r="AV30" s="332" t="str">
        <f t="shared" si="9"/>
        <v/>
      </c>
      <c r="AW30" s="302"/>
      <c r="AX30" s="302"/>
      <c r="AY30" s="347">
        <f t="shared" si="12"/>
        <v>-1.3251316293989367E-2</v>
      </c>
      <c r="AZ30" s="347">
        <f t="shared" si="13"/>
        <v>-0.13232807346804604</v>
      </c>
      <c r="BA30" s="347">
        <f t="shared" si="14"/>
        <v>8.9970058030405933E-2</v>
      </c>
      <c r="BB30" s="347" t="str">
        <f t="shared" si="15"/>
        <v/>
      </c>
      <c r="BC30" s="347" t="str">
        <f t="shared" si="16"/>
        <v/>
      </c>
      <c r="BD30" s="347" t="str">
        <f t="shared" si="17"/>
        <v/>
      </c>
      <c r="BE30" s="347" t="str">
        <f t="shared" si="18"/>
        <v/>
      </c>
      <c r="BF30" s="347">
        <f t="shared" si="19"/>
        <v>-4.5635364610526835E-2</v>
      </c>
      <c r="BG30" s="347">
        <f t="shared" si="20"/>
        <v>-3.3853085161274124E-2</v>
      </c>
      <c r="BH30" s="347">
        <f t="shared" si="21"/>
        <v>-9.3936695957368473E-3</v>
      </c>
      <c r="BI30" s="347" t="str">
        <f t="shared" si="22"/>
        <v/>
      </c>
      <c r="BJ30" s="347">
        <f t="shared" si="23"/>
        <v>-2.9860742537973439E-2</v>
      </c>
      <c r="BK30" s="347" t="str">
        <f t="shared" si="24"/>
        <v/>
      </c>
      <c r="BL30" s="288" t="str">
        <f t="shared" si="2"/>
        <v/>
      </c>
      <c r="BM30" s="136" t="str">
        <f t="shared" si="3"/>
        <v/>
      </c>
      <c r="BN30" s="334">
        <v>79.978099999999998</v>
      </c>
      <c r="BO30" s="334">
        <f t="shared" si="25"/>
        <v>3.4066038868843704</v>
      </c>
      <c r="BP30" s="94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</row>
    <row r="31" spans="1:79" s="89" customFormat="1" ht="11.25">
      <c r="A31" s="289" t="s">
        <v>229</v>
      </c>
      <c r="B31" s="295" t="s">
        <v>265</v>
      </c>
      <c r="C31" s="305"/>
      <c r="D31" s="292">
        <v>0.62986111111111109</v>
      </c>
      <c r="E31" s="310">
        <v>59.698799999999999</v>
      </c>
      <c r="F31" s="298"/>
      <c r="G31" s="298"/>
      <c r="H31" s="298"/>
      <c r="I31" s="290" t="s">
        <v>94</v>
      </c>
      <c r="J31" s="295">
        <f>IF(ISERROR(VLOOKUP(I31,Max_Load_France!$B$2:$C$102,2,FALSE)/1000),"",VLOOKUP(I31,Max_Load_France!$B$2:$C$102,2,FALSE)/1000)</f>
        <v>40</v>
      </c>
      <c r="K31" s="296"/>
      <c r="L31" s="297">
        <f t="shared" si="0"/>
        <v>1.0024999999999999</v>
      </c>
      <c r="M31" s="298">
        <f>IF(VLOOKUP($I31,Max_Load_France!$B$2:$M$102,3,FALSE)="","",VLOOKUP($I31,Max_Load_France!$B$2:$M$102,3,FALSE))</f>
        <v>0</v>
      </c>
      <c r="N31" s="298">
        <f>IF(VLOOKUP($I31,Max_Load_France!$B$2:$M$102,4,FALSE)="","",VLOOKUP($I31,Max_Load_France!$B$2:$M$102,4,FALSE))</f>
        <v>0</v>
      </c>
      <c r="O31" s="298">
        <f>IF(VLOOKUP($I31,Max_Load_France!$B$2:$M$102,5,FALSE)="","",VLOOKUP($I31,Max_Load_France!$B$2:$M$102,5,FALSE))</f>
        <v>1</v>
      </c>
      <c r="P31" s="298">
        <f>IF(VLOOKUP($I31,Max_Load_France!$B$2:$M$102,6,FALSE)="","",VLOOKUP($I31,Max_Load_France!$B$2:$M$102,6,FALSE))</f>
        <v>1</v>
      </c>
      <c r="Q31" s="298">
        <f>IF(VLOOKUP($I31,Max_Load_France!$B$2:$M$102,7,FALSE)="","",VLOOKUP($I31,Max_Load_France!$B$2:$M$102,7,FALSE))</f>
        <v>1</v>
      </c>
      <c r="R31" s="298" t="str">
        <f>IF(VLOOKUP($I31,Max_Load_France!$B$2:$M$102,8,FALSE)="","",VLOOKUP($I31,Max_Load_France!$B$2:$M$102,8,FALSE))</f>
        <v/>
      </c>
      <c r="S31" s="298" t="str">
        <f>IF(VLOOKUP($I31,Max_Load_France!$B$2:$M$102,9,FALSE)="","",VLOOKUP($I31,Max_Load_France!$B$2:$M$102,9,FALSE))</f>
        <v/>
      </c>
      <c r="T31" s="298" t="str">
        <f>IF(VLOOKUP($I31,Max_Load_France!$B$2:$M$102,10,FALSE)="","",VLOOKUP($I31,Max_Load_France!$B$2:$M$102,10,FALSE))</f>
        <v/>
      </c>
      <c r="U31" s="298" t="str">
        <f>IF(VLOOKUP($I31,Max_Load_France!$B$2:$M$102,11,FALSE)="","",VLOOKUP($I31,Max_Load_France!$B$2:$M$102,11,FALSE))</f>
        <v/>
      </c>
      <c r="V31" s="289">
        <v>5</v>
      </c>
      <c r="W31" s="299">
        <f t="shared" si="4"/>
        <v>40.1</v>
      </c>
      <c r="X31" s="300">
        <v>6.7</v>
      </c>
      <c r="Y31" s="300">
        <v>10.199999999999999</v>
      </c>
      <c r="Z31" s="300">
        <v>7.8</v>
      </c>
      <c r="AA31" s="300">
        <v>7.7</v>
      </c>
      <c r="AB31" s="300">
        <v>7.7</v>
      </c>
      <c r="AC31" s="301"/>
      <c r="AD31" s="301"/>
      <c r="AE31" s="301"/>
      <c r="AF31" s="301"/>
      <c r="AG31" s="302">
        <f t="shared" si="5"/>
        <v>23.2</v>
      </c>
      <c r="AH31" s="302" t="str">
        <f t="shared" si="6"/>
        <v/>
      </c>
      <c r="AI31" s="302" t="str">
        <f t="shared" si="7"/>
        <v/>
      </c>
      <c r="AJ31" s="302" t="str">
        <f t="shared" si="8"/>
        <v/>
      </c>
      <c r="AK31" s="326">
        <f t="shared" si="1"/>
        <v>40.111396534148824</v>
      </c>
      <c r="AL31" s="323">
        <f>Site_PLtraf_new!AL31*(1-Site_PLtraf_new!$AZ$9)</f>
        <v>6.0072241645812587</v>
      </c>
      <c r="AM31" s="323">
        <f>Site_PLtraf_new!AM31+(Site_PLtraf_new!AL31*Site_PLtraf_new!$AZ$9)</f>
        <v>11.445793164674603</v>
      </c>
      <c r="AN31" s="300">
        <v>7.552793068297655</v>
      </c>
      <c r="AO31" s="300">
        <v>7.552793068297655</v>
      </c>
      <c r="AP31" s="300">
        <v>7.552793068297655</v>
      </c>
      <c r="AQ31" s="301"/>
      <c r="AR31" s="301"/>
      <c r="AS31" s="301"/>
      <c r="AT31" s="301"/>
      <c r="AU31" s="332">
        <f t="shared" si="26"/>
        <v>22.658379204892967</v>
      </c>
      <c r="AV31" s="332" t="str">
        <f t="shared" si="9"/>
        <v/>
      </c>
      <c r="AW31" s="302"/>
      <c r="AX31" s="302"/>
      <c r="AY31" s="347">
        <f t="shared" si="12"/>
        <v>2.8420284660405157E-4</v>
      </c>
      <c r="AZ31" s="347">
        <f t="shared" si="13"/>
        <v>-0.10339937842070768</v>
      </c>
      <c r="BA31" s="347">
        <f t="shared" si="14"/>
        <v>0.12213658477201997</v>
      </c>
      <c r="BB31" s="347" t="str">
        <f t="shared" si="15"/>
        <v/>
      </c>
      <c r="BC31" s="347" t="str">
        <f t="shared" si="16"/>
        <v/>
      </c>
      <c r="BD31" s="347" t="str">
        <f t="shared" si="17"/>
        <v/>
      </c>
      <c r="BE31" s="347" t="str">
        <f t="shared" si="18"/>
        <v/>
      </c>
      <c r="BF31" s="347">
        <f t="shared" si="19"/>
        <v>-3.1693196372095493E-2</v>
      </c>
      <c r="BG31" s="347">
        <f t="shared" si="20"/>
        <v>-1.9117783337966911E-2</v>
      </c>
      <c r="BH31" s="347">
        <f t="shared" si="21"/>
        <v>-1.9117783337966911E-2</v>
      </c>
      <c r="BI31" s="347" t="str">
        <f t="shared" si="22"/>
        <v/>
      </c>
      <c r="BJ31" s="347">
        <f t="shared" si="23"/>
        <v>-2.334572392702727E-2</v>
      </c>
      <c r="BK31" s="347" t="str">
        <f t="shared" si="24"/>
        <v/>
      </c>
      <c r="BL31" s="288" t="str">
        <f t="shared" si="2"/>
        <v/>
      </c>
      <c r="BM31" s="136" t="str">
        <f t="shared" si="3"/>
        <v/>
      </c>
      <c r="BN31" s="334">
        <v>62.0244</v>
      </c>
      <c r="BO31" s="334">
        <f t="shared" si="25"/>
        <v>2.737371435049782</v>
      </c>
      <c r="BP31" s="94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</row>
    <row r="32" spans="1:79" s="89" customFormat="1" ht="11.25">
      <c r="A32" s="289" t="s">
        <v>230</v>
      </c>
      <c r="B32" s="295" t="s">
        <v>266</v>
      </c>
      <c r="C32" s="305"/>
      <c r="D32" s="292">
        <v>0.6381944444444444</v>
      </c>
      <c r="E32" s="306">
        <v>60.186239999999998</v>
      </c>
      <c r="F32" s="298"/>
      <c r="G32" s="298"/>
      <c r="H32" s="298"/>
      <c r="I32" s="290" t="s">
        <v>94</v>
      </c>
      <c r="J32" s="295">
        <f>IF(ISERROR(VLOOKUP(I32,Max_Load_France!$B$2:$C$102,2,FALSE)/1000),"",VLOOKUP(I32,Max_Load_France!$B$2:$C$102,2,FALSE)/1000)</f>
        <v>40</v>
      </c>
      <c r="K32" s="296"/>
      <c r="L32" s="297">
        <f t="shared" si="0"/>
        <v>0.79500000000000004</v>
      </c>
      <c r="M32" s="298">
        <f>IF(VLOOKUP($I32,Max_Load_France!$B$2:$M$102,3,FALSE)="","",VLOOKUP($I32,Max_Load_France!$B$2:$M$102,3,FALSE))</f>
        <v>0</v>
      </c>
      <c r="N32" s="298">
        <f>IF(VLOOKUP($I32,Max_Load_France!$B$2:$M$102,4,FALSE)="","",VLOOKUP($I32,Max_Load_France!$B$2:$M$102,4,FALSE))</f>
        <v>0</v>
      </c>
      <c r="O32" s="298">
        <f>IF(VLOOKUP($I32,Max_Load_France!$B$2:$M$102,5,FALSE)="","",VLOOKUP($I32,Max_Load_France!$B$2:$M$102,5,FALSE))</f>
        <v>1</v>
      </c>
      <c r="P32" s="298">
        <f>IF(VLOOKUP($I32,Max_Load_France!$B$2:$M$102,6,FALSE)="","",VLOOKUP($I32,Max_Load_France!$B$2:$M$102,6,FALSE))</f>
        <v>1</v>
      </c>
      <c r="Q32" s="298">
        <f>IF(VLOOKUP($I32,Max_Load_France!$B$2:$M$102,7,FALSE)="","",VLOOKUP($I32,Max_Load_France!$B$2:$M$102,7,FALSE))</f>
        <v>1</v>
      </c>
      <c r="R32" s="298" t="str">
        <f>IF(VLOOKUP($I32,Max_Load_France!$B$2:$M$102,8,FALSE)="","",VLOOKUP($I32,Max_Load_France!$B$2:$M$102,8,FALSE))</f>
        <v/>
      </c>
      <c r="S32" s="298" t="str">
        <f>IF(VLOOKUP($I32,Max_Load_France!$B$2:$M$102,9,FALSE)="","",VLOOKUP($I32,Max_Load_France!$B$2:$M$102,9,FALSE))</f>
        <v/>
      </c>
      <c r="T32" s="298" t="str">
        <f>IF(VLOOKUP($I32,Max_Load_France!$B$2:$M$102,10,FALSE)="","",VLOOKUP($I32,Max_Load_France!$B$2:$M$102,10,FALSE))</f>
        <v/>
      </c>
      <c r="U32" s="298" t="str">
        <f>IF(VLOOKUP($I32,Max_Load_France!$B$2:$M$102,11,FALSE)="","",VLOOKUP($I32,Max_Load_France!$B$2:$M$102,11,FALSE))</f>
        <v/>
      </c>
      <c r="V32" s="289">
        <v>5</v>
      </c>
      <c r="W32" s="299">
        <f t="shared" si="4"/>
        <v>31.8</v>
      </c>
      <c r="X32" s="300">
        <v>7.3</v>
      </c>
      <c r="Y32" s="300">
        <v>9.9</v>
      </c>
      <c r="Z32" s="300">
        <v>5</v>
      </c>
      <c r="AA32" s="300">
        <v>4.8</v>
      </c>
      <c r="AB32" s="300">
        <v>4.8</v>
      </c>
      <c r="AC32" s="301"/>
      <c r="AD32" s="301"/>
      <c r="AE32" s="301"/>
      <c r="AF32" s="301"/>
      <c r="AG32" s="302">
        <f t="shared" si="5"/>
        <v>14.600000000000001</v>
      </c>
      <c r="AH32" s="302" t="str">
        <f t="shared" si="6"/>
        <v/>
      </c>
      <c r="AI32" s="302" t="str">
        <f t="shared" si="7"/>
        <v/>
      </c>
      <c r="AJ32" s="302" t="str">
        <f t="shared" si="8"/>
        <v/>
      </c>
      <c r="AK32" s="326">
        <f t="shared" si="1"/>
        <v>31.402232415902137</v>
      </c>
      <c r="AL32" s="323">
        <f>Site_PLtraf_new!AL32*(1-Site_PLtraf_new!$AZ$9)</f>
        <v>7.1922530861228493</v>
      </c>
      <c r="AM32" s="323">
        <f>Site_PLtraf_new!AM32+(Site_PLtraf_new!AL32*Site_PLtraf_new!$AZ$9)</f>
        <v>10.117318779320575</v>
      </c>
      <c r="AN32" s="300">
        <v>4.6975535168195712</v>
      </c>
      <c r="AO32" s="300">
        <v>4.6975535168195712</v>
      </c>
      <c r="AP32" s="300">
        <v>4.6975535168195712</v>
      </c>
      <c r="AQ32" s="301"/>
      <c r="AR32" s="300"/>
      <c r="AS32" s="301"/>
      <c r="AT32" s="301"/>
      <c r="AU32" s="332">
        <f t="shared" si="26"/>
        <v>14.092660550458714</v>
      </c>
      <c r="AV32" s="332" t="str">
        <f t="shared" si="9"/>
        <v/>
      </c>
      <c r="AW32" s="302"/>
      <c r="AX32" s="302"/>
      <c r="AY32" s="347">
        <f t="shared" si="12"/>
        <v>-1.2508414594272434E-2</v>
      </c>
      <c r="AZ32" s="347">
        <f t="shared" si="13"/>
        <v>-1.4759851216048017E-2</v>
      </c>
      <c r="BA32" s="347">
        <f t="shared" si="14"/>
        <v>2.1951391850563117E-2</v>
      </c>
      <c r="BB32" s="347" t="str">
        <f t="shared" si="15"/>
        <v/>
      </c>
      <c r="BC32" s="347" t="str">
        <f t="shared" si="16"/>
        <v/>
      </c>
      <c r="BD32" s="347" t="str">
        <f t="shared" si="17"/>
        <v/>
      </c>
      <c r="BE32" s="347" t="str">
        <f t="shared" si="18"/>
        <v/>
      </c>
      <c r="BF32" s="347">
        <f t="shared" si="19"/>
        <v>-6.0489296636085751E-2</v>
      </c>
      <c r="BG32" s="347">
        <f t="shared" si="20"/>
        <v>-2.1343017329255958E-2</v>
      </c>
      <c r="BH32" s="347">
        <f t="shared" si="21"/>
        <v>-2.1343017329255958E-2</v>
      </c>
      <c r="BI32" s="347" t="str">
        <f t="shared" si="22"/>
        <v/>
      </c>
      <c r="BJ32" s="347">
        <f t="shared" si="23"/>
        <v>-3.4749277365841623E-2</v>
      </c>
      <c r="BK32" s="347" t="str">
        <f t="shared" si="24"/>
        <v/>
      </c>
      <c r="BL32" s="288" t="str">
        <f t="shared" si="2"/>
        <v/>
      </c>
      <c r="BM32" s="136" t="str">
        <f t="shared" si="3"/>
        <v/>
      </c>
      <c r="BN32" s="334">
        <v>41.752600000000001</v>
      </c>
      <c r="BO32" s="334">
        <f t="shared" si="25"/>
        <v>2.9627194844085678</v>
      </c>
      <c r="BP32" s="94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</row>
    <row r="33" spans="1:79" s="89" customFormat="1" ht="11.25">
      <c r="A33" s="289" t="s">
        <v>231</v>
      </c>
      <c r="B33" s="295" t="s">
        <v>267</v>
      </c>
      <c r="C33" s="305"/>
      <c r="D33" s="292">
        <v>0.64027777777777783</v>
      </c>
      <c r="E33" s="306">
        <v>77.201999999999998</v>
      </c>
      <c r="F33" s="298"/>
      <c r="G33" s="298"/>
      <c r="H33" s="298"/>
      <c r="I33" s="290" t="s">
        <v>94</v>
      </c>
      <c r="J33" s="295">
        <f>IF(ISERROR(VLOOKUP(I33,Max_Load_France!$B$2:$C$102,2,FALSE)/1000),"",VLOOKUP(I33,Max_Load_France!$B$2:$C$102,2,FALSE)/1000)</f>
        <v>40</v>
      </c>
      <c r="K33" s="296"/>
      <c r="L33" s="297">
        <f t="shared" si="0"/>
        <v>0.36</v>
      </c>
      <c r="M33" s="298">
        <f>IF(VLOOKUP($I33,Max_Load_France!$B$2:$M$102,3,FALSE)="","",VLOOKUP($I33,Max_Load_France!$B$2:$M$102,3,FALSE))</f>
        <v>0</v>
      </c>
      <c r="N33" s="298">
        <f>IF(VLOOKUP($I33,Max_Load_France!$B$2:$M$102,4,FALSE)="","",VLOOKUP($I33,Max_Load_France!$B$2:$M$102,4,FALSE))</f>
        <v>0</v>
      </c>
      <c r="O33" s="298">
        <f>IF(VLOOKUP($I33,Max_Load_France!$B$2:$M$102,5,FALSE)="","",VLOOKUP($I33,Max_Load_France!$B$2:$M$102,5,FALSE))</f>
        <v>1</v>
      </c>
      <c r="P33" s="298">
        <f>IF(VLOOKUP($I33,Max_Load_France!$B$2:$M$102,6,FALSE)="","",VLOOKUP($I33,Max_Load_France!$B$2:$M$102,6,FALSE))</f>
        <v>1</v>
      </c>
      <c r="Q33" s="298">
        <f>IF(VLOOKUP($I33,Max_Load_France!$B$2:$M$102,7,FALSE)="","",VLOOKUP($I33,Max_Load_France!$B$2:$M$102,7,FALSE))</f>
        <v>1</v>
      </c>
      <c r="R33" s="298" t="str">
        <f>IF(VLOOKUP($I33,Max_Load_France!$B$2:$M$102,8,FALSE)="","",VLOOKUP($I33,Max_Load_France!$B$2:$M$102,8,FALSE))</f>
        <v/>
      </c>
      <c r="S33" s="298" t="str">
        <f>IF(VLOOKUP($I33,Max_Load_France!$B$2:$M$102,9,FALSE)="","",VLOOKUP($I33,Max_Load_France!$B$2:$M$102,9,FALSE))</f>
        <v/>
      </c>
      <c r="T33" s="298" t="str">
        <f>IF(VLOOKUP($I33,Max_Load_France!$B$2:$M$102,10,FALSE)="","",VLOOKUP($I33,Max_Load_France!$B$2:$M$102,10,FALSE))</f>
        <v/>
      </c>
      <c r="U33" s="298" t="str">
        <f>IF(VLOOKUP($I33,Max_Load_France!$B$2:$M$102,11,FALSE)="","",VLOOKUP($I33,Max_Load_France!$B$2:$M$102,11,FALSE))</f>
        <v/>
      </c>
      <c r="V33" s="289">
        <v>5</v>
      </c>
      <c r="W33" s="299">
        <f t="shared" si="4"/>
        <v>14.399999999999999</v>
      </c>
      <c r="X33" s="300">
        <v>5.9</v>
      </c>
      <c r="Y33" s="300">
        <v>3.4</v>
      </c>
      <c r="Z33" s="300">
        <v>1.7</v>
      </c>
      <c r="AA33" s="300">
        <v>1.7</v>
      </c>
      <c r="AB33" s="300">
        <v>1.7</v>
      </c>
      <c r="AC33" s="301"/>
      <c r="AD33" s="301"/>
      <c r="AE33" s="301"/>
      <c r="AF33" s="301"/>
      <c r="AG33" s="302">
        <f t="shared" si="5"/>
        <v>5.0999999999999996</v>
      </c>
      <c r="AH33" s="302" t="str">
        <f t="shared" si="6"/>
        <v/>
      </c>
      <c r="AI33" s="302" t="str">
        <f t="shared" si="7"/>
        <v/>
      </c>
      <c r="AJ33" s="302" t="str">
        <f t="shared" si="8"/>
        <v/>
      </c>
      <c r="AK33" s="326">
        <f t="shared" si="1"/>
        <v>13.990417940876657</v>
      </c>
      <c r="AL33" s="323">
        <f>Site_PLtraf_new!AL33*(1-Site_PLtraf_new!$AZ$9)</f>
        <v>6.2870922314849178</v>
      </c>
      <c r="AM33" s="323">
        <f>Site_PLtraf_new!AM33+(Site_PLtraf_new!AL33*Site_PLtraf_new!$AZ$9)</f>
        <v>3.4294826920624839</v>
      </c>
      <c r="AN33" s="300">
        <v>2.1369215086646278</v>
      </c>
      <c r="AO33" s="300">
        <v>2.1369215086646278</v>
      </c>
      <c r="AP33" s="300"/>
      <c r="AQ33" s="301"/>
      <c r="AR33" s="300"/>
      <c r="AS33" s="301"/>
      <c r="AT33" s="301"/>
      <c r="AU33" s="332">
        <f t="shared" si="26"/>
        <v>4.2738430173292556</v>
      </c>
      <c r="AV33" s="332" t="str">
        <f t="shared" si="9"/>
        <v/>
      </c>
      <c r="AW33" s="302"/>
      <c r="AX33" s="302"/>
      <c r="AY33" s="347" t="str">
        <f t="shared" si="12"/>
        <v/>
      </c>
      <c r="AZ33" s="347" t="str">
        <f t="shared" si="13"/>
        <v/>
      </c>
      <c r="BA33" s="347" t="str">
        <f t="shared" si="14"/>
        <v/>
      </c>
      <c r="BB33" s="347" t="str">
        <f t="shared" si="15"/>
        <v/>
      </c>
      <c r="BC33" s="347" t="str">
        <f t="shared" si="16"/>
        <v/>
      </c>
      <c r="BD33" s="347" t="str">
        <f t="shared" si="17"/>
        <v/>
      </c>
      <c r="BE33" s="347" t="str">
        <f t="shared" si="18"/>
        <v/>
      </c>
      <c r="BF33" s="347" t="str">
        <f t="shared" si="19"/>
        <v/>
      </c>
      <c r="BG33" s="347" t="str">
        <f t="shared" si="20"/>
        <v/>
      </c>
      <c r="BH33" s="347" t="str">
        <f t="shared" si="21"/>
        <v/>
      </c>
      <c r="BI33" s="347" t="str">
        <f t="shared" si="22"/>
        <v/>
      </c>
      <c r="BJ33" s="347" t="str">
        <f t="shared" si="23"/>
        <v/>
      </c>
      <c r="BK33" s="347" t="str">
        <f t="shared" si="24"/>
        <v/>
      </c>
      <c r="BL33" s="288" t="str">
        <f t="shared" si="2"/>
        <v/>
      </c>
      <c r="BM33" s="136" t="str">
        <f t="shared" si="3"/>
        <v/>
      </c>
      <c r="BN33" s="334">
        <v>13.068300000000001</v>
      </c>
      <c r="BO33" s="334">
        <f t="shared" si="25"/>
        <v>3.0577398250267138</v>
      </c>
      <c r="BP33" s="94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</row>
    <row r="34" spans="1:79" s="89" customFormat="1" ht="11.25">
      <c r="A34" s="289" t="s">
        <v>232</v>
      </c>
      <c r="B34" s="295" t="s">
        <v>268</v>
      </c>
      <c r="C34" s="305"/>
      <c r="D34" s="292">
        <v>0.64444444444444449</v>
      </c>
      <c r="E34" s="306">
        <v>63.833760000000005</v>
      </c>
      <c r="F34" s="298"/>
      <c r="G34" s="298"/>
      <c r="H34" s="298"/>
      <c r="I34" s="290" t="s">
        <v>94</v>
      </c>
      <c r="J34" s="295">
        <f>IF(ISERROR(VLOOKUP(I34,Max_Load_France!$B$2:$C$102,2,FALSE)/1000),"",VLOOKUP(I34,Max_Load_France!$B$2:$C$102,2,FALSE)/1000)</f>
        <v>40</v>
      </c>
      <c r="K34" s="296"/>
      <c r="L34" s="297">
        <f t="shared" si="0"/>
        <v>0.91249999999999998</v>
      </c>
      <c r="M34" s="298">
        <f>IF(VLOOKUP($I34,Max_Load_France!$B$2:$M$102,3,FALSE)="","",VLOOKUP($I34,Max_Load_France!$B$2:$M$102,3,FALSE))</f>
        <v>0</v>
      </c>
      <c r="N34" s="298">
        <f>IF(VLOOKUP($I34,Max_Load_France!$B$2:$M$102,4,FALSE)="","",VLOOKUP($I34,Max_Load_France!$B$2:$M$102,4,FALSE))</f>
        <v>0</v>
      </c>
      <c r="O34" s="298">
        <f>IF(VLOOKUP($I34,Max_Load_France!$B$2:$M$102,5,FALSE)="","",VLOOKUP($I34,Max_Load_France!$B$2:$M$102,5,FALSE))</f>
        <v>1</v>
      </c>
      <c r="P34" s="298">
        <f>IF(VLOOKUP($I34,Max_Load_France!$B$2:$M$102,6,FALSE)="","",VLOOKUP($I34,Max_Load_France!$B$2:$M$102,6,FALSE))</f>
        <v>1</v>
      </c>
      <c r="Q34" s="298">
        <f>IF(VLOOKUP($I34,Max_Load_France!$B$2:$M$102,7,FALSE)="","",VLOOKUP($I34,Max_Load_France!$B$2:$M$102,7,FALSE))</f>
        <v>1</v>
      </c>
      <c r="R34" s="298" t="str">
        <f>IF(VLOOKUP($I34,Max_Load_France!$B$2:$M$102,8,FALSE)="","",VLOOKUP($I34,Max_Load_France!$B$2:$M$102,8,FALSE))</f>
        <v/>
      </c>
      <c r="S34" s="298" t="str">
        <f>IF(VLOOKUP($I34,Max_Load_France!$B$2:$M$102,9,FALSE)="","",VLOOKUP($I34,Max_Load_France!$B$2:$M$102,9,FALSE))</f>
        <v/>
      </c>
      <c r="T34" s="298" t="str">
        <f>IF(VLOOKUP($I34,Max_Load_France!$B$2:$M$102,10,FALSE)="","",VLOOKUP($I34,Max_Load_France!$B$2:$M$102,10,FALSE))</f>
        <v/>
      </c>
      <c r="U34" s="298" t="str">
        <f>IF(VLOOKUP($I34,Max_Load_France!$B$2:$M$102,11,FALSE)="","",VLOOKUP($I34,Max_Load_France!$B$2:$M$102,11,FALSE))</f>
        <v/>
      </c>
      <c r="V34" s="289">
        <v>5</v>
      </c>
      <c r="W34" s="299">
        <f t="shared" si="4"/>
        <v>36.5</v>
      </c>
      <c r="X34" s="300">
        <v>6</v>
      </c>
      <c r="Y34" s="300">
        <v>10.7</v>
      </c>
      <c r="Z34" s="300">
        <v>6.6</v>
      </c>
      <c r="AA34" s="300">
        <v>6.6</v>
      </c>
      <c r="AB34" s="300">
        <v>6.6</v>
      </c>
      <c r="AC34" s="301"/>
      <c r="AD34" s="301"/>
      <c r="AE34" s="301"/>
      <c r="AF34" s="301"/>
      <c r="AG34" s="302">
        <f t="shared" si="5"/>
        <v>19.799999999999997</v>
      </c>
      <c r="AH34" s="302" t="str">
        <f t="shared" si="6"/>
        <v/>
      </c>
      <c r="AI34" s="302" t="str">
        <f t="shared" si="7"/>
        <v/>
      </c>
      <c r="AJ34" s="302" t="str">
        <f t="shared" si="8"/>
        <v/>
      </c>
      <c r="AK34" s="326">
        <f t="shared" si="1"/>
        <v>36.831518858307845</v>
      </c>
      <c r="AL34" s="323">
        <f>Site_PLtraf_new!AL34*(1-Site_PLtraf_new!$AZ$9)</f>
        <v>5.1339054606545087</v>
      </c>
      <c r="AM34" s="323">
        <f>Site_PLtraf_new!AM34+(Site_PLtraf_new!AL34*Site_PLtraf_new!$AZ$9)</f>
        <v>11.563760186644167</v>
      </c>
      <c r="AN34" s="300">
        <v>6.7112844036697243</v>
      </c>
      <c r="AO34" s="300">
        <v>6.7112844036697243</v>
      </c>
      <c r="AP34" s="300">
        <v>6.7112844036697243</v>
      </c>
      <c r="AQ34" s="301"/>
      <c r="AR34" s="300"/>
      <c r="AS34" s="301"/>
      <c r="AT34" s="301"/>
      <c r="AU34" s="332">
        <f t="shared" si="26"/>
        <v>20.133853211009175</v>
      </c>
      <c r="AV34" s="332" t="str">
        <f t="shared" si="9"/>
        <v/>
      </c>
      <c r="AW34" s="302"/>
      <c r="AX34" s="302"/>
      <c r="AY34" s="347">
        <f t="shared" si="12"/>
        <v>9.0827084467902802E-3</v>
      </c>
      <c r="AZ34" s="347">
        <f t="shared" si="13"/>
        <v>-0.14434908989091522</v>
      </c>
      <c r="BA34" s="347">
        <f t="shared" si="14"/>
        <v>8.0725251088239983E-2</v>
      </c>
      <c r="BB34" s="347" t="str">
        <f t="shared" si="15"/>
        <v/>
      </c>
      <c r="BC34" s="347" t="str">
        <f t="shared" si="16"/>
        <v/>
      </c>
      <c r="BD34" s="347" t="str">
        <f t="shared" si="17"/>
        <v/>
      </c>
      <c r="BE34" s="347" t="str">
        <f t="shared" si="18"/>
        <v/>
      </c>
      <c r="BF34" s="347">
        <f t="shared" si="19"/>
        <v>1.6861273283291622E-2</v>
      </c>
      <c r="BG34" s="347">
        <f t="shared" si="20"/>
        <v>1.6861273283291622E-2</v>
      </c>
      <c r="BH34" s="347">
        <f t="shared" si="21"/>
        <v>1.6861273283291622E-2</v>
      </c>
      <c r="BI34" s="347" t="str">
        <f t="shared" si="22"/>
        <v/>
      </c>
      <c r="BJ34" s="347">
        <f t="shared" si="23"/>
        <v>1.6861273283291803E-2</v>
      </c>
      <c r="BK34" s="347" t="str">
        <f t="shared" si="24"/>
        <v/>
      </c>
      <c r="BL34" s="288" t="str">
        <f t="shared" si="2"/>
        <v/>
      </c>
      <c r="BM34" s="136" t="str">
        <f t="shared" si="3"/>
        <v/>
      </c>
      <c r="BN34" s="334">
        <v>83.456500000000005</v>
      </c>
      <c r="BO34" s="334">
        <f t="shared" si="25"/>
        <v>4.1450833640907874</v>
      </c>
      <c r="BP34" s="94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</row>
    <row r="35" spans="1:79" s="89" customFormat="1" ht="11.25">
      <c r="A35" s="289" t="s">
        <v>233</v>
      </c>
      <c r="B35" s="295" t="s">
        <v>269</v>
      </c>
      <c r="C35" s="305"/>
      <c r="D35" s="292">
        <v>0.64652777777777781</v>
      </c>
      <c r="E35" s="306">
        <v>71.580600000000004</v>
      </c>
      <c r="F35" s="298"/>
      <c r="G35" s="298"/>
      <c r="H35" s="298"/>
      <c r="I35" s="290" t="s">
        <v>94</v>
      </c>
      <c r="J35" s="295">
        <f>IF(ISERROR(VLOOKUP(I35,Max_Load_France!$B$2:$C$102,2,FALSE)/1000),"",VLOOKUP(I35,Max_Load_France!$B$2:$C$102,2,FALSE)/1000)</f>
        <v>40</v>
      </c>
      <c r="K35" s="296"/>
      <c r="L35" s="297">
        <f t="shared" si="0"/>
        <v>0.72</v>
      </c>
      <c r="M35" s="298">
        <f>IF(VLOOKUP($I35,Max_Load_France!$B$2:$M$102,3,FALSE)="","",VLOOKUP($I35,Max_Load_France!$B$2:$M$102,3,FALSE))</f>
        <v>0</v>
      </c>
      <c r="N35" s="298">
        <f>IF(VLOOKUP($I35,Max_Load_France!$B$2:$M$102,4,FALSE)="","",VLOOKUP($I35,Max_Load_France!$B$2:$M$102,4,FALSE))</f>
        <v>0</v>
      </c>
      <c r="O35" s="298">
        <f>IF(VLOOKUP($I35,Max_Load_France!$B$2:$M$102,5,FALSE)="","",VLOOKUP($I35,Max_Load_France!$B$2:$M$102,5,FALSE))</f>
        <v>1</v>
      </c>
      <c r="P35" s="298">
        <f>IF(VLOOKUP($I35,Max_Load_France!$B$2:$M$102,6,FALSE)="","",VLOOKUP($I35,Max_Load_France!$B$2:$M$102,6,FALSE))</f>
        <v>1</v>
      </c>
      <c r="Q35" s="298">
        <f>IF(VLOOKUP($I35,Max_Load_France!$B$2:$M$102,7,FALSE)="","",VLOOKUP($I35,Max_Load_France!$B$2:$M$102,7,FALSE))</f>
        <v>1</v>
      </c>
      <c r="R35" s="298" t="str">
        <f>IF(VLOOKUP($I35,Max_Load_France!$B$2:$M$102,8,FALSE)="","",VLOOKUP($I35,Max_Load_France!$B$2:$M$102,8,FALSE))</f>
        <v/>
      </c>
      <c r="S35" s="298" t="str">
        <f>IF(VLOOKUP($I35,Max_Load_France!$B$2:$M$102,9,FALSE)="","",VLOOKUP($I35,Max_Load_France!$B$2:$M$102,9,FALSE))</f>
        <v/>
      </c>
      <c r="T35" s="298" t="str">
        <f>IF(VLOOKUP($I35,Max_Load_France!$B$2:$M$102,10,FALSE)="","",VLOOKUP($I35,Max_Load_France!$B$2:$M$102,10,FALSE))</f>
        <v/>
      </c>
      <c r="U35" s="298" t="str">
        <f>IF(VLOOKUP($I35,Max_Load_France!$B$2:$M$102,11,FALSE)="","",VLOOKUP($I35,Max_Load_France!$B$2:$M$102,11,FALSE))</f>
        <v/>
      </c>
      <c r="V35" s="289">
        <v>5</v>
      </c>
      <c r="W35" s="299">
        <f t="shared" si="4"/>
        <v>28.8</v>
      </c>
      <c r="X35" s="300">
        <v>7.3</v>
      </c>
      <c r="Y35" s="300">
        <v>11.7</v>
      </c>
      <c r="Z35" s="300">
        <v>3.3</v>
      </c>
      <c r="AA35" s="300">
        <v>3.3</v>
      </c>
      <c r="AB35" s="300">
        <v>3.2</v>
      </c>
      <c r="AC35" s="301"/>
      <c r="AD35" s="301"/>
      <c r="AE35" s="301"/>
      <c r="AF35" s="301"/>
      <c r="AG35" s="302">
        <f t="shared" si="5"/>
        <v>9.8000000000000007</v>
      </c>
      <c r="AH35" s="302" t="str">
        <f t="shared" si="6"/>
        <v/>
      </c>
      <c r="AI35" s="302" t="str">
        <f t="shared" si="7"/>
        <v/>
      </c>
      <c r="AJ35" s="302" t="str">
        <f t="shared" si="8"/>
        <v/>
      </c>
      <c r="AK35" s="326">
        <f t="shared" si="1"/>
        <v>30.904821610601427</v>
      </c>
      <c r="AL35" s="323">
        <f>Site_PLtraf_new!AL35*(1-Site_PLtraf_new!$AZ$9)</f>
        <v>7.2819557924791285</v>
      </c>
      <c r="AM35" s="323">
        <f>Site_PLtraf_new!AM35+(Site_PLtraf_new!AL35*Site_PLtraf_new!$AZ$9)</f>
        <v>13.290082943504562</v>
      </c>
      <c r="AN35" s="300">
        <v>3.4442609582059127</v>
      </c>
      <c r="AO35" s="300">
        <v>3.4442609582059127</v>
      </c>
      <c r="AP35" s="300">
        <v>3.4442609582059127</v>
      </c>
      <c r="AQ35" s="301"/>
      <c r="AR35" s="300"/>
      <c r="AS35" s="301"/>
      <c r="AT35" s="301"/>
      <c r="AU35" s="332">
        <f t="shared" si="26"/>
        <v>10.332782874617738</v>
      </c>
      <c r="AV35" s="332" t="str">
        <f t="shared" si="9"/>
        <v/>
      </c>
      <c r="AW35" s="302"/>
      <c r="AX35" s="302"/>
      <c r="AY35" s="347" t="str">
        <f t="shared" si="12"/>
        <v/>
      </c>
      <c r="AZ35" s="347" t="str">
        <f t="shared" si="13"/>
        <v/>
      </c>
      <c r="BA35" s="347" t="str">
        <f t="shared" si="14"/>
        <v/>
      </c>
      <c r="BB35" s="347" t="str">
        <f t="shared" si="15"/>
        <v/>
      </c>
      <c r="BC35" s="347" t="str">
        <f t="shared" si="16"/>
        <v/>
      </c>
      <c r="BD35" s="347" t="str">
        <f t="shared" si="17"/>
        <v/>
      </c>
      <c r="BE35" s="347" t="str">
        <f t="shared" si="18"/>
        <v/>
      </c>
      <c r="BF35" s="347" t="str">
        <f t="shared" si="19"/>
        <v/>
      </c>
      <c r="BG35" s="347" t="str">
        <f t="shared" si="20"/>
        <v/>
      </c>
      <c r="BH35" s="347" t="str">
        <f t="shared" si="21"/>
        <v/>
      </c>
      <c r="BI35" s="347" t="str">
        <f t="shared" si="22"/>
        <v/>
      </c>
      <c r="BJ35" s="347" t="str">
        <f t="shared" si="23"/>
        <v/>
      </c>
      <c r="BK35" s="347" t="str">
        <f t="shared" si="24"/>
        <v/>
      </c>
      <c r="BL35" s="288" t="str">
        <f t="shared" si="2"/>
        <v/>
      </c>
      <c r="BM35" s="136" t="str">
        <f t="shared" si="3"/>
        <v/>
      </c>
      <c r="BN35" s="334">
        <v>70.857399999999998</v>
      </c>
      <c r="BO35" s="334">
        <f t="shared" si="25"/>
        <v>6.8575330440804771</v>
      </c>
      <c r="BP35" s="94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</row>
    <row r="36" spans="1:79" s="89" customFormat="1" ht="11.25">
      <c r="A36" s="289" t="s">
        <v>234</v>
      </c>
      <c r="B36" s="295" t="s">
        <v>270</v>
      </c>
      <c r="C36" s="305"/>
      <c r="D36" s="292">
        <v>0.64930555555555558</v>
      </c>
      <c r="E36" s="306">
        <v>78.853320000000011</v>
      </c>
      <c r="F36" s="298"/>
      <c r="G36" s="298"/>
      <c r="H36" s="298"/>
      <c r="I36" s="290" t="s">
        <v>94</v>
      </c>
      <c r="J36" s="295">
        <f>IF(ISERROR(VLOOKUP(I36,Max_Load_France!$B$2:$C$102,2,FALSE)/1000),"",VLOOKUP(I36,Max_Load_France!$B$2:$C$102,2,FALSE)/1000)</f>
        <v>40</v>
      </c>
      <c r="K36" s="296"/>
      <c r="L36" s="297">
        <f t="shared" si="0"/>
        <v>0.66</v>
      </c>
      <c r="M36" s="298">
        <f>IF(VLOOKUP($I36,Max_Load_France!$B$2:$M$102,3,FALSE)="","",VLOOKUP($I36,Max_Load_France!$B$2:$M$102,3,FALSE))</f>
        <v>0</v>
      </c>
      <c r="N36" s="298">
        <f>IF(VLOOKUP($I36,Max_Load_France!$B$2:$M$102,4,FALSE)="","",VLOOKUP($I36,Max_Load_France!$B$2:$M$102,4,FALSE))</f>
        <v>0</v>
      </c>
      <c r="O36" s="298">
        <f>IF(VLOOKUP($I36,Max_Load_France!$B$2:$M$102,5,FALSE)="","",VLOOKUP($I36,Max_Load_France!$B$2:$M$102,5,FALSE))</f>
        <v>1</v>
      </c>
      <c r="P36" s="298">
        <f>IF(VLOOKUP($I36,Max_Load_France!$B$2:$M$102,6,FALSE)="","",VLOOKUP($I36,Max_Load_France!$B$2:$M$102,6,FALSE))</f>
        <v>1</v>
      </c>
      <c r="Q36" s="298">
        <f>IF(VLOOKUP($I36,Max_Load_France!$B$2:$M$102,7,FALSE)="","",VLOOKUP($I36,Max_Load_France!$B$2:$M$102,7,FALSE))</f>
        <v>1</v>
      </c>
      <c r="R36" s="298" t="str">
        <f>IF(VLOOKUP($I36,Max_Load_France!$B$2:$M$102,8,FALSE)="","",VLOOKUP($I36,Max_Load_France!$B$2:$M$102,8,FALSE))</f>
        <v/>
      </c>
      <c r="S36" s="298" t="str">
        <f>IF(VLOOKUP($I36,Max_Load_France!$B$2:$M$102,9,FALSE)="","",VLOOKUP($I36,Max_Load_France!$B$2:$M$102,9,FALSE))</f>
        <v/>
      </c>
      <c r="T36" s="298" t="str">
        <f>IF(VLOOKUP($I36,Max_Load_France!$B$2:$M$102,10,FALSE)="","",VLOOKUP($I36,Max_Load_France!$B$2:$M$102,10,FALSE))</f>
        <v/>
      </c>
      <c r="U36" s="298" t="str">
        <f>IF(VLOOKUP($I36,Max_Load_France!$B$2:$M$102,11,FALSE)="","",VLOOKUP($I36,Max_Load_France!$B$2:$M$102,11,FALSE))</f>
        <v/>
      </c>
      <c r="V36" s="289">
        <v>5</v>
      </c>
      <c r="W36" s="299">
        <f t="shared" si="4"/>
        <v>26.400000000000002</v>
      </c>
      <c r="X36" s="300">
        <v>6.3</v>
      </c>
      <c r="Y36" s="300">
        <v>7</v>
      </c>
      <c r="Z36" s="300">
        <v>4.4000000000000004</v>
      </c>
      <c r="AA36" s="300">
        <v>4.4000000000000004</v>
      </c>
      <c r="AB36" s="300">
        <v>4.3</v>
      </c>
      <c r="AC36" s="301"/>
      <c r="AD36" s="301"/>
      <c r="AE36" s="301"/>
      <c r="AF36" s="301"/>
      <c r="AG36" s="302">
        <f t="shared" si="5"/>
        <v>13.100000000000001</v>
      </c>
      <c r="AH36" s="302" t="str">
        <f t="shared" si="6"/>
        <v/>
      </c>
      <c r="AI36" s="302" t="str">
        <f t="shared" si="7"/>
        <v/>
      </c>
      <c r="AJ36" s="302" t="str">
        <f t="shared" si="8"/>
        <v/>
      </c>
      <c r="AK36" s="326">
        <f t="shared" si="1"/>
        <v>27.359282183104067</v>
      </c>
      <c r="AL36" s="323">
        <f>Site_PLtraf_new!AL30*(1-Site_PLtraf_new!$AZ$9)</f>
        <v>6.2472378710300687</v>
      </c>
      <c r="AM36" s="323">
        <f>Site_PLtraf_new!AM36+(Site_PLtraf_new!AL36*Site_PLtraf_new!$AZ$9)</f>
        <v>7.5574877371504501</v>
      </c>
      <c r="AN36" s="300">
        <v>4.5181855249745153</v>
      </c>
      <c r="AO36" s="300">
        <v>4.5181855249745153</v>
      </c>
      <c r="AP36" s="300">
        <v>4.5181855249745153</v>
      </c>
      <c r="AQ36" s="301"/>
      <c r="AR36" s="300"/>
      <c r="AS36" s="301"/>
      <c r="AT36" s="301"/>
      <c r="AU36" s="332">
        <f t="shared" si="26"/>
        <v>13.554556574923545</v>
      </c>
      <c r="AV36" s="332" t="str">
        <f t="shared" si="9"/>
        <v/>
      </c>
      <c r="AW36" s="302"/>
      <c r="AX36" s="302"/>
      <c r="AY36" s="347">
        <f t="shared" si="12"/>
        <v>3.6336446329699436E-2</v>
      </c>
      <c r="AZ36" s="347">
        <f t="shared" si="13"/>
        <v>-8.3749411063382788E-3</v>
      </c>
      <c r="BA36" s="347">
        <f t="shared" si="14"/>
        <v>7.9641105307207152E-2</v>
      </c>
      <c r="BB36" s="347" t="str">
        <f t="shared" si="15"/>
        <v/>
      </c>
      <c r="BC36" s="347" t="str">
        <f t="shared" si="16"/>
        <v/>
      </c>
      <c r="BD36" s="347" t="str">
        <f t="shared" si="17"/>
        <v/>
      </c>
      <c r="BE36" s="347" t="str">
        <f t="shared" si="18"/>
        <v/>
      </c>
      <c r="BF36" s="347">
        <f t="shared" si="19"/>
        <v>2.6860346585117031E-2</v>
      </c>
      <c r="BG36" s="347">
        <f t="shared" si="20"/>
        <v>2.6860346585117031E-2</v>
      </c>
      <c r="BH36" s="347">
        <f t="shared" si="21"/>
        <v>5.0740819761515232E-2</v>
      </c>
      <c r="BI36" s="347" t="str">
        <f t="shared" si="22"/>
        <v/>
      </c>
      <c r="BJ36" s="347">
        <f t="shared" si="23"/>
        <v>3.4698975185003325E-2</v>
      </c>
      <c r="BK36" s="347" t="str">
        <f t="shared" si="24"/>
        <v/>
      </c>
      <c r="BL36" s="288" t="str">
        <f t="shared" ref="BL36:BM47" si="27">IF(AI36&lt;&gt;"",(AW36-AI36)/AI36,"")</f>
        <v/>
      </c>
      <c r="BM36" s="136" t="str">
        <f t="shared" si="27"/>
        <v/>
      </c>
      <c r="BN36" s="334">
        <v>35.539099999999998</v>
      </c>
      <c r="BO36" s="334">
        <f t="shared" si="25"/>
        <v>2.6219301091522764</v>
      </c>
      <c r="BP36" s="94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</row>
    <row r="37" spans="1:79" s="89" customFormat="1" ht="11.25">
      <c r="A37" s="289" t="s">
        <v>235</v>
      </c>
      <c r="B37" s="295" t="s">
        <v>271</v>
      </c>
      <c r="C37" s="305"/>
      <c r="D37" s="292">
        <v>0.65138888888888891</v>
      </c>
      <c r="E37" s="306">
        <v>51.738840000000003</v>
      </c>
      <c r="F37" s="298"/>
      <c r="G37" s="298"/>
      <c r="H37" s="298"/>
      <c r="I37" s="290" t="s">
        <v>94</v>
      </c>
      <c r="J37" s="295">
        <f>IF(ISERROR(VLOOKUP(I37,Max_Load_France!$B$2:$C$102,2,FALSE)/1000),"",VLOOKUP(I37,Max_Load_France!$B$2:$C$102,2,FALSE)/1000)</f>
        <v>40</v>
      </c>
      <c r="K37" s="296"/>
      <c r="L37" s="297">
        <f t="shared" si="0"/>
        <v>1.0225</v>
      </c>
      <c r="M37" s="298">
        <f>IF(VLOOKUP($I37,Max_Load_France!$B$2:$M$102,3,FALSE)="","",VLOOKUP($I37,Max_Load_France!$B$2:$M$102,3,FALSE))</f>
        <v>0</v>
      </c>
      <c r="N37" s="298">
        <f>IF(VLOOKUP($I37,Max_Load_France!$B$2:$M$102,4,FALSE)="","",VLOOKUP($I37,Max_Load_France!$B$2:$M$102,4,FALSE))</f>
        <v>0</v>
      </c>
      <c r="O37" s="298">
        <f>IF(VLOOKUP($I37,Max_Load_France!$B$2:$M$102,5,FALSE)="","",VLOOKUP($I37,Max_Load_France!$B$2:$M$102,5,FALSE))</f>
        <v>1</v>
      </c>
      <c r="P37" s="298">
        <f>IF(VLOOKUP($I37,Max_Load_France!$B$2:$M$102,6,FALSE)="","",VLOOKUP($I37,Max_Load_France!$B$2:$M$102,6,FALSE))</f>
        <v>1</v>
      </c>
      <c r="Q37" s="298">
        <f>IF(VLOOKUP($I37,Max_Load_France!$B$2:$M$102,7,FALSE)="","",VLOOKUP($I37,Max_Load_France!$B$2:$M$102,7,FALSE))</f>
        <v>1</v>
      </c>
      <c r="R37" s="298" t="str">
        <f>IF(VLOOKUP($I37,Max_Load_France!$B$2:$M$102,8,FALSE)="","",VLOOKUP($I37,Max_Load_France!$B$2:$M$102,8,FALSE))</f>
        <v/>
      </c>
      <c r="S37" s="298" t="str">
        <f>IF(VLOOKUP($I37,Max_Load_France!$B$2:$M$102,9,FALSE)="","",VLOOKUP($I37,Max_Load_France!$B$2:$M$102,9,FALSE))</f>
        <v/>
      </c>
      <c r="T37" s="298" t="str">
        <f>IF(VLOOKUP($I37,Max_Load_France!$B$2:$M$102,10,FALSE)="","",VLOOKUP($I37,Max_Load_France!$B$2:$M$102,10,FALSE))</f>
        <v/>
      </c>
      <c r="U37" s="298" t="str">
        <f>IF(VLOOKUP($I37,Max_Load_France!$B$2:$M$102,11,FALSE)="","",VLOOKUP($I37,Max_Load_France!$B$2:$M$102,11,FALSE))</f>
        <v/>
      </c>
      <c r="V37" s="289">
        <v>5</v>
      </c>
      <c r="W37" s="299">
        <f t="shared" si="4"/>
        <v>40.9</v>
      </c>
      <c r="X37" s="300">
        <v>6.1</v>
      </c>
      <c r="Y37" s="300">
        <v>11.2</v>
      </c>
      <c r="Z37" s="300">
        <v>8.1</v>
      </c>
      <c r="AA37" s="300">
        <v>7.9</v>
      </c>
      <c r="AB37" s="300">
        <v>7.6</v>
      </c>
      <c r="AC37" s="301"/>
      <c r="AD37" s="301"/>
      <c r="AE37" s="301"/>
      <c r="AF37" s="301"/>
      <c r="AG37" s="302">
        <f t="shared" si="5"/>
        <v>23.6</v>
      </c>
      <c r="AH37" s="302" t="str">
        <f t="shared" si="6"/>
        <v/>
      </c>
      <c r="AI37" s="302" t="str">
        <f t="shared" si="7"/>
        <v/>
      </c>
      <c r="AJ37" s="302" t="str">
        <f t="shared" si="8"/>
        <v/>
      </c>
      <c r="AK37" s="326">
        <f t="shared" si="1"/>
        <v>38.125253093666608</v>
      </c>
      <c r="AL37" s="323">
        <f>Site_PLtraf_new!AL31*(1-Site_PLtraf_new!$AZ$9)</f>
        <v>6.0072241645812587</v>
      </c>
      <c r="AM37" s="323">
        <f>Site_PLtraf_new!AM37+(Site_PLtraf_new!AL37*Site_PLtraf_new!$AZ$9)</f>
        <v>10.320077858748958</v>
      </c>
      <c r="AN37" s="300">
        <v>7.2659836901121304</v>
      </c>
      <c r="AO37" s="300">
        <v>7.2659836901121304</v>
      </c>
      <c r="AP37" s="300">
        <v>7.2659836901121304</v>
      </c>
      <c r="AQ37" s="301"/>
      <c r="AR37" s="300"/>
      <c r="AS37" s="301"/>
      <c r="AT37" s="301"/>
      <c r="AU37" s="332">
        <f t="shared" si="26"/>
        <v>21.797951070336392</v>
      </c>
      <c r="AV37" s="332" t="str">
        <f t="shared" si="9"/>
        <v/>
      </c>
      <c r="AW37" s="302"/>
      <c r="AX37" s="302"/>
      <c r="AY37" s="347" t="str">
        <f t="shared" si="12"/>
        <v/>
      </c>
      <c r="AZ37" s="347" t="str">
        <f t="shared" si="13"/>
        <v/>
      </c>
      <c r="BA37" s="347" t="str">
        <f t="shared" si="14"/>
        <v/>
      </c>
      <c r="BB37" s="347" t="str">
        <f t="shared" si="15"/>
        <v/>
      </c>
      <c r="BC37" s="347" t="str">
        <f t="shared" si="16"/>
        <v/>
      </c>
      <c r="BD37" s="347" t="str">
        <f t="shared" si="17"/>
        <v/>
      </c>
      <c r="BE37" s="347" t="str">
        <f t="shared" si="18"/>
        <v/>
      </c>
      <c r="BF37" s="347" t="str">
        <f t="shared" si="19"/>
        <v/>
      </c>
      <c r="BG37" s="347" t="str">
        <f t="shared" si="20"/>
        <v/>
      </c>
      <c r="BH37" s="347" t="str">
        <f t="shared" si="21"/>
        <v/>
      </c>
      <c r="BI37" s="347" t="str">
        <f t="shared" si="22"/>
        <v/>
      </c>
      <c r="BJ37" s="347" t="b">
        <f t="shared" si="23"/>
        <v>0</v>
      </c>
      <c r="BK37" s="347" t="b">
        <f t="shared" si="24"/>
        <v>0</v>
      </c>
      <c r="BL37" s="288" t="str">
        <f t="shared" si="27"/>
        <v/>
      </c>
      <c r="BM37" s="136" t="str">
        <f t="shared" si="27"/>
        <v/>
      </c>
      <c r="BN37" s="334">
        <v>379.10899999999998</v>
      </c>
      <c r="BO37" s="334">
        <f t="shared" si="25"/>
        <v>17.391955729082635</v>
      </c>
      <c r="BP37" s="94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</row>
    <row r="38" spans="1:79" s="89" customFormat="1" ht="11.25">
      <c r="A38" s="289" t="s">
        <v>236</v>
      </c>
      <c r="B38" s="295" t="s">
        <v>272</v>
      </c>
      <c r="C38" s="305"/>
      <c r="D38" s="292">
        <v>0.65694444444444444</v>
      </c>
      <c r="E38" s="306">
        <v>62.217719999999993</v>
      </c>
      <c r="F38" s="298"/>
      <c r="G38" s="298"/>
      <c r="H38" s="298"/>
      <c r="I38" s="290" t="s">
        <v>94</v>
      </c>
      <c r="J38" s="295">
        <f>IF(ISERROR(VLOOKUP(I38,Max_Load_France!$B$2:$C$102,2,FALSE)/1000),"",VLOOKUP(I38,Max_Load_France!$B$2:$C$102,2,FALSE)/1000)</f>
        <v>40</v>
      </c>
      <c r="K38" s="296"/>
      <c r="L38" s="297">
        <f>W38/J38</f>
        <v>0.68500000000000005</v>
      </c>
      <c r="M38" s="298">
        <f>IF(VLOOKUP($I38,Max_Load_France!$B$2:$M$102,3,FALSE)="","",VLOOKUP($I38,Max_Load_France!$B$2:$M$102,3,FALSE))</f>
        <v>0</v>
      </c>
      <c r="N38" s="298">
        <f>IF(VLOOKUP($I38,Max_Load_France!$B$2:$M$102,4,FALSE)="","",VLOOKUP($I38,Max_Load_France!$B$2:$M$102,4,FALSE))</f>
        <v>0</v>
      </c>
      <c r="O38" s="298">
        <f>IF(VLOOKUP($I38,Max_Load_France!$B$2:$M$102,5,FALSE)="","",VLOOKUP($I38,Max_Load_France!$B$2:$M$102,5,FALSE))</f>
        <v>1</v>
      </c>
      <c r="P38" s="298">
        <f>IF(VLOOKUP($I38,Max_Load_France!$B$2:$M$102,6,FALSE)="","",VLOOKUP($I38,Max_Load_France!$B$2:$M$102,6,FALSE))</f>
        <v>1</v>
      </c>
      <c r="Q38" s="298">
        <f>IF(VLOOKUP($I38,Max_Load_France!$B$2:$M$102,7,FALSE)="","",VLOOKUP($I38,Max_Load_France!$B$2:$M$102,7,FALSE))</f>
        <v>1</v>
      </c>
      <c r="R38" s="298" t="str">
        <f>IF(VLOOKUP($I38,Max_Load_France!$B$2:$M$102,8,FALSE)="","",VLOOKUP($I38,Max_Load_France!$B$2:$M$102,8,FALSE))</f>
        <v/>
      </c>
      <c r="S38" s="298" t="str">
        <f>IF(VLOOKUP($I38,Max_Load_France!$B$2:$M$102,9,FALSE)="","",VLOOKUP($I38,Max_Load_France!$B$2:$M$102,9,FALSE))</f>
        <v/>
      </c>
      <c r="T38" s="298" t="str">
        <f>IF(VLOOKUP($I38,Max_Load_France!$B$2:$M$102,10,FALSE)="","",VLOOKUP($I38,Max_Load_France!$B$2:$M$102,10,FALSE))</f>
        <v/>
      </c>
      <c r="U38" s="298" t="str">
        <f>IF(VLOOKUP($I38,Max_Load_France!$B$2:$M$102,11,FALSE)="","",VLOOKUP($I38,Max_Load_France!$B$2:$M$102,11,FALSE))</f>
        <v/>
      </c>
      <c r="V38" s="289">
        <v>5</v>
      </c>
      <c r="W38" s="299">
        <f t="shared" si="4"/>
        <v>27.400000000000002</v>
      </c>
      <c r="X38" s="300">
        <v>6.5</v>
      </c>
      <c r="Y38" s="300">
        <v>6.5</v>
      </c>
      <c r="Z38" s="300">
        <v>4.8</v>
      </c>
      <c r="AA38" s="300">
        <v>4.8</v>
      </c>
      <c r="AB38" s="300">
        <v>4.8</v>
      </c>
      <c r="AC38" s="301"/>
      <c r="AD38" s="301"/>
      <c r="AE38" s="301"/>
      <c r="AF38" s="301"/>
      <c r="AG38" s="302">
        <f t="shared" si="5"/>
        <v>14.399999999999999</v>
      </c>
      <c r="AH38" s="302" t="str">
        <f t="shared" si="6"/>
        <v/>
      </c>
      <c r="AI38" s="302" t="str">
        <f t="shared" si="7"/>
        <v/>
      </c>
      <c r="AJ38" s="302" t="str">
        <f t="shared" si="8"/>
        <v/>
      </c>
      <c r="AK38" s="326">
        <f t="shared" si="1"/>
        <v>28.229447027962109</v>
      </c>
      <c r="AL38" s="323">
        <f>Site_PLtraf_new!AL32*(1-Site_PLtraf_new!$AZ$9)</f>
        <v>7.1922530861228493</v>
      </c>
      <c r="AM38" s="323">
        <f>Site_PLtraf_new!AM38+(Site_PLtraf_new!AL38*Site_PLtraf_new!$AZ$9)</f>
        <v>7.0649615259371172</v>
      </c>
      <c r="AN38" s="300">
        <v>4.6574108053007137</v>
      </c>
      <c r="AO38" s="300">
        <v>4.6574108053007137</v>
      </c>
      <c r="AP38" s="300">
        <v>4.6574108053007137</v>
      </c>
      <c r="AQ38" s="301"/>
      <c r="AR38" s="300"/>
      <c r="AS38" s="301"/>
      <c r="AT38" s="301"/>
      <c r="AU38" s="332">
        <f t="shared" si="26"/>
        <v>13.972232415902141</v>
      </c>
      <c r="AV38" s="332" t="str">
        <f t="shared" si="9"/>
        <v/>
      </c>
      <c r="AW38" s="302"/>
      <c r="AX38" s="302"/>
      <c r="AY38" s="347">
        <f t="shared" si="12"/>
        <v>3.0271789341682748E-2</v>
      </c>
      <c r="AZ38" s="347">
        <f t="shared" si="13"/>
        <v>0.10650047478813066</v>
      </c>
      <c r="BA38" s="347">
        <f t="shared" si="14"/>
        <v>8.6917157836479575E-2</v>
      </c>
      <c r="BB38" s="347" t="str">
        <f t="shared" si="15"/>
        <v/>
      </c>
      <c r="BC38" s="347" t="str">
        <f t="shared" si="16"/>
        <v/>
      </c>
      <c r="BD38" s="347" t="str">
        <f t="shared" si="17"/>
        <v/>
      </c>
      <c r="BE38" s="347" t="str">
        <f t="shared" si="18"/>
        <v/>
      </c>
      <c r="BF38" s="347">
        <f t="shared" si="19"/>
        <v>-2.9706082229017938E-2</v>
      </c>
      <c r="BG38" s="347">
        <f t="shared" si="20"/>
        <v>-2.9706082229017938E-2</v>
      </c>
      <c r="BH38" s="347">
        <f t="shared" si="21"/>
        <v>-2.9706082229017938E-2</v>
      </c>
      <c r="BI38" s="347" t="str">
        <f t="shared" si="22"/>
        <v/>
      </c>
      <c r="BJ38" s="347">
        <f t="shared" si="23"/>
        <v>-2.9706082229017879E-2</v>
      </c>
      <c r="BK38" s="347" t="str">
        <f t="shared" si="24"/>
        <v/>
      </c>
      <c r="BL38" s="288" t="str">
        <f t="shared" si="27"/>
        <v/>
      </c>
      <c r="BM38" s="136" t="str">
        <f t="shared" si="27"/>
        <v/>
      </c>
      <c r="BN38" s="334">
        <v>38.327399999999997</v>
      </c>
      <c r="BO38" s="334">
        <f t="shared" si="25"/>
        <v>2.7431121140225696</v>
      </c>
      <c r="BP38" s="94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</row>
    <row r="39" spans="1:79" s="89" customFormat="1" ht="11.25">
      <c r="A39" s="289" t="s">
        <v>237</v>
      </c>
      <c r="B39" s="295" t="s">
        <v>273</v>
      </c>
      <c r="C39" s="305"/>
      <c r="D39" s="292">
        <v>0.65833333333333333</v>
      </c>
      <c r="E39" s="306">
        <v>64.391400000000004</v>
      </c>
      <c r="F39" s="298"/>
      <c r="G39" s="298"/>
      <c r="H39" s="298"/>
      <c r="I39" s="290" t="s">
        <v>94</v>
      </c>
      <c r="J39" s="295">
        <f>IF(ISERROR(VLOOKUP(I39,Max_Load_France!$B$2:$C$102,2,FALSE)/1000),"",VLOOKUP(I39,Max_Load_France!$B$2:$C$102,2,FALSE)/1000)</f>
        <v>40</v>
      </c>
      <c r="K39" s="296"/>
      <c r="L39" s="297">
        <f>W39/J39</f>
        <v>0.97499999999999998</v>
      </c>
      <c r="M39" s="298">
        <f>IF(VLOOKUP($I39,Max_Load_France!$B$2:$M$102,3,FALSE)="","",VLOOKUP($I39,Max_Load_France!$B$2:$M$102,3,FALSE))</f>
        <v>0</v>
      </c>
      <c r="N39" s="298">
        <f>IF(VLOOKUP($I39,Max_Load_France!$B$2:$M$102,4,FALSE)="","",VLOOKUP($I39,Max_Load_France!$B$2:$M$102,4,FALSE))</f>
        <v>0</v>
      </c>
      <c r="O39" s="298">
        <f>IF(VLOOKUP($I39,Max_Load_France!$B$2:$M$102,5,FALSE)="","",VLOOKUP($I39,Max_Load_France!$B$2:$M$102,5,FALSE))</f>
        <v>1</v>
      </c>
      <c r="P39" s="298">
        <f>IF(VLOOKUP($I39,Max_Load_France!$B$2:$M$102,6,FALSE)="","",VLOOKUP($I39,Max_Load_France!$B$2:$M$102,6,FALSE))</f>
        <v>1</v>
      </c>
      <c r="Q39" s="298">
        <f>IF(VLOOKUP($I39,Max_Load_France!$B$2:$M$102,7,FALSE)="","",VLOOKUP($I39,Max_Load_France!$B$2:$M$102,7,FALSE))</f>
        <v>1</v>
      </c>
      <c r="R39" s="298" t="str">
        <f>IF(VLOOKUP($I39,Max_Load_France!$B$2:$M$102,8,FALSE)="","",VLOOKUP($I39,Max_Load_France!$B$2:$M$102,8,FALSE))</f>
        <v/>
      </c>
      <c r="S39" s="298" t="str">
        <f>IF(VLOOKUP($I39,Max_Load_France!$B$2:$M$102,9,FALSE)="","",VLOOKUP($I39,Max_Load_France!$B$2:$M$102,9,FALSE))</f>
        <v/>
      </c>
      <c r="T39" s="298" t="str">
        <f>IF(VLOOKUP($I39,Max_Load_France!$B$2:$M$102,10,FALSE)="","",VLOOKUP($I39,Max_Load_France!$B$2:$M$102,10,FALSE))</f>
        <v/>
      </c>
      <c r="U39" s="298" t="str">
        <f>IF(VLOOKUP($I39,Max_Load_France!$B$2:$M$102,11,FALSE)="","",VLOOKUP($I39,Max_Load_France!$B$2:$M$102,11,FALSE))</f>
        <v/>
      </c>
      <c r="V39" s="289">
        <v>5</v>
      </c>
      <c r="W39" s="299">
        <f t="shared" si="4"/>
        <v>39</v>
      </c>
      <c r="X39" s="300">
        <v>7</v>
      </c>
      <c r="Y39" s="300">
        <v>11.2</v>
      </c>
      <c r="Z39" s="300">
        <v>6.8</v>
      </c>
      <c r="AA39" s="300">
        <v>7</v>
      </c>
      <c r="AB39" s="300">
        <v>7</v>
      </c>
      <c r="AC39" s="301"/>
      <c r="AD39" s="301"/>
      <c r="AE39" s="301"/>
      <c r="AF39" s="301"/>
      <c r="AG39" s="302">
        <f t="shared" si="5"/>
        <v>20.8</v>
      </c>
      <c r="AH39" s="302" t="str">
        <f t="shared" si="6"/>
        <v/>
      </c>
      <c r="AI39" s="302" t="str">
        <f t="shared" si="7"/>
        <v/>
      </c>
      <c r="AJ39" s="302" t="str">
        <f t="shared" si="8"/>
        <v/>
      </c>
      <c r="AK39" s="326">
        <f t="shared" si="1"/>
        <v>37.760644566357215</v>
      </c>
      <c r="AL39" s="323">
        <f>Site_PLtraf_new!AL33*(1-Site_PLtraf_new!$AZ$9)</f>
        <v>6.2870922314849178</v>
      </c>
      <c r="AM39" s="323">
        <f>Site_PLtraf_new!AM39+(Site_PLtraf_new!AL39*Site_PLtraf_new!$AZ$9)</f>
        <v>11.947191478603186</v>
      </c>
      <c r="AN39" s="300">
        <v>6.5087869520897037</v>
      </c>
      <c r="AO39" s="300">
        <v>6.5087869520897037</v>
      </c>
      <c r="AP39" s="300">
        <v>6.5087869520897037</v>
      </c>
      <c r="AQ39" s="301"/>
      <c r="AR39" s="300"/>
      <c r="AS39" s="301"/>
      <c r="AT39" s="301"/>
      <c r="AU39" s="332">
        <f t="shared" si="26"/>
        <v>19.526360856269111</v>
      </c>
      <c r="AV39" s="332" t="str">
        <f t="shared" si="9"/>
        <v/>
      </c>
      <c r="AW39" s="302"/>
      <c r="AX39" s="302"/>
      <c r="AY39" s="347">
        <f t="shared" si="12"/>
        <v>-3.1778344452379113E-2</v>
      </c>
      <c r="AZ39" s="347">
        <f t="shared" si="13"/>
        <v>-0.10184396693072603</v>
      </c>
      <c r="BA39" s="347">
        <f t="shared" si="14"/>
        <v>6.6713524875284494E-2</v>
      </c>
      <c r="BB39" s="347" t="str">
        <f t="shared" si="15"/>
        <v/>
      </c>
      <c r="BC39" s="347" t="str">
        <f t="shared" si="16"/>
        <v/>
      </c>
      <c r="BD39" s="347" t="str">
        <f t="shared" si="17"/>
        <v/>
      </c>
      <c r="BE39" s="347" t="str">
        <f t="shared" si="18"/>
        <v/>
      </c>
      <c r="BF39" s="347">
        <f t="shared" si="19"/>
        <v>-4.2825448222102373E-2</v>
      </c>
      <c r="BG39" s="347">
        <f t="shared" si="20"/>
        <v>-7.0173292558613751E-2</v>
      </c>
      <c r="BH39" s="347">
        <f t="shared" si="21"/>
        <v>-7.0173292558613751E-2</v>
      </c>
      <c r="BI39" s="347" t="str">
        <f t="shared" si="22"/>
        <v/>
      </c>
      <c r="BJ39" s="347">
        <f t="shared" si="23"/>
        <v>-6.1232651140908152E-2</v>
      </c>
      <c r="BK39" s="347" t="str">
        <f t="shared" si="24"/>
        <v/>
      </c>
      <c r="BL39" s="288" t="str">
        <f t="shared" si="27"/>
        <v/>
      </c>
      <c r="BM39" s="136" t="str">
        <f t="shared" si="27"/>
        <v/>
      </c>
      <c r="BN39" s="334">
        <v>118.904</v>
      </c>
      <c r="BO39" s="334">
        <f t="shared" si="25"/>
        <v>6.0894091262184586</v>
      </c>
      <c r="BP39" s="94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</row>
    <row r="40" spans="1:79" s="89" customFormat="1" ht="11.25">
      <c r="A40" s="289" t="s">
        <v>238</v>
      </c>
      <c r="B40" s="295" t="s">
        <v>274</v>
      </c>
      <c r="C40" s="305"/>
      <c r="D40" s="292">
        <v>0.66180555555555554</v>
      </c>
      <c r="E40" s="306">
        <v>56.932920000000003</v>
      </c>
      <c r="F40" s="298"/>
      <c r="G40" s="298"/>
      <c r="H40" s="298"/>
      <c r="I40" s="290" t="s">
        <v>94</v>
      </c>
      <c r="J40" s="295">
        <f>IF(ISERROR(VLOOKUP(I40,Max_Load_France!$B$2:$C$102,2,FALSE)/1000),"",VLOOKUP(I40,Max_Load_France!$B$2:$C$102,2,FALSE)/1000)</f>
        <v>40</v>
      </c>
      <c r="K40" s="296"/>
      <c r="L40" s="297">
        <f t="shared" ref="L40:L47" si="28">W40/J40</f>
        <v>0.86250000000000004</v>
      </c>
      <c r="M40" s="298">
        <f>IF(VLOOKUP($I40,Max_Load_France!$B$2:$M$102,3,FALSE)="","",VLOOKUP($I40,Max_Load_France!$B$2:$M$102,3,FALSE))</f>
        <v>0</v>
      </c>
      <c r="N40" s="298">
        <f>IF(VLOOKUP($I40,Max_Load_France!$B$2:$M$102,4,FALSE)="","",VLOOKUP($I40,Max_Load_France!$B$2:$M$102,4,FALSE))</f>
        <v>0</v>
      </c>
      <c r="O40" s="298">
        <f>IF(VLOOKUP($I40,Max_Load_France!$B$2:$M$102,5,FALSE)="","",VLOOKUP($I40,Max_Load_France!$B$2:$M$102,5,FALSE))</f>
        <v>1</v>
      </c>
      <c r="P40" s="298">
        <f>IF(VLOOKUP($I40,Max_Load_France!$B$2:$M$102,6,FALSE)="","",VLOOKUP($I40,Max_Load_France!$B$2:$M$102,6,FALSE))</f>
        <v>1</v>
      </c>
      <c r="Q40" s="298">
        <f>IF(VLOOKUP($I40,Max_Load_France!$B$2:$M$102,7,FALSE)="","",VLOOKUP($I40,Max_Load_France!$B$2:$M$102,7,FALSE))</f>
        <v>1</v>
      </c>
      <c r="R40" s="298" t="str">
        <f>IF(VLOOKUP($I40,Max_Load_France!$B$2:$M$102,8,FALSE)="","",VLOOKUP($I40,Max_Load_France!$B$2:$M$102,8,FALSE))</f>
        <v/>
      </c>
      <c r="S40" s="298" t="str">
        <f>IF(VLOOKUP($I40,Max_Load_France!$B$2:$M$102,9,FALSE)="","",VLOOKUP($I40,Max_Load_France!$B$2:$M$102,9,FALSE))</f>
        <v/>
      </c>
      <c r="T40" s="298" t="str">
        <f>IF(VLOOKUP($I40,Max_Load_France!$B$2:$M$102,10,FALSE)="","",VLOOKUP($I40,Max_Load_France!$B$2:$M$102,10,FALSE))</f>
        <v/>
      </c>
      <c r="U40" s="298" t="str">
        <f>IF(VLOOKUP($I40,Max_Load_France!$B$2:$M$102,11,FALSE)="","",VLOOKUP($I40,Max_Load_France!$B$2:$M$102,11,FALSE))</f>
        <v/>
      </c>
      <c r="V40" s="289">
        <v>5</v>
      </c>
      <c r="W40" s="299">
        <f t="shared" si="4"/>
        <v>34.5</v>
      </c>
      <c r="X40" s="300">
        <v>8.5</v>
      </c>
      <c r="Y40" s="300">
        <v>12.1</v>
      </c>
      <c r="Z40" s="300">
        <v>4.7</v>
      </c>
      <c r="AA40" s="300">
        <v>4.8</v>
      </c>
      <c r="AB40" s="300">
        <v>4.4000000000000004</v>
      </c>
      <c r="AC40" s="301"/>
      <c r="AD40" s="301"/>
      <c r="AE40" s="301"/>
      <c r="AF40" s="301"/>
      <c r="AG40" s="302">
        <f t="shared" si="5"/>
        <v>13.9</v>
      </c>
      <c r="AH40" s="302" t="str">
        <f t="shared" si="6"/>
        <v/>
      </c>
      <c r="AI40" s="302" t="str">
        <f t="shared" si="7"/>
        <v/>
      </c>
      <c r="AJ40" s="302" t="str">
        <f t="shared" si="8"/>
        <v/>
      </c>
      <c r="AK40" s="326">
        <f t="shared" si="1"/>
        <v>32.876848795220965</v>
      </c>
      <c r="AL40" s="323">
        <f>Site_PLtraf_new!AL34*(1-Site_PLtraf_new!$AZ$9)</f>
        <v>5.1339054606545087</v>
      </c>
      <c r="AM40" s="323">
        <f>Site_PLtraf_new!AM40+(Site_PLtraf_new!AL40*Site_PLtraf_new!$AZ$9)</f>
        <v>11.238845475239238</v>
      </c>
      <c r="AN40" s="300">
        <v>5.5013659531090724</v>
      </c>
      <c r="AO40" s="300">
        <v>5.5013659531090724</v>
      </c>
      <c r="AP40" s="300">
        <v>5.5013659531090724</v>
      </c>
      <c r="AQ40" s="301"/>
      <c r="AR40" s="300"/>
      <c r="AS40" s="301"/>
      <c r="AT40" s="301"/>
      <c r="AU40" s="332">
        <f t="shared" si="26"/>
        <v>16.504097859327217</v>
      </c>
      <c r="AV40" s="332" t="str">
        <f t="shared" si="9"/>
        <v/>
      </c>
      <c r="AW40" s="302"/>
      <c r="AX40" s="302"/>
      <c r="AY40" s="347" t="str">
        <f t="shared" si="12"/>
        <v/>
      </c>
      <c r="AZ40" s="347" t="str">
        <f t="shared" si="13"/>
        <v/>
      </c>
      <c r="BA40" s="347" t="str">
        <f t="shared" si="14"/>
        <v/>
      </c>
      <c r="BB40" s="347" t="str">
        <f t="shared" si="15"/>
        <v/>
      </c>
      <c r="BC40" s="347" t="str">
        <f t="shared" si="16"/>
        <v/>
      </c>
      <c r="BD40" s="347" t="str">
        <f t="shared" si="17"/>
        <v/>
      </c>
      <c r="BE40" s="347" t="str">
        <f t="shared" si="18"/>
        <v/>
      </c>
      <c r="BF40" s="347" t="str">
        <f t="shared" si="19"/>
        <v/>
      </c>
      <c r="BG40" s="347" t="str">
        <f t="shared" si="20"/>
        <v/>
      </c>
      <c r="BH40" s="347" t="str">
        <f t="shared" si="21"/>
        <v/>
      </c>
      <c r="BI40" s="347" t="str">
        <f t="shared" si="22"/>
        <v/>
      </c>
      <c r="BJ40" s="347" t="b">
        <f t="shared" si="23"/>
        <v>0</v>
      </c>
      <c r="BK40" s="347" t="b">
        <f t="shared" si="24"/>
        <v>0</v>
      </c>
      <c r="BL40" s="288" t="str">
        <f t="shared" si="27"/>
        <v/>
      </c>
      <c r="BM40" s="136" t="str">
        <f t="shared" si="27"/>
        <v/>
      </c>
      <c r="BN40" s="334">
        <v>161.964</v>
      </c>
      <c r="BO40" s="334">
        <f t="shared" si="25"/>
        <v>9.8135627515360841</v>
      </c>
      <c r="BP40" s="94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</row>
    <row r="41" spans="1:79" s="89" customFormat="1" ht="11.25">
      <c r="A41" s="289" t="s">
        <v>239</v>
      </c>
      <c r="B41" s="295" t="s">
        <v>275</v>
      </c>
      <c r="C41" s="305"/>
      <c r="D41" s="292">
        <v>0.66527777777777775</v>
      </c>
      <c r="E41" s="306">
        <v>54.613440000000004</v>
      </c>
      <c r="F41" s="298"/>
      <c r="G41" s="298"/>
      <c r="H41" s="298"/>
      <c r="I41" s="290" t="s">
        <v>94</v>
      </c>
      <c r="J41" s="295">
        <f>IF(ISERROR(VLOOKUP(I41,Max_Load_France!$B$2:$C$102,2,FALSE)/1000),"",VLOOKUP(I41,Max_Load_France!$B$2:$C$102,2,FALSE)/1000)</f>
        <v>40</v>
      </c>
      <c r="K41" s="296"/>
      <c r="L41" s="297">
        <f t="shared" si="28"/>
        <v>1.0250000000000001</v>
      </c>
      <c r="M41" s="298">
        <f>IF(VLOOKUP($I41,Max_Load_France!$B$2:$M$102,3,FALSE)="","",VLOOKUP($I41,Max_Load_France!$B$2:$M$102,3,FALSE))</f>
        <v>0</v>
      </c>
      <c r="N41" s="298">
        <f>IF(VLOOKUP($I41,Max_Load_France!$B$2:$M$102,4,FALSE)="","",VLOOKUP($I41,Max_Load_France!$B$2:$M$102,4,FALSE))</f>
        <v>0</v>
      </c>
      <c r="O41" s="298">
        <f>IF(VLOOKUP($I41,Max_Load_France!$B$2:$M$102,5,FALSE)="","",VLOOKUP($I41,Max_Load_France!$B$2:$M$102,5,FALSE))</f>
        <v>1</v>
      </c>
      <c r="P41" s="298">
        <f>IF(VLOOKUP($I41,Max_Load_France!$B$2:$M$102,6,FALSE)="","",VLOOKUP($I41,Max_Load_France!$B$2:$M$102,6,FALSE))</f>
        <v>1</v>
      </c>
      <c r="Q41" s="298">
        <f>IF(VLOOKUP($I41,Max_Load_France!$B$2:$M$102,7,FALSE)="","",VLOOKUP($I41,Max_Load_France!$B$2:$M$102,7,FALSE))</f>
        <v>1</v>
      </c>
      <c r="R41" s="298" t="str">
        <f>IF(VLOOKUP($I41,Max_Load_France!$B$2:$M$102,8,FALSE)="","",VLOOKUP($I41,Max_Load_France!$B$2:$M$102,8,FALSE))</f>
        <v/>
      </c>
      <c r="S41" s="298" t="str">
        <f>IF(VLOOKUP($I41,Max_Load_France!$B$2:$M$102,9,FALSE)="","",VLOOKUP($I41,Max_Load_France!$B$2:$M$102,9,FALSE))</f>
        <v/>
      </c>
      <c r="T41" s="298" t="str">
        <f>IF(VLOOKUP($I41,Max_Load_France!$B$2:$M$102,10,FALSE)="","",VLOOKUP($I41,Max_Load_France!$B$2:$M$102,10,FALSE))</f>
        <v/>
      </c>
      <c r="U41" s="298" t="str">
        <f>IF(VLOOKUP($I41,Max_Load_France!$B$2:$M$102,11,FALSE)="","",VLOOKUP($I41,Max_Load_France!$B$2:$M$102,11,FALSE))</f>
        <v/>
      </c>
      <c r="V41" s="289">
        <v>5</v>
      </c>
      <c r="W41" s="299">
        <f t="shared" si="4"/>
        <v>41.000000000000007</v>
      </c>
      <c r="X41" s="300">
        <v>6.7</v>
      </c>
      <c r="Y41" s="300">
        <v>12.4</v>
      </c>
      <c r="Z41" s="300">
        <v>7.5</v>
      </c>
      <c r="AA41" s="300">
        <v>7.2</v>
      </c>
      <c r="AB41" s="300">
        <v>7.2</v>
      </c>
      <c r="AC41" s="301"/>
      <c r="AD41" s="301"/>
      <c r="AE41" s="301"/>
      <c r="AF41" s="301"/>
      <c r="AG41" s="302">
        <f t="shared" si="5"/>
        <v>21.9</v>
      </c>
      <c r="AH41" s="302" t="str">
        <f t="shared" si="6"/>
        <v/>
      </c>
      <c r="AI41" s="302"/>
      <c r="AJ41" s="302"/>
      <c r="AK41" s="326">
        <f t="shared" si="1"/>
        <v>44.421070003122821</v>
      </c>
      <c r="AL41" s="323">
        <f>Site_PLtraf_new!AL35*(1-Site_PLtraf_new!$AZ$9)</f>
        <v>7.2819557924791285</v>
      </c>
      <c r="AM41" s="323">
        <f>Site_PLtraf_new!AM41+(Site_PLtraf_new!AL41*Site_PLtraf_new!$AZ$9)</f>
        <v>14.166147849787421</v>
      </c>
      <c r="AN41" s="300">
        <v>7.657655453618756</v>
      </c>
      <c r="AO41" s="300">
        <v>7.657655453618756</v>
      </c>
      <c r="AP41" s="300">
        <v>7.657655453618756</v>
      </c>
      <c r="AQ41" s="301"/>
      <c r="AR41" s="300"/>
      <c r="AS41" s="301"/>
      <c r="AT41" s="301"/>
      <c r="AU41" s="332">
        <f t="shared" si="26"/>
        <v>22.972966360856269</v>
      </c>
      <c r="AV41" s="332" t="str">
        <f t="shared" si="9"/>
        <v/>
      </c>
      <c r="AW41" s="302"/>
      <c r="AX41" s="302"/>
      <c r="AY41" s="347">
        <f t="shared" si="12"/>
        <v>8.3440731783483255E-2</v>
      </c>
      <c r="AZ41" s="347">
        <f t="shared" si="13"/>
        <v>8.6859073504347503E-2</v>
      </c>
      <c r="BA41" s="347">
        <f t="shared" si="14"/>
        <v>0.14243127820866297</v>
      </c>
      <c r="BB41" s="347" t="str">
        <f t="shared" si="15"/>
        <v/>
      </c>
      <c r="BC41" s="347" t="str">
        <f t="shared" si="16"/>
        <v/>
      </c>
      <c r="BD41" s="347" t="str">
        <f t="shared" si="17"/>
        <v/>
      </c>
      <c r="BE41" s="347" t="str">
        <f t="shared" si="18"/>
        <v/>
      </c>
      <c r="BF41" s="347">
        <f t="shared" si="19"/>
        <v>2.1020727149167466E-2</v>
      </c>
      <c r="BG41" s="347">
        <f t="shared" si="20"/>
        <v>6.3563257447049423E-2</v>
      </c>
      <c r="BH41" s="347">
        <f t="shared" si="21"/>
        <v>6.3563257447049423E-2</v>
      </c>
      <c r="BI41" s="347" t="str">
        <f t="shared" si="22"/>
        <v/>
      </c>
      <c r="BJ41" s="347" t="b">
        <f t="shared" si="23"/>
        <v>0</v>
      </c>
      <c r="BK41" s="347" t="b">
        <f t="shared" si="24"/>
        <v>0</v>
      </c>
      <c r="BL41" s="288" t="str">
        <f t="shared" si="27"/>
        <v/>
      </c>
      <c r="BM41" s="136" t="str">
        <f t="shared" si="27"/>
        <v/>
      </c>
      <c r="BN41" s="334">
        <v>136.47499999999999</v>
      </c>
      <c r="BO41" s="334">
        <f t="shared" si="25"/>
        <v>5.9406781804434408</v>
      </c>
      <c r="BP41" s="94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</row>
    <row r="42" spans="1:79" s="89" customFormat="1" ht="11.25">
      <c r="A42" s="289" t="s">
        <v>240</v>
      </c>
      <c r="B42" s="295" t="s">
        <v>276</v>
      </c>
      <c r="C42" s="305"/>
      <c r="D42" s="292">
        <v>0.66736111111111107</v>
      </c>
      <c r="E42" s="306">
        <v>66.722039999999993</v>
      </c>
      <c r="F42" s="298"/>
      <c r="G42" s="298"/>
      <c r="H42" s="298"/>
      <c r="I42" s="290" t="s">
        <v>108</v>
      </c>
      <c r="J42" s="295">
        <f>IF(ISERROR(VLOOKUP(I42,Max_Load_France!$B$2:$C$102,2,FALSE)/1000),"",VLOOKUP(I42,Max_Load_France!$B$2:$C$102,2,FALSE)/1000)</f>
        <v>26</v>
      </c>
      <c r="K42" s="296"/>
      <c r="L42" s="297">
        <f t="shared" si="28"/>
        <v>0.73076923076923073</v>
      </c>
      <c r="M42" s="298">
        <f>IF(VLOOKUP($I42,Max_Load_France!$B$2:$M$102,3,FALSE)="","",VLOOKUP($I42,Max_Load_France!$B$2:$M$102,3,FALSE))</f>
        <v>0</v>
      </c>
      <c r="N42" s="298">
        <f>IF(VLOOKUP($I42,Max_Load_France!$B$2:$M$102,4,FALSE)="","",VLOOKUP($I42,Max_Load_France!$B$2:$M$102,4,FALSE))</f>
        <v>1</v>
      </c>
      <c r="O42" s="298">
        <f>IF(VLOOKUP($I42,Max_Load_France!$B$2:$M$102,5,FALSE)="","",VLOOKUP($I42,Max_Load_France!$B$2:$M$102,5,FALSE))</f>
        <v>1</v>
      </c>
      <c r="P42" s="298" t="str">
        <f>IF(VLOOKUP($I42,Max_Load_France!$B$2:$M$102,6,FALSE)="","",VLOOKUP($I42,Max_Load_France!$B$2:$M$102,6,FALSE))</f>
        <v/>
      </c>
      <c r="Q42" s="298" t="str">
        <f>IF(VLOOKUP($I42,Max_Load_France!$B$2:$M$102,7,FALSE)="","",VLOOKUP($I42,Max_Load_France!$B$2:$M$102,7,FALSE))</f>
        <v/>
      </c>
      <c r="R42" s="298" t="str">
        <f>IF(VLOOKUP($I42,Max_Load_France!$B$2:$M$102,8,FALSE)="","",VLOOKUP($I42,Max_Load_France!$B$2:$M$102,8,FALSE))</f>
        <v/>
      </c>
      <c r="S42" s="298" t="str">
        <f>IF(VLOOKUP($I42,Max_Load_France!$B$2:$M$102,9,FALSE)="","",VLOOKUP($I42,Max_Load_France!$B$2:$M$102,9,FALSE))</f>
        <v/>
      </c>
      <c r="T42" s="298" t="str">
        <f>IF(VLOOKUP($I42,Max_Load_France!$B$2:$M$102,10,FALSE)="","",VLOOKUP($I42,Max_Load_France!$B$2:$M$102,10,FALSE))</f>
        <v/>
      </c>
      <c r="U42" s="298" t="str">
        <f>IF(VLOOKUP($I42,Max_Load_France!$B$2:$M$102,11,FALSE)="","",VLOOKUP($I42,Max_Load_France!$B$2:$M$102,11,FALSE))</f>
        <v/>
      </c>
      <c r="V42" s="289">
        <v>5</v>
      </c>
      <c r="W42" s="299">
        <f t="shared" si="4"/>
        <v>19</v>
      </c>
      <c r="X42" s="300">
        <v>7.5</v>
      </c>
      <c r="Y42" s="300">
        <v>7.4</v>
      </c>
      <c r="Z42" s="300">
        <v>4.0999999999999996</v>
      </c>
      <c r="AA42" s="300"/>
      <c r="AB42" s="300"/>
      <c r="AC42" s="301"/>
      <c r="AD42" s="301"/>
      <c r="AE42" s="301"/>
      <c r="AF42" s="301"/>
      <c r="AG42" s="302">
        <f t="shared" si="5"/>
        <v>11.5</v>
      </c>
      <c r="AH42" s="302" t="str">
        <f t="shared" si="6"/>
        <v/>
      </c>
      <c r="AI42" s="302"/>
      <c r="AJ42" s="302"/>
      <c r="AK42" s="326">
        <f t="shared" si="1"/>
        <v>17.15322533762879</v>
      </c>
      <c r="AL42" s="323">
        <f>Site_PLtraf_new!AL36*(1-Site_PLtraf_new!$AZ$9)</f>
        <v>6.0266407032165228</v>
      </c>
      <c r="AM42" s="323">
        <f>Site_PLtraf_new!AM42+(Site_PLtraf_new!AL42*Site_PLtraf_new!$AZ$9)</f>
        <v>4.7848109341064555</v>
      </c>
      <c r="AN42" s="300">
        <v>6.3417737003058106</v>
      </c>
      <c r="AO42" s="300"/>
      <c r="AP42" s="300"/>
      <c r="AQ42" s="301"/>
      <c r="AR42" s="300"/>
      <c r="AS42" s="301"/>
      <c r="AT42" s="301"/>
      <c r="AU42" s="332">
        <f t="shared" si="26"/>
        <v>11.126584634412266</v>
      </c>
      <c r="AV42" s="332" t="str">
        <f t="shared" si="9"/>
        <v/>
      </c>
      <c r="AW42" s="302"/>
      <c r="AX42" s="302"/>
      <c r="AY42" s="347">
        <f t="shared" si="12"/>
        <v>-9.7198666440590012E-2</v>
      </c>
      <c r="AZ42" s="347">
        <f t="shared" si="13"/>
        <v>-0.19644790623779695</v>
      </c>
      <c r="BA42" s="347" t="str">
        <f t="shared" si="14"/>
        <v/>
      </c>
      <c r="BB42" s="347" t="str">
        <f t="shared" si="15"/>
        <v/>
      </c>
      <c r="BC42" s="347" t="str">
        <f t="shared" si="16"/>
        <v/>
      </c>
      <c r="BD42" s="347" t="str">
        <f t="shared" si="17"/>
        <v/>
      </c>
      <c r="BE42" s="347">
        <f t="shared" si="18"/>
        <v>-0.35340392782345198</v>
      </c>
      <c r="BF42" s="347">
        <f t="shared" si="19"/>
        <v>0.54677407324531979</v>
      </c>
      <c r="BG42" s="347" t="str">
        <f t="shared" si="20"/>
        <v/>
      </c>
      <c r="BH42" s="347" t="str">
        <f t="shared" si="21"/>
        <v/>
      </c>
      <c r="BI42" s="347" t="str">
        <f t="shared" si="22"/>
        <v/>
      </c>
      <c r="BJ42" s="347">
        <f t="shared" si="23"/>
        <v>-3.247090135545512E-2</v>
      </c>
      <c r="BK42" s="347" t="str">
        <f t="shared" si="24"/>
        <v/>
      </c>
      <c r="BL42" s="288" t="str">
        <f t="shared" si="27"/>
        <v/>
      </c>
      <c r="BM42" s="136" t="str">
        <f t="shared" si="27"/>
        <v/>
      </c>
      <c r="BN42" s="334">
        <v>42.540999999999997</v>
      </c>
      <c r="BO42" s="334">
        <f t="shared" si="25"/>
        <v>3.8233655158141993</v>
      </c>
      <c r="BP42" s="94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</row>
    <row r="43" spans="1:79" s="89" customFormat="1" ht="11.25">
      <c r="A43" s="289" t="s">
        <v>241</v>
      </c>
      <c r="B43" s="295" t="s">
        <v>278</v>
      </c>
      <c r="C43" s="305"/>
      <c r="D43" s="292">
        <v>0.67569444444444438</v>
      </c>
      <c r="E43" s="306">
        <v>79.705799999999996</v>
      </c>
      <c r="F43" s="298"/>
      <c r="G43" s="298"/>
      <c r="H43" s="298"/>
      <c r="I43" s="290" t="s">
        <v>94</v>
      </c>
      <c r="J43" s="295">
        <f>IF(ISERROR(VLOOKUP(I43,Max_Load_France!$B$2:$C$102,2,FALSE)/1000),"",VLOOKUP(I43,Max_Load_France!$B$2:$C$102,2,FALSE)/1000)</f>
        <v>40</v>
      </c>
      <c r="K43" s="296"/>
      <c r="L43" s="297">
        <f t="shared" si="28"/>
        <v>0.75249999999999984</v>
      </c>
      <c r="M43" s="298">
        <f>IF(VLOOKUP($I43,Max_Load_France!$B$2:$M$102,3,FALSE)="","",VLOOKUP($I43,Max_Load_France!$B$2:$M$102,3,FALSE))</f>
        <v>0</v>
      </c>
      <c r="N43" s="298">
        <f>IF(VLOOKUP($I43,Max_Load_France!$B$2:$M$102,4,FALSE)="","",VLOOKUP($I43,Max_Load_France!$B$2:$M$102,4,FALSE))</f>
        <v>0</v>
      </c>
      <c r="O43" s="298">
        <f>IF(VLOOKUP($I43,Max_Load_France!$B$2:$M$102,5,FALSE)="","",VLOOKUP($I43,Max_Load_France!$B$2:$M$102,5,FALSE))</f>
        <v>1</v>
      </c>
      <c r="P43" s="298">
        <f>IF(VLOOKUP($I43,Max_Load_France!$B$2:$M$102,6,FALSE)="","",VLOOKUP($I43,Max_Load_France!$B$2:$M$102,6,FALSE))</f>
        <v>1</v>
      </c>
      <c r="Q43" s="298">
        <f>IF(VLOOKUP($I43,Max_Load_France!$B$2:$M$102,7,FALSE)="","",VLOOKUP($I43,Max_Load_France!$B$2:$M$102,7,FALSE))</f>
        <v>1</v>
      </c>
      <c r="R43" s="298" t="str">
        <f>IF(VLOOKUP($I43,Max_Load_France!$B$2:$M$102,8,FALSE)="","",VLOOKUP($I43,Max_Load_France!$B$2:$M$102,8,FALSE))</f>
        <v/>
      </c>
      <c r="S43" s="298" t="str">
        <f>IF(VLOOKUP($I43,Max_Load_France!$B$2:$M$102,9,FALSE)="","",VLOOKUP($I43,Max_Load_France!$B$2:$M$102,9,FALSE))</f>
        <v/>
      </c>
      <c r="T43" s="298" t="str">
        <f>IF(VLOOKUP($I43,Max_Load_France!$B$2:$M$102,10,FALSE)="","",VLOOKUP($I43,Max_Load_France!$B$2:$M$102,10,FALSE))</f>
        <v/>
      </c>
      <c r="U43" s="298" t="str">
        <f>IF(VLOOKUP($I43,Max_Load_France!$B$2:$M$102,11,FALSE)="","",VLOOKUP($I43,Max_Load_France!$B$2:$M$102,11,FALSE))</f>
        <v/>
      </c>
      <c r="V43" s="289">
        <v>5</v>
      </c>
      <c r="W43" s="299">
        <f t="shared" si="4"/>
        <v>30.099999999999994</v>
      </c>
      <c r="X43" s="300">
        <v>7</v>
      </c>
      <c r="Y43" s="300">
        <v>9.9</v>
      </c>
      <c r="Z43" s="300">
        <v>4.4000000000000004</v>
      </c>
      <c r="AA43" s="300">
        <v>4.4000000000000004</v>
      </c>
      <c r="AB43" s="300">
        <v>4.4000000000000004</v>
      </c>
      <c r="AC43" s="301"/>
      <c r="AD43" s="301"/>
      <c r="AE43" s="301"/>
      <c r="AF43" s="301"/>
      <c r="AG43" s="302">
        <f t="shared" si="5"/>
        <v>13.200000000000001</v>
      </c>
      <c r="AH43" s="302" t="str">
        <f t="shared" si="6"/>
        <v/>
      </c>
      <c r="AI43" s="302"/>
      <c r="AJ43" s="302"/>
      <c r="AK43" s="326">
        <f t="shared" si="1"/>
        <v>27.30807603043873</v>
      </c>
      <c r="AL43" s="323">
        <f>Site_PLtraf_new!AL37*(1-Site_PLtraf_new!$AZ$9)</f>
        <v>4.7197386550125104</v>
      </c>
      <c r="AM43" s="323">
        <f>Site_PLtraf_new!AM43+(Site_PLtraf_new!AL43*Site_PLtraf_new!$AZ$9)</f>
        <v>10.060508629248847</v>
      </c>
      <c r="AN43" s="300">
        <v>4.175942915392457</v>
      </c>
      <c r="AO43" s="300">
        <v>4.175942915392457</v>
      </c>
      <c r="AP43" s="300">
        <v>4.175942915392457</v>
      </c>
      <c r="AQ43" s="301"/>
      <c r="AR43" s="300"/>
      <c r="AS43" s="301"/>
      <c r="AT43" s="301"/>
      <c r="AU43" s="332">
        <f t="shared" si="26"/>
        <v>12.52782874617737</v>
      </c>
      <c r="AV43" s="332" t="str">
        <f t="shared" si="9"/>
        <v/>
      </c>
      <c r="AW43" s="302"/>
      <c r="AX43" s="302"/>
      <c r="AY43" s="347">
        <f t="shared" si="12"/>
        <v>-9.2754949154859281E-2</v>
      </c>
      <c r="AZ43" s="347">
        <f t="shared" si="13"/>
        <v>-0.32575162071249852</v>
      </c>
      <c r="BA43" s="347">
        <f t="shared" si="14"/>
        <v>1.621299285341888E-2</v>
      </c>
      <c r="BB43" s="347" t="str">
        <f t="shared" si="15"/>
        <v/>
      </c>
      <c r="BC43" s="347" t="str">
        <f t="shared" si="16"/>
        <v/>
      </c>
      <c r="BD43" s="347" t="str">
        <f t="shared" si="17"/>
        <v/>
      </c>
      <c r="BE43" s="347" t="str">
        <f t="shared" si="18"/>
        <v/>
      </c>
      <c r="BF43" s="347">
        <f t="shared" si="19"/>
        <v>-5.0922064683532581E-2</v>
      </c>
      <c r="BG43" s="347">
        <f t="shared" si="20"/>
        <v>-5.0922064683532581E-2</v>
      </c>
      <c r="BH43" s="347">
        <f t="shared" si="21"/>
        <v>-5.0922064683532581E-2</v>
      </c>
      <c r="BI43" s="347" t="str">
        <f t="shared" si="22"/>
        <v/>
      </c>
      <c r="BJ43" s="347">
        <f t="shared" si="23"/>
        <v>-5.0922064683532643E-2</v>
      </c>
      <c r="BK43" s="347" t="str">
        <f t="shared" si="24"/>
        <v/>
      </c>
      <c r="BL43" s="288" t="str">
        <f t="shared" si="27"/>
        <v/>
      </c>
      <c r="BM43" s="136" t="str">
        <f t="shared" si="27"/>
        <v/>
      </c>
      <c r="BN43" s="334">
        <v>43.154499999999999</v>
      </c>
      <c r="BO43" s="334">
        <f t="shared" si="25"/>
        <v>3.4446910852902404</v>
      </c>
      <c r="BP43" s="94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</row>
    <row r="44" spans="1:79" s="89" customFormat="1" ht="11.25">
      <c r="A44" s="289" t="s">
        <v>242</v>
      </c>
      <c r="B44" s="295" t="s">
        <v>279</v>
      </c>
      <c r="C44" s="305"/>
      <c r="D44" s="307">
        <v>0.68472222222222223</v>
      </c>
      <c r="E44" s="310">
        <v>89.36712</v>
      </c>
      <c r="F44" s="296"/>
      <c r="G44" s="296"/>
      <c r="H44" s="298"/>
      <c r="I44" s="290" t="s">
        <v>94</v>
      </c>
      <c r="J44" s="295">
        <f>IF(ISERROR(VLOOKUP(I44,Max_Load_France!$B$2:$C$102,2,FALSE)/1000),"",VLOOKUP(I44,Max_Load_France!$B$2:$C$102,2,FALSE)/1000)</f>
        <v>40</v>
      </c>
      <c r="K44" s="296"/>
      <c r="L44" s="297">
        <f t="shared" si="28"/>
        <v>0.42250000000000004</v>
      </c>
      <c r="M44" s="298">
        <f>IF(VLOOKUP($I44,Max_Load_France!$B$2:$M$102,3,FALSE)="","",VLOOKUP($I44,Max_Load_France!$B$2:$M$102,3,FALSE))</f>
        <v>0</v>
      </c>
      <c r="N44" s="298">
        <f>IF(VLOOKUP($I44,Max_Load_France!$B$2:$M$102,4,FALSE)="","",VLOOKUP($I44,Max_Load_France!$B$2:$M$102,4,FALSE))</f>
        <v>0</v>
      </c>
      <c r="O44" s="298">
        <f>IF(VLOOKUP($I44,Max_Load_France!$B$2:$M$102,5,FALSE)="","",VLOOKUP($I44,Max_Load_France!$B$2:$M$102,5,FALSE))</f>
        <v>1</v>
      </c>
      <c r="P44" s="298">
        <f>IF(VLOOKUP($I44,Max_Load_France!$B$2:$M$102,6,FALSE)="","",VLOOKUP($I44,Max_Load_France!$B$2:$M$102,6,FALSE))</f>
        <v>1</v>
      </c>
      <c r="Q44" s="298">
        <f>IF(VLOOKUP($I44,Max_Load_France!$B$2:$M$102,7,FALSE)="","",VLOOKUP($I44,Max_Load_France!$B$2:$M$102,7,FALSE))</f>
        <v>1</v>
      </c>
      <c r="R44" s="298" t="str">
        <f>IF(VLOOKUP($I44,Max_Load_France!$B$2:$M$102,8,FALSE)="","",VLOOKUP($I44,Max_Load_France!$B$2:$M$102,8,FALSE))</f>
        <v/>
      </c>
      <c r="S44" s="298" t="str">
        <f>IF(VLOOKUP($I44,Max_Load_France!$B$2:$M$102,9,FALSE)="","",VLOOKUP($I44,Max_Load_France!$B$2:$M$102,9,FALSE))</f>
        <v/>
      </c>
      <c r="T44" s="298" t="str">
        <f>IF(VLOOKUP($I44,Max_Load_France!$B$2:$M$102,10,FALSE)="","",VLOOKUP($I44,Max_Load_France!$B$2:$M$102,10,FALSE))</f>
        <v/>
      </c>
      <c r="U44" s="298" t="str">
        <f>IF(VLOOKUP($I44,Max_Load_France!$B$2:$M$102,11,FALSE)="","",VLOOKUP($I44,Max_Load_France!$B$2:$M$102,11,FALSE))</f>
        <v/>
      </c>
      <c r="V44" s="289">
        <v>5</v>
      </c>
      <c r="W44" s="299">
        <f t="shared" si="4"/>
        <v>16.900000000000002</v>
      </c>
      <c r="X44" s="300">
        <v>5.7</v>
      </c>
      <c r="Y44" s="300">
        <v>4.0999999999999996</v>
      </c>
      <c r="Z44" s="300">
        <v>2.4</v>
      </c>
      <c r="AA44" s="300">
        <v>2.4</v>
      </c>
      <c r="AB44" s="300">
        <v>2.2999999999999998</v>
      </c>
      <c r="AC44" s="301"/>
      <c r="AD44" s="301"/>
      <c r="AE44" s="301"/>
      <c r="AF44" s="301"/>
      <c r="AG44" s="302">
        <f t="shared" si="5"/>
        <v>7.1</v>
      </c>
      <c r="AH44" s="302" t="str">
        <f t="shared" si="6"/>
        <v/>
      </c>
      <c r="AI44" s="302"/>
      <c r="AJ44" s="302"/>
      <c r="AK44" s="326">
        <f t="shared" si="1"/>
        <v>17.029916586279874</v>
      </c>
      <c r="AL44" s="323">
        <f>Site_PLtraf_new!AL38*(1-Site_PLtraf_new!$AZ$9)</f>
        <v>6.5117866901688979</v>
      </c>
      <c r="AM44" s="323">
        <f>Site_PLtraf_new!AM44+(Site_PLtraf_new!AL44*Site_PLtraf_new!$AZ$9)</f>
        <v>4.1562032906063902</v>
      </c>
      <c r="AN44" s="300">
        <v>2.1206422018348623</v>
      </c>
      <c r="AO44" s="300">
        <v>2.1206422018348623</v>
      </c>
      <c r="AP44" s="300">
        <v>2.1206422018348623</v>
      </c>
      <c r="AQ44" s="301"/>
      <c r="AR44" s="300"/>
      <c r="AS44" s="309"/>
      <c r="AT44" s="309"/>
      <c r="AU44" s="332">
        <f t="shared" si="26"/>
        <v>6.3619266055045873</v>
      </c>
      <c r="AV44" s="332" t="str">
        <f t="shared" si="9"/>
        <v/>
      </c>
      <c r="AW44" s="302"/>
      <c r="AX44" s="302"/>
      <c r="AY44" s="347">
        <f t="shared" si="12"/>
        <v>7.6873719692232148E-3</v>
      </c>
      <c r="AZ44" s="347">
        <f t="shared" si="13"/>
        <v>0.14241871757349081</v>
      </c>
      <c r="BA44" s="347">
        <f t="shared" si="14"/>
        <v>1.3708119660095247E-2</v>
      </c>
      <c r="BB44" s="347" t="str">
        <f t="shared" si="15"/>
        <v/>
      </c>
      <c r="BC44" s="347" t="str">
        <f t="shared" si="16"/>
        <v/>
      </c>
      <c r="BD44" s="347" t="str">
        <f t="shared" si="17"/>
        <v/>
      </c>
      <c r="BE44" s="347" t="str">
        <f t="shared" si="18"/>
        <v/>
      </c>
      <c r="BF44" s="347" t="str">
        <f t="shared" si="19"/>
        <v/>
      </c>
      <c r="BG44" s="347" t="str">
        <f t="shared" si="20"/>
        <v/>
      </c>
      <c r="BH44" s="347" t="str">
        <f t="shared" si="21"/>
        <v/>
      </c>
      <c r="BI44" s="347" t="str">
        <f t="shared" si="22"/>
        <v/>
      </c>
      <c r="BJ44" s="347">
        <f t="shared" si="23"/>
        <v>-0.10395399922470597</v>
      </c>
      <c r="BK44" s="347" t="str">
        <f t="shared" si="24"/>
        <v/>
      </c>
      <c r="BL44" s="288" t="str">
        <f t="shared" si="27"/>
        <v/>
      </c>
      <c r="BM44" s="136" t="str">
        <f t="shared" si="27"/>
        <v/>
      </c>
      <c r="BN44" s="334">
        <v>21.467199999999998</v>
      </c>
      <c r="BO44" s="334">
        <f t="shared" si="25"/>
        <v>3.374323743600836</v>
      </c>
      <c r="BP44" s="94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</row>
    <row r="45" spans="1:79" s="89" customFormat="1">
      <c r="A45" s="289" t="s">
        <v>243</v>
      </c>
      <c r="B45" s="295" t="s">
        <v>281</v>
      </c>
      <c r="C45" s="305"/>
      <c r="D45" s="292">
        <v>0.68819444444444444</v>
      </c>
      <c r="E45" s="310">
        <v>62.217719999999993</v>
      </c>
      <c r="F45" s="298"/>
      <c r="G45" s="298"/>
      <c r="H45" s="298"/>
      <c r="I45" s="290" t="s">
        <v>130</v>
      </c>
      <c r="J45" s="295">
        <f>IF(ISERROR(VLOOKUP(I45,Max_Load_France!$B$2:$C$102,2,FALSE)/1000),"",VLOOKUP(I45,Max_Load_France!$B$2:$C$102,2,FALSE)/1000)</f>
        <v>40</v>
      </c>
      <c r="K45" s="298"/>
      <c r="L45" s="297">
        <f t="shared" si="28"/>
        <v>0.64250000000000007</v>
      </c>
      <c r="M45" s="298">
        <f>IF(VLOOKUP($I45,Max_Load_France!$B$2:$M$102,3,FALSE)="","",VLOOKUP($I45,Max_Load_France!$B$2:$M$102,3,FALSE))</f>
        <v>0</v>
      </c>
      <c r="N45" s="298">
        <f>IF(VLOOKUP($I45,Max_Load_France!$B$2:$M$102,4,FALSE)="","",VLOOKUP($I45,Max_Load_France!$B$2:$M$102,4,FALSE))</f>
        <v>1</v>
      </c>
      <c r="O45" s="298">
        <f>IF(VLOOKUP($I45,Max_Load_France!$B$2:$M$102,5,FALSE)="","",VLOOKUP($I45,Max_Load_France!$B$2:$M$102,5,FALSE))</f>
        <v>1</v>
      </c>
      <c r="P45" s="298">
        <f>IF(VLOOKUP($I45,Max_Load_France!$B$2:$M$102,6,FALSE)="","",VLOOKUP($I45,Max_Load_France!$B$2:$M$102,6,FALSE))</f>
        <v>2</v>
      </c>
      <c r="Q45" s="298">
        <f>IF(VLOOKUP($I45,Max_Load_France!$B$2:$M$102,7,FALSE)="","",VLOOKUP($I45,Max_Load_France!$B$2:$M$102,7,FALSE))</f>
        <v>2</v>
      </c>
      <c r="R45" s="298" t="str">
        <f>IF(VLOOKUP($I45,Max_Load_France!$B$2:$M$102,8,FALSE)="","",VLOOKUP($I45,Max_Load_France!$B$2:$M$102,8,FALSE))</f>
        <v/>
      </c>
      <c r="S45" s="298" t="str">
        <f>IF(VLOOKUP($I45,Max_Load_France!$B$2:$M$102,9,FALSE)="","",VLOOKUP($I45,Max_Load_France!$B$2:$M$102,9,FALSE))</f>
        <v/>
      </c>
      <c r="T45" s="298" t="str">
        <f>IF(VLOOKUP($I45,Max_Load_France!$B$2:$M$102,10,FALSE)="","",VLOOKUP($I45,Max_Load_France!$B$2:$M$102,10,FALSE))</f>
        <v/>
      </c>
      <c r="U45" s="298" t="str">
        <f>IF(VLOOKUP($I45,Max_Load_France!$B$2:$M$102,11,FALSE)="","",VLOOKUP($I45,Max_Load_France!$B$2:$M$102,11,FALSE))</f>
        <v/>
      </c>
      <c r="V45" s="289">
        <v>5</v>
      </c>
      <c r="W45" s="299">
        <f t="shared" si="4"/>
        <v>25.700000000000003</v>
      </c>
      <c r="X45" s="300">
        <v>5.7</v>
      </c>
      <c r="Y45" s="300">
        <v>8.5</v>
      </c>
      <c r="Z45" s="300">
        <v>2.6</v>
      </c>
      <c r="AA45" s="300">
        <v>4.5</v>
      </c>
      <c r="AB45" s="300">
        <v>4.4000000000000004</v>
      </c>
      <c r="AC45" s="301"/>
      <c r="AD45" s="301"/>
      <c r="AE45" s="301"/>
      <c r="AF45" s="301"/>
      <c r="AG45" s="302">
        <f t="shared" si="5"/>
        <v>11.1</v>
      </c>
      <c r="AH45" s="302">
        <f t="shared" si="6"/>
        <v>8.9</v>
      </c>
      <c r="AI45" s="302"/>
      <c r="AJ45" s="302"/>
      <c r="AK45" s="326">
        <f t="shared" si="1"/>
        <v>26.098069472999349</v>
      </c>
      <c r="AL45" s="323">
        <f>Site_PLtraf_new!AL39*(1-Site_PLtraf_new!$AZ$9)</f>
        <v>5.7342254429054789</v>
      </c>
      <c r="AM45" s="323">
        <f>Site_PLtraf_new!AM45+(Site_PLtraf_new!AL45*Site_PLtraf_new!$AZ$9)</f>
        <v>5.0765759363120182</v>
      </c>
      <c r="AN45" s="300">
        <v>6.1518960244648309</v>
      </c>
      <c r="AO45" s="300">
        <v>4.5676860346585109</v>
      </c>
      <c r="AP45" s="300">
        <v>4.5676860346585109</v>
      </c>
      <c r="AQ45" s="301"/>
      <c r="AR45" s="300"/>
      <c r="AS45" s="311"/>
      <c r="AT45" s="311"/>
      <c r="AU45" s="332">
        <f t="shared" si="26"/>
        <v>11.228471960776849</v>
      </c>
      <c r="AV45" s="332">
        <f t="shared" si="9"/>
        <v>9.1353720693170217</v>
      </c>
      <c r="AW45" s="302"/>
      <c r="AX45" s="302"/>
      <c r="AY45" s="347" t="str">
        <f t="shared" si="12"/>
        <v/>
      </c>
      <c r="AZ45" s="347" t="str">
        <f t="shared" si="13"/>
        <v/>
      </c>
      <c r="BA45" s="347" t="str">
        <f t="shared" si="14"/>
        <v/>
      </c>
      <c r="BB45" s="347" t="str">
        <f t="shared" si="15"/>
        <v/>
      </c>
      <c r="BC45" s="347" t="str">
        <f t="shared" si="16"/>
        <v/>
      </c>
      <c r="BD45" s="347" t="str">
        <f t="shared" si="17"/>
        <v/>
      </c>
      <c r="BE45" s="347" t="str">
        <f t="shared" si="18"/>
        <v/>
      </c>
      <c r="BF45" s="347" t="str">
        <f t="shared" si="19"/>
        <v/>
      </c>
      <c r="BG45" s="347" t="str">
        <f t="shared" si="20"/>
        <v/>
      </c>
      <c r="BH45" s="347" t="str">
        <f t="shared" si="21"/>
        <v/>
      </c>
      <c r="BI45" s="347" t="str">
        <f t="shared" si="22"/>
        <v/>
      </c>
      <c r="BJ45" s="347" t="b">
        <f t="shared" si="23"/>
        <v>0</v>
      </c>
      <c r="BK45" s="347" t="b">
        <f t="shared" si="24"/>
        <v>0</v>
      </c>
      <c r="BL45" s="288" t="str">
        <f t="shared" si="27"/>
        <v/>
      </c>
      <c r="BM45" s="136" t="str">
        <f t="shared" si="27"/>
        <v/>
      </c>
      <c r="BN45" s="334">
        <v>132.667</v>
      </c>
      <c r="BO45" s="334">
        <f t="shared" si="25"/>
        <v>11.815231891162986</v>
      </c>
      <c r="BP45" s="94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</row>
    <row r="46" spans="1:79" s="89" customFormat="1">
      <c r="A46" s="289" t="s">
        <v>244</v>
      </c>
      <c r="B46" s="295" t="s">
        <v>280</v>
      </c>
      <c r="C46" s="305"/>
      <c r="D46" s="292">
        <v>0.68680555555555556</v>
      </c>
      <c r="E46" s="306">
        <v>60.932159999999996</v>
      </c>
      <c r="F46" s="298"/>
      <c r="G46" s="298"/>
      <c r="H46" s="298"/>
      <c r="I46" s="290" t="s">
        <v>94</v>
      </c>
      <c r="J46" s="295">
        <f>IF(ISERROR(VLOOKUP(I46,Max_Load_France!$B$2:$C$102,2,FALSE)/1000),"",VLOOKUP(I46,Max_Load_France!$B$2:$C$102,2,FALSE)/1000)</f>
        <v>40</v>
      </c>
      <c r="K46" s="298"/>
      <c r="L46" s="297">
        <f t="shared" si="28"/>
        <v>0.95749999999999991</v>
      </c>
      <c r="M46" s="298">
        <f>IF(VLOOKUP($I46,Max_Load_France!$B$2:$M$102,3,FALSE)="","",VLOOKUP($I46,Max_Load_France!$B$2:$M$102,3,FALSE))</f>
        <v>0</v>
      </c>
      <c r="N46" s="298">
        <f>IF(VLOOKUP($I46,Max_Load_France!$B$2:$M$102,4,FALSE)="","",VLOOKUP($I46,Max_Load_France!$B$2:$M$102,4,FALSE))</f>
        <v>0</v>
      </c>
      <c r="O46" s="298">
        <f>IF(VLOOKUP($I46,Max_Load_France!$B$2:$M$102,5,FALSE)="","",VLOOKUP($I46,Max_Load_France!$B$2:$M$102,5,FALSE))</f>
        <v>1</v>
      </c>
      <c r="P46" s="298">
        <f>IF(VLOOKUP($I46,Max_Load_France!$B$2:$M$102,6,FALSE)="","",VLOOKUP($I46,Max_Load_France!$B$2:$M$102,6,FALSE))</f>
        <v>1</v>
      </c>
      <c r="Q46" s="298">
        <f>IF(VLOOKUP($I46,Max_Load_France!$B$2:$M$102,7,FALSE)="","",VLOOKUP($I46,Max_Load_France!$B$2:$M$102,7,FALSE))</f>
        <v>1</v>
      </c>
      <c r="R46" s="298" t="str">
        <f>IF(VLOOKUP($I46,Max_Load_France!$B$2:$M$102,8,FALSE)="","",VLOOKUP($I46,Max_Load_France!$B$2:$M$102,8,FALSE))</f>
        <v/>
      </c>
      <c r="S46" s="298" t="str">
        <f>IF(VLOOKUP($I46,Max_Load_France!$B$2:$M$102,9,FALSE)="","",VLOOKUP($I46,Max_Load_France!$B$2:$M$102,9,FALSE))</f>
        <v/>
      </c>
      <c r="T46" s="298" t="str">
        <f>IF(VLOOKUP($I46,Max_Load_France!$B$2:$M$102,10,FALSE)="","",VLOOKUP($I46,Max_Load_France!$B$2:$M$102,10,FALSE))</f>
        <v/>
      </c>
      <c r="U46" s="298" t="str">
        <f>IF(VLOOKUP($I46,Max_Load_France!$B$2:$M$102,11,FALSE)="","",VLOOKUP($I46,Max_Load_France!$B$2:$M$102,11,FALSE))</f>
        <v/>
      </c>
      <c r="V46" s="289">
        <v>5</v>
      </c>
      <c r="W46" s="299">
        <f t="shared" si="4"/>
        <v>38.299999999999997</v>
      </c>
      <c r="X46" s="300">
        <v>6.5</v>
      </c>
      <c r="Y46" s="300">
        <v>10.5</v>
      </c>
      <c r="Z46" s="300">
        <v>7</v>
      </c>
      <c r="AA46" s="300">
        <v>7.2</v>
      </c>
      <c r="AB46" s="300">
        <v>7.1</v>
      </c>
      <c r="AC46" s="301"/>
      <c r="AD46" s="301"/>
      <c r="AE46" s="301"/>
      <c r="AF46" s="301"/>
      <c r="AG46" s="302">
        <f t="shared" si="5"/>
        <v>21.299999999999997</v>
      </c>
      <c r="AH46" s="302" t="str">
        <f t="shared" si="6"/>
        <v/>
      </c>
      <c r="AI46" s="302"/>
      <c r="AJ46" s="302"/>
      <c r="AK46" s="326">
        <f t="shared" si="1"/>
        <v>40.159785048101313</v>
      </c>
      <c r="AL46" s="323">
        <f>Site_PLtraf_new!AL40*(1-Site_PLtraf_new!$AZ$9)</f>
        <v>7.4911851058005192</v>
      </c>
      <c r="AM46" s="323">
        <f>Site_PLtraf_new!AM46+(Site_PLtraf_new!AL46*Site_PLtraf_new!$AZ$9)</f>
        <v>11.434685569212105</v>
      </c>
      <c r="AN46" s="300">
        <v>7.0779714576962283</v>
      </c>
      <c r="AO46" s="300">
        <v>7.0779714576962283</v>
      </c>
      <c r="AP46" s="300">
        <v>7.0779714576962283</v>
      </c>
      <c r="AQ46" s="301"/>
      <c r="AR46" s="300"/>
      <c r="AS46" s="311"/>
      <c r="AT46" s="311"/>
      <c r="AU46" s="332">
        <f t="shared" si="26"/>
        <v>21.233914373088684</v>
      </c>
      <c r="AV46" s="332" t="str">
        <f t="shared" si="9"/>
        <v/>
      </c>
      <c r="AW46" s="302"/>
      <c r="AX46" s="302"/>
      <c r="AY46" s="347">
        <f t="shared" si="12"/>
        <v>4.855835634729283E-2</v>
      </c>
      <c r="AZ46" s="347">
        <f t="shared" si="13"/>
        <v>0.15249001627700295</v>
      </c>
      <c r="BA46" s="347">
        <f t="shared" si="14"/>
        <v>8.901767325829571E-2</v>
      </c>
      <c r="BB46" s="347" t="str">
        <f t="shared" si="15"/>
        <v/>
      </c>
      <c r="BC46" s="347" t="str">
        <f t="shared" si="16"/>
        <v/>
      </c>
      <c r="BD46" s="347" t="str">
        <f t="shared" si="17"/>
        <v/>
      </c>
      <c r="BE46" s="347" t="str">
        <f t="shared" si="18"/>
        <v/>
      </c>
      <c r="BF46" s="347">
        <f t="shared" si="19"/>
        <v>1.1138779670889751E-2</v>
      </c>
      <c r="BG46" s="347">
        <f t="shared" si="20"/>
        <v>-1.6948408653301654E-2</v>
      </c>
      <c r="BH46" s="347">
        <f t="shared" si="21"/>
        <v>-3.1026115920804766E-3</v>
      </c>
      <c r="BI46" s="347" t="str">
        <f t="shared" si="22"/>
        <v/>
      </c>
      <c r="BJ46" s="347">
        <f t="shared" si="23"/>
        <v>-3.1026115920804349E-3</v>
      </c>
      <c r="BK46" s="347" t="str">
        <f t="shared" si="24"/>
        <v/>
      </c>
      <c r="BL46" s="288" t="str">
        <f t="shared" si="27"/>
        <v/>
      </c>
      <c r="BM46" s="136" t="str">
        <f t="shared" si="27"/>
        <v/>
      </c>
      <c r="BN46" s="334">
        <v>71.0946</v>
      </c>
      <c r="BO46" s="334">
        <f t="shared" si="25"/>
        <v>3.3481626962809772</v>
      </c>
      <c r="BP46" s="94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</row>
    <row r="47" spans="1:79" s="89" customFormat="1">
      <c r="A47" s="289" t="s">
        <v>245</v>
      </c>
      <c r="B47" s="295" t="s">
        <v>277</v>
      </c>
      <c r="C47" s="305"/>
      <c r="D47" s="292">
        <v>0.67083333333333339</v>
      </c>
      <c r="E47" s="306">
        <v>53.620200000000004</v>
      </c>
      <c r="F47" s="298"/>
      <c r="G47" s="298"/>
      <c r="H47" s="298"/>
      <c r="I47" s="290" t="s">
        <v>94</v>
      </c>
      <c r="J47" s="295">
        <f>IF(ISERROR(VLOOKUP(I47,Max_Load_France!$B$2:$C$102,2,FALSE)/1000),"",VLOOKUP(I47,Max_Load_France!$B$2:$C$102,2,FALSE)/1000)</f>
        <v>40</v>
      </c>
      <c r="K47" s="298"/>
      <c r="L47" s="297">
        <f t="shared" si="28"/>
        <v>0</v>
      </c>
      <c r="M47" s="298">
        <f>IF(VLOOKUP($I47,Max_Load_France!$B$2:$M$102,3,FALSE)="","",VLOOKUP($I47,Max_Load_France!$B$2:$M$102,3,FALSE))</f>
        <v>0</v>
      </c>
      <c r="N47" s="298">
        <f>IF(VLOOKUP($I47,Max_Load_France!$B$2:$M$102,4,FALSE)="","",VLOOKUP($I47,Max_Load_France!$B$2:$M$102,4,FALSE))</f>
        <v>0</v>
      </c>
      <c r="O47" s="298">
        <f>IF(VLOOKUP($I47,Max_Load_France!$B$2:$M$102,5,FALSE)="","",VLOOKUP($I47,Max_Load_France!$B$2:$M$102,5,FALSE))</f>
        <v>1</v>
      </c>
      <c r="P47" s="298">
        <f>IF(VLOOKUP($I47,Max_Load_France!$B$2:$M$102,6,FALSE)="","",VLOOKUP($I47,Max_Load_France!$B$2:$M$102,6,FALSE))</f>
        <v>1</v>
      </c>
      <c r="Q47" s="298">
        <f>IF(VLOOKUP($I47,Max_Load_France!$B$2:$M$102,7,FALSE)="","",VLOOKUP($I47,Max_Load_France!$B$2:$M$102,7,FALSE))</f>
        <v>1</v>
      </c>
      <c r="R47" s="298" t="str">
        <f>IF(VLOOKUP($I47,Max_Load_France!$B$2:$M$102,8,FALSE)="","",VLOOKUP($I47,Max_Load_France!$B$2:$M$102,8,FALSE))</f>
        <v/>
      </c>
      <c r="S47" s="298" t="str">
        <f>IF(VLOOKUP($I47,Max_Load_France!$B$2:$M$102,9,FALSE)="","",VLOOKUP($I47,Max_Load_France!$B$2:$M$102,9,FALSE))</f>
        <v/>
      </c>
      <c r="T47" s="298" t="str">
        <f>IF(VLOOKUP($I47,Max_Load_France!$B$2:$M$102,10,FALSE)="","",VLOOKUP($I47,Max_Load_France!$B$2:$M$102,10,FALSE))</f>
        <v/>
      </c>
      <c r="U47" s="298" t="str">
        <f>IF(VLOOKUP($I47,Max_Load_France!$B$2:$M$102,11,FALSE)="","",VLOOKUP($I47,Max_Load_France!$B$2:$M$102,11,FALSE))</f>
        <v/>
      </c>
      <c r="V47" s="289">
        <v>5</v>
      </c>
      <c r="W47" s="299">
        <f t="shared" si="4"/>
        <v>0</v>
      </c>
      <c r="X47" s="300"/>
      <c r="Y47" s="300"/>
      <c r="Z47" s="300"/>
      <c r="AA47" s="300"/>
      <c r="AB47" s="300"/>
      <c r="AC47" s="301"/>
      <c r="AD47" s="301"/>
      <c r="AE47" s="301"/>
      <c r="AF47" s="301"/>
      <c r="AG47" s="302" t="str">
        <f t="shared" si="5"/>
        <v/>
      </c>
      <c r="AH47" s="302" t="str">
        <f t="shared" si="6"/>
        <v/>
      </c>
      <c r="AI47" s="302"/>
      <c r="AJ47" s="302"/>
      <c r="AK47" s="326">
        <f t="shared" si="1"/>
        <v>0</v>
      </c>
      <c r="AL47" s="300"/>
      <c r="AM47" s="300"/>
      <c r="AN47" s="300"/>
      <c r="AO47" s="300"/>
      <c r="AP47" s="300"/>
      <c r="AQ47" s="301"/>
      <c r="AR47" s="300"/>
      <c r="AS47" s="311"/>
      <c r="AT47" s="311"/>
      <c r="AU47" s="302" t="str">
        <f t="shared" si="26"/>
        <v/>
      </c>
      <c r="AV47" s="302" t="str">
        <f t="shared" si="9"/>
        <v/>
      </c>
      <c r="AW47" s="302"/>
      <c r="AX47" s="302"/>
      <c r="AY47" s="347" t="str">
        <f>IF($W47/$V47&lt;$BN$6,"",IF($BO47&lt;$BO$10,IF(W47&gt;0,(AK47-W47)/W47,""),""))</f>
        <v/>
      </c>
      <c r="AZ47" s="347" t="str">
        <f>IF(M47=0,IF(AL47&lt;$BN$7,"",IF($W47/$V47&lt;$BN$6,"",IF($BO47&lt;$BO$10,IF(X47&gt;0,(AL47-X47)/X47,""),""))),"")</f>
        <v/>
      </c>
      <c r="BA47" s="347" t="str">
        <f t="shared" si="14"/>
        <v/>
      </c>
      <c r="BB47" s="347" t="str">
        <f t="shared" si="15"/>
        <v/>
      </c>
      <c r="BC47" s="347" t="str">
        <f t="shared" si="16"/>
        <v/>
      </c>
      <c r="BD47" s="347" t="str">
        <f t="shared" si="17"/>
        <v/>
      </c>
      <c r="BE47" s="347" t="str">
        <f>IF(N47&gt;0,IF(AM47&lt;$BN$7,"",IF($W47/$V47&lt;$BN$6,"",IF($BO47&lt;$BO$10,IF(Y47&gt;0,(AM47-Y47)/Y47,""),""))),"")</f>
        <v/>
      </c>
      <c r="BF47" s="347" t="str">
        <f t="shared" si="19"/>
        <v/>
      </c>
      <c r="BG47" s="347" t="str">
        <f t="shared" si="20"/>
        <v/>
      </c>
      <c r="BH47" s="347" t="str">
        <f t="shared" si="21"/>
        <v/>
      </c>
      <c r="BI47" s="347" t="str">
        <f t="shared" si="22"/>
        <v/>
      </c>
      <c r="BJ47" s="347" t="str">
        <f>IF(AG47&lt;$BN$6*2,"",IF($BN47&lt;$BN$10,IF($BO47&lt;$BO$10,IF(AG47&lt;&gt;"",(AU47-AG47)/AG47,""),"")))</f>
        <v/>
      </c>
      <c r="BK47" s="347" t="str">
        <f>IF(AH47&lt;$BN$6*2,"",IF($BN47&lt;$BN$10,IF($BO47&lt;$BO$10,IF(AH47&lt;&gt;"",(AV47-AH47)/AH47,""),"")))</f>
        <v/>
      </c>
      <c r="BL47" s="288" t="str">
        <f t="shared" si="27"/>
        <v/>
      </c>
      <c r="BM47" s="136" t="str">
        <f t="shared" si="27"/>
        <v/>
      </c>
      <c r="BN47" s="76"/>
      <c r="BO47" s="334"/>
      <c r="BP47" s="70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</row>
    <row r="48" spans="1:79" s="77" customFormat="1">
      <c r="A48" s="289"/>
      <c r="B48" s="295"/>
      <c r="C48" s="305"/>
      <c r="D48" s="292"/>
      <c r="E48" s="306"/>
      <c r="F48" s="298"/>
      <c r="G48" s="298"/>
      <c r="H48" s="298"/>
      <c r="I48" s="290"/>
      <c r="J48" s="295"/>
      <c r="K48" s="298"/>
      <c r="L48" s="297"/>
      <c r="M48" s="298"/>
      <c r="N48" s="298"/>
      <c r="O48" s="298"/>
      <c r="P48" s="298"/>
      <c r="Q48" s="298"/>
      <c r="R48" s="298"/>
      <c r="S48" s="298"/>
      <c r="T48" s="298"/>
      <c r="U48" s="298"/>
      <c r="V48" s="289"/>
      <c r="W48" s="299"/>
      <c r="X48" s="300"/>
      <c r="Y48" s="300"/>
      <c r="Z48" s="300"/>
      <c r="AA48" s="300"/>
      <c r="AB48" s="300"/>
      <c r="AC48" s="301"/>
      <c r="AD48" s="301"/>
      <c r="AE48" s="301"/>
      <c r="AF48" s="301"/>
      <c r="AG48" s="302"/>
      <c r="AH48" s="302"/>
      <c r="AI48" s="302"/>
      <c r="AJ48" s="302"/>
      <c r="AK48" s="303"/>
      <c r="AL48" s="300"/>
      <c r="AM48" s="300"/>
      <c r="AN48" s="300"/>
      <c r="AO48" s="300"/>
      <c r="AP48" s="300"/>
      <c r="AQ48" s="301"/>
      <c r="AR48" s="300"/>
      <c r="AS48" s="311"/>
      <c r="AT48" s="311"/>
      <c r="AU48" s="302"/>
      <c r="AV48" s="302"/>
      <c r="AW48" s="302"/>
      <c r="AX48" s="302"/>
      <c r="AY48" s="347"/>
      <c r="AZ48" s="347"/>
      <c r="BA48" s="347"/>
      <c r="BB48" s="347"/>
      <c r="BC48" s="347"/>
      <c r="BD48" s="347"/>
      <c r="BE48" s="347"/>
      <c r="BF48" s="348"/>
      <c r="BG48" s="348"/>
      <c r="BH48" s="348"/>
      <c r="BI48" s="347"/>
      <c r="BJ48" s="347"/>
      <c r="BK48" s="347"/>
      <c r="BL48" s="288"/>
      <c r="BM48" s="136"/>
      <c r="BN48" s="76"/>
      <c r="BO48" s="334"/>
    </row>
    <row r="50" spans="47:63">
      <c r="AU50" s="341"/>
      <c r="AV50" s="342" t="s">
        <v>358</v>
      </c>
      <c r="AW50" s="341"/>
      <c r="AX50" s="341"/>
      <c r="AY50" s="341"/>
      <c r="AZ50" s="341"/>
      <c r="BA50" s="341"/>
      <c r="BB50" s="341"/>
      <c r="BC50" s="341"/>
      <c r="BD50" s="341"/>
      <c r="BE50" s="341"/>
      <c r="BF50" s="341"/>
      <c r="BG50" s="341"/>
      <c r="BH50" s="341"/>
      <c r="BI50" s="341"/>
      <c r="BJ50" s="341"/>
      <c r="BK50" s="341"/>
    </row>
    <row r="51" spans="47:63">
      <c r="AU51" s="343"/>
      <c r="AV51" s="344" t="s">
        <v>361</v>
      </c>
      <c r="AW51" s="343"/>
      <c r="AX51" s="343"/>
      <c r="AY51" s="343">
        <f>COUNTIF($AY$12:$AY$48,$AV51)</f>
        <v>11</v>
      </c>
      <c r="AZ51" s="343">
        <f>COUNTIF($AZ$12:$BD$48,$AV51)</f>
        <v>133</v>
      </c>
      <c r="BA51" s="343"/>
      <c r="BB51" s="343"/>
      <c r="BC51" s="343"/>
      <c r="BD51" s="343"/>
      <c r="BE51" s="343">
        <f>COUNTIF($BE$12:$BI$48,$AV51)</f>
        <v>110</v>
      </c>
      <c r="BF51" s="343"/>
      <c r="BG51" s="343"/>
      <c r="BH51" s="343"/>
      <c r="BI51" s="343"/>
      <c r="BJ51" s="343">
        <f>COUNTIF($BJ$12:$BK$48,$AV51)</f>
        <v>32</v>
      </c>
      <c r="BK51" s="343"/>
    </row>
    <row r="52" spans="47:63">
      <c r="AU52" s="343"/>
      <c r="AV52" s="344" t="s">
        <v>360</v>
      </c>
      <c r="AW52" s="343"/>
      <c r="AX52" s="343"/>
      <c r="AY52" s="343">
        <f>COUNTIF($AY$12:$AY$48,$AV52)</f>
        <v>11</v>
      </c>
      <c r="AZ52" s="343">
        <f>COUNTIF($AZ$12:$BD$48,$AV52)</f>
        <v>133</v>
      </c>
      <c r="BA52" s="343"/>
      <c r="BB52" s="343"/>
      <c r="BC52" s="343"/>
      <c r="BD52" s="343"/>
      <c r="BE52" s="343">
        <f>COUNTIF($BE$12:$BI$48,$AV52)</f>
        <v>110</v>
      </c>
      <c r="BF52" s="343"/>
      <c r="BG52" s="343"/>
      <c r="BH52" s="343"/>
      <c r="BI52" s="343"/>
      <c r="BJ52" s="343">
        <f>COUNTIF($BJ$12:$BK$48,$AV52)</f>
        <v>32</v>
      </c>
      <c r="BK52" s="343"/>
    </row>
    <row r="53" spans="47:63">
      <c r="AU53" s="341"/>
      <c r="AV53" s="342" t="s">
        <v>359</v>
      </c>
      <c r="AW53" s="341"/>
      <c r="AX53" s="341"/>
      <c r="AY53" s="341">
        <f>COUNTIF($AY$12:$AY$48,$AV53)</f>
        <v>0</v>
      </c>
      <c r="AZ53" s="341">
        <f>COUNTIF($AZ$12:$BD$48,$AV53)</f>
        <v>0</v>
      </c>
      <c r="BA53" s="341"/>
      <c r="BB53" s="341"/>
      <c r="BC53" s="341"/>
      <c r="BD53" s="341"/>
      <c r="BE53" s="341">
        <f>COUNTIF($BE$12:$BI$48,$AV53)</f>
        <v>0</v>
      </c>
      <c r="BF53" s="341"/>
      <c r="BG53" s="341"/>
      <c r="BH53" s="341"/>
      <c r="BI53" s="341"/>
      <c r="BJ53" s="341">
        <f>COUNTIF($BJ$12:$BK$48,$AV53)</f>
        <v>0</v>
      </c>
      <c r="BK53" s="341"/>
    </row>
    <row r="54" spans="47:63">
      <c r="AU54" s="343"/>
      <c r="AV54" s="343"/>
      <c r="AW54" s="343"/>
      <c r="AX54" s="343"/>
      <c r="AY54" s="343">
        <f>COUNT(AY12:AY48)</f>
        <v>25</v>
      </c>
      <c r="AZ54" s="343">
        <f>COUNT(AZ12:BD48)</f>
        <v>47</v>
      </c>
      <c r="BA54" s="343"/>
      <c r="BB54" s="343"/>
      <c r="BC54" s="343"/>
      <c r="BD54" s="343"/>
      <c r="BE54" s="343">
        <f>COUNT(BE12:BI48)</f>
        <v>70</v>
      </c>
      <c r="BF54" s="343"/>
      <c r="BG54" s="343"/>
      <c r="BH54" s="343"/>
      <c r="BI54" s="343"/>
      <c r="BJ54" s="343">
        <f>COUNT(BJ12:BK48)</f>
        <v>26</v>
      </c>
      <c r="BK54" s="343"/>
    </row>
    <row r="55" spans="47:63">
      <c r="AU55" s="341"/>
      <c r="AV55" s="341"/>
      <c r="AW55" s="341"/>
      <c r="AX55" s="341"/>
      <c r="AY55" s="341"/>
      <c r="AZ55" s="341"/>
      <c r="BA55" s="341"/>
      <c r="BB55" s="341"/>
      <c r="BC55" s="341"/>
      <c r="BD55" s="341"/>
      <c r="BE55" s="341"/>
      <c r="BF55" s="341"/>
      <c r="BG55" s="341"/>
      <c r="BH55" s="341"/>
      <c r="BI55" s="341"/>
      <c r="BJ55" s="341"/>
      <c r="BK55" s="341"/>
    </row>
    <row r="56" spans="47:63">
      <c r="AU56" s="343"/>
      <c r="AV56" s="344" t="s">
        <v>361</v>
      </c>
      <c r="AW56" s="343"/>
      <c r="AX56" s="343"/>
      <c r="AY56" s="345">
        <f t="shared" ref="AY56:AZ58" si="29">+AY51/AY$54</f>
        <v>0.44</v>
      </c>
      <c r="AZ56" s="345">
        <f t="shared" si="29"/>
        <v>2.8297872340425534</v>
      </c>
      <c r="BA56" s="345"/>
      <c r="BB56" s="345"/>
      <c r="BC56" s="345"/>
      <c r="BD56" s="345"/>
      <c r="BE56" s="345">
        <f>+BE51/BE$54</f>
        <v>1.5714285714285714</v>
      </c>
      <c r="BF56" s="345"/>
      <c r="BG56" s="345"/>
      <c r="BH56" s="345"/>
      <c r="BI56" s="345"/>
      <c r="BJ56" s="345">
        <f>+BJ51/BJ$54</f>
        <v>1.2307692307692308</v>
      </c>
      <c r="BK56" s="345"/>
    </row>
    <row r="57" spans="47:63">
      <c r="AU57" s="343"/>
      <c r="AV57" s="344" t="s">
        <v>360</v>
      </c>
      <c r="AW57" s="343"/>
      <c r="AX57" s="343"/>
      <c r="AY57" s="345">
        <f t="shared" si="29"/>
        <v>0.44</v>
      </c>
      <c r="AZ57" s="345">
        <f t="shared" si="29"/>
        <v>2.8297872340425534</v>
      </c>
      <c r="BA57" s="345"/>
      <c r="BB57" s="345"/>
      <c r="BC57" s="345"/>
      <c r="BD57" s="345"/>
      <c r="BE57" s="345">
        <f>+BE52/BE$54</f>
        <v>1.5714285714285714</v>
      </c>
      <c r="BF57" s="345"/>
      <c r="BG57" s="345"/>
      <c r="BH57" s="345"/>
      <c r="BI57" s="345"/>
      <c r="BJ57" s="345">
        <f>+BJ52/BJ$54</f>
        <v>1.2307692307692308</v>
      </c>
      <c r="BK57" s="345"/>
    </row>
    <row r="58" spans="47:63">
      <c r="AU58" s="341"/>
      <c r="AV58" s="342" t="s">
        <v>359</v>
      </c>
      <c r="AW58" s="341"/>
      <c r="AX58" s="341"/>
      <c r="AY58" s="346">
        <f t="shared" si="29"/>
        <v>0</v>
      </c>
      <c r="AZ58" s="346">
        <f t="shared" si="29"/>
        <v>0</v>
      </c>
      <c r="BA58" s="346"/>
      <c r="BB58" s="346"/>
      <c r="BC58" s="346"/>
      <c r="BD58" s="346"/>
      <c r="BE58" s="346">
        <f>+BE53/BE$54</f>
        <v>0</v>
      </c>
      <c r="BF58" s="346"/>
      <c r="BG58" s="346"/>
      <c r="BH58" s="346"/>
      <c r="BI58" s="346"/>
      <c r="BJ58" s="346">
        <f>+BJ53/BJ$54</f>
        <v>0</v>
      </c>
      <c r="BK58" s="346"/>
    </row>
  </sheetData>
  <dataConsolidate/>
  <mergeCells count="28">
    <mergeCell ref="AY10:BM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  <mergeCell ref="C5:H5"/>
    <mergeCell ref="Z5:AG5"/>
    <mergeCell ref="AQ5:AX5"/>
    <mergeCell ref="C6:H6"/>
    <mergeCell ref="Z6:AG6"/>
    <mergeCell ref="AQ6:AX6"/>
    <mergeCell ref="C3:H3"/>
    <mergeCell ref="Z3:AK3"/>
    <mergeCell ref="AQ3:BB3"/>
    <mergeCell ref="C4:H4"/>
    <mergeCell ref="Z4:AG4"/>
    <mergeCell ref="AQ4:AX4"/>
  </mergeCells>
  <conditionalFormatting sqref="AZ48:BE48 AZ12:BI47">
    <cfRule type="dataBar" priority="3">
      <dataBar>
        <cfvo type="num" val="-0.3"/>
        <cfvo type="num" val="0.3"/>
        <color rgb="FF638EC6"/>
      </dataBar>
      <extLst>
        <ext xmlns:x14="http://schemas.microsoft.com/office/spreadsheetml/2009/9/main" uri="{B025F937-C7B1-47D3-B67F-A62EFF666E3E}">
          <x14:id>{51A9FF10-5C56-4277-B409-5CF86158E3C4}</x14:id>
        </ext>
      </extLst>
    </cfRule>
  </conditionalFormatting>
  <conditionalFormatting sqref="AY12:AY4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{E8573B93-C4E9-4327-8AD0-3C9FEE980AB5}</x14:id>
        </ext>
      </extLst>
    </cfRule>
  </conditionalFormatting>
  <conditionalFormatting sqref="BN12:BN48">
    <cfRule type="expression" dxfId="4" priority="5">
      <formula>$BN12&gt;BN$10</formula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{52EF2F52-2A3E-4EAD-9141-C9A5A9DF7960}</x14:id>
        </ext>
      </extLst>
    </cfRule>
  </conditionalFormatting>
  <conditionalFormatting sqref="BO12:BO48">
    <cfRule type="expression" dxfId="3" priority="1">
      <formula>$BO12&gt;BO$10</formula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{746F8954-55E3-45A1-814C-B1665773A009}</x14:id>
        </ext>
      </extLst>
    </cfRule>
  </conditionalFormatting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ignoredErrors>
    <ignoredError sqref="AU12:BK47" unlocked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A9FF10-5C56-4277-B409-5CF86158E3C4}">
            <x14:dataBar minLength="0" maxLength="100" border="1" negativeBarBorderColorSameAsPositive="0">
              <x14:cfvo type="num">
                <xm:f>-0.3</xm:f>
              </x14:cfvo>
              <x14:cfvo type="num">
                <xm:f>0.3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AZ48:BE48 AZ12:BI47</xm:sqref>
        </x14:conditionalFormatting>
        <x14:conditionalFormatting xmlns:xm="http://schemas.microsoft.com/office/excel/2006/main">
          <x14:cfRule type="dataBar" id="{E8573B93-C4E9-4327-8AD0-3C9FEE980A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AY12:AY48</xm:sqref>
        </x14:conditionalFormatting>
        <x14:conditionalFormatting xmlns:xm="http://schemas.microsoft.com/office/excel/2006/main">
          <x14:cfRule type="dataBar" id="{52EF2F52-2A3E-4EAD-9141-C9A5A9DF79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BN12:BN48</xm:sqref>
        </x14:conditionalFormatting>
        <x14:conditionalFormatting xmlns:xm="http://schemas.microsoft.com/office/excel/2006/main">
          <x14:cfRule type="dataBar" id="{746F8954-55E3-45A1-814C-B1665773A0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BO12:BO48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I12:I48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B0F0"/>
    <pageSetUpPr fitToPage="1"/>
  </sheetPr>
  <dimension ref="A1:CI87"/>
  <sheetViews>
    <sheetView topLeftCell="A3" zoomScale="85" zoomScaleNormal="85" workbookViewId="0">
      <pane xSplit="1" ySplit="9" topLeftCell="J12" activePane="bottomRight" state="frozen"/>
      <selection activeCell="A3" sqref="A3"/>
      <selection pane="topRight" activeCell="B3" sqref="B3"/>
      <selection pane="bottomLeft" activeCell="A12" sqref="A12"/>
      <selection pane="bottomRight" activeCell="BE17" sqref="BE17"/>
    </sheetView>
  </sheetViews>
  <sheetFormatPr baseColWidth="10" defaultColWidth="11.5703125" defaultRowHeight="12.75"/>
  <cols>
    <col min="1" max="1" width="19.28515625" bestFit="1" customWidth="1"/>
    <col min="2" max="2" width="15.42578125" bestFit="1" customWidth="1"/>
    <col min="3" max="3" width="13.85546875" hidden="1" customWidth="1"/>
    <col min="4" max="4" width="9.7109375" customWidth="1"/>
    <col min="5" max="5" width="4.140625" customWidth="1"/>
    <col min="6" max="6" width="3.140625" hidden="1" customWidth="1"/>
    <col min="7" max="7" width="4" hidden="1" customWidth="1"/>
    <col min="8" max="8" width="4.85546875" hidden="1" customWidth="1"/>
    <col min="9" max="9" width="6.85546875" bestFit="1" customWidth="1"/>
    <col min="10" max="10" width="4.42578125" bestFit="1" customWidth="1"/>
    <col min="11" max="11" width="4.140625" hidden="1" customWidth="1"/>
    <col min="12" max="12" width="9.140625" customWidth="1"/>
    <col min="13" max="13" width="3.7109375" customWidth="1"/>
    <col min="14" max="15" width="3.5703125" customWidth="1"/>
    <col min="16" max="16" width="3.42578125" customWidth="1"/>
    <col min="17" max="17" width="4.42578125" customWidth="1"/>
    <col min="18" max="18" width="3.85546875" customWidth="1"/>
    <col min="19" max="19" width="3.7109375" hidden="1" customWidth="1"/>
    <col min="20" max="21" width="3.42578125" hidden="1" customWidth="1"/>
    <col min="22" max="22" width="2.85546875" bestFit="1" customWidth="1"/>
    <col min="23" max="23" width="5.28515625" customWidth="1"/>
    <col min="24" max="29" width="5.7109375" customWidth="1"/>
    <col min="30" max="30" width="5.7109375" hidden="1" customWidth="1"/>
    <col min="31" max="32" width="5" hidden="1" customWidth="1"/>
    <col min="33" max="33" width="7" customWidth="1"/>
    <col min="34" max="34" width="6.7109375" customWidth="1"/>
    <col min="35" max="35" width="7.140625" hidden="1" customWidth="1"/>
    <col min="36" max="36" width="6.5703125" hidden="1" customWidth="1"/>
    <col min="37" max="37" width="7.28515625" customWidth="1"/>
    <col min="38" max="38" width="5.140625" customWidth="1"/>
    <col min="39" max="39" width="5.42578125" customWidth="1"/>
    <col min="40" max="42" width="5.140625" customWidth="1"/>
    <col min="43" max="43" width="4.7109375" customWidth="1"/>
    <col min="44" max="46" width="4.7109375" hidden="1" customWidth="1"/>
    <col min="47" max="48" width="4.85546875" bestFit="1" customWidth="1"/>
    <col min="49" max="49" width="6.140625" hidden="1" customWidth="1"/>
    <col min="50" max="50" width="3.85546875" hidden="1" customWidth="1"/>
    <col min="51" max="63" width="6.85546875" customWidth="1"/>
    <col min="64" max="65" width="12.7109375" hidden="1" customWidth="1"/>
    <col min="66" max="66" width="6.7109375" customWidth="1"/>
    <col min="67" max="67" width="4" bestFit="1" customWidth="1"/>
  </cols>
  <sheetData>
    <row r="1" spans="1:87" s="77" customFormat="1" ht="11.25"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6"/>
    </row>
    <row r="2" spans="1:87" s="77" customFormat="1" ht="15">
      <c r="W2" s="78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</row>
    <row r="3" spans="1:87" s="77" customFormat="1" ht="24" customHeight="1">
      <c r="B3" s="393" t="s">
        <v>0</v>
      </c>
      <c r="C3" s="406" t="s">
        <v>283</v>
      </c>
      <c r="D3" s="406"/>
      <c r="E3" s="406"/>
      <c r="F3" s="406"/>
      <c r="G3" s="406"/>
      <c r="H3" s="406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Z3" s="421" t="s">
        <v>202</v>
      </c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3"/>
      <c r="AQ3" s="421" t="s">
        <v>196</v>
      </c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3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</row>
    <row r="4" spans="1:87" s="77" customFormat="1" ht="12.75" customHeight="1">
      <c r="B4" s="393" t="s">
        <v>1</v>
      </c>
      <c r="C4" s="406" t="s">
        <v>284</v>
      </c>
      <c r="D4" s="406"/>
      <c r="E4" s="406"/>
      <c r="F4" s="406"/>
      <c r="G4" s="406"/>
      <c r="H4" s="406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H4" s="66"/>
      <c r="BI4" s="6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I4" s="77" t="s">
        <v>373</v>
      </c>
    </row>
    <row r="5" spans="1:87" s="77" customFormat="1" ht="12.75" customHeight="1">
      <c r="B5" s="393" t="s">
        <v>7</v>
      </c>
      <c r="C5" s="406" t="s">
        <v>201</v>
      </c>
      <c r="D5" s="406"/>
      <c r="E5" s="406"/>
      <c r="F5" s="406"/>
      <c r="G5" s="406"/>
      <c r="H5" s="406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COUNTIF($L$12:$L$48,"&gt;0,9")</f>
        <v>18</v>
      </c>
      <c r="AI5" s="117">
        <f t="array" ref="AI5">COUNT(IF($L$12:$L$48&gt;0.9,IF($M$12:$U$48&gt;=0,$M$12:$U$48,"")))</f>
        <v>91</v>
      </c>
      <c r="AJ5" s="80">
        <f t="array" ref="AJ5">COUNT(IF($L$12:$L$48&gt;0.9,IF($M$12:$U$48&gt;=1,$M$12:$U$48,"")))</f>
        <v>56</v>
      </c>
      <c r="AK5" s="80">
        <f t="array" ref="AK5">COUNT(IF($L$12:$L$48&gt;0.9,IF($AG$12:$AJ$48&gt;0,$AG$12:$AJ$48,"")))</f>
        <v>20</v>
      </c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COUNT(AY12:AY48)</f>
        <v>27</v>
      </c>
      <c r="AZ5" s="80">
        <f>COUNT(AZ12:BD47,0)</f>
        <v>52</v>
      </c>
      <c r="BA5" s="80">
        <f>COUNT(BE12:BI47,0)</f>
        <v>84</v>
      </c>
      <c r="BB5" s="80">
        <f>COUNT($BJ$12:$BM$48)</f>
        <v>29</v>
      </c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I5" s="77" t="s">
        <v>334</v>
      </c>
    </row>
    <row r="6" spans="1:87" s="77" customFormat="1" ht="12.75" customHeight="1">
      <c r="B6" s="393" t="s">
        <v>354</v>
      </c>
      <c r="C6" s="406">
        <v>41</v>
      </c>
      <c r="D6" s="406"/>
      <c r="E6" s="406"/>
      <c r="F6" s="406"/>
      <c r="G6" s="406"/>
      <c r="H6" s="406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AVERAGEIF($L$12:$L$48,"&gt;0,9",$AY$12:$AY$48)</f>
        <v>-1.669813834846913E-2</v>
      </c>
      <c r="AI6" s="115">
        <f t="array" ref="AI6">AVERAGE(IF($L$12:$L$48&gt;0.9,IF($M$12:$U$47=0,$AZ$12:$BH$48,"")))</f>
        <v>-3.2015588582137794E-2</v>
      </c>
      <c r="AJ6" s="115">
        <f t="array" ref="AJ6">AVERAGE(IF($L$12:$L$48&gt;0.9,IF($M$12:$U$47&gt;=1,$AZ$12:$BH$48,"")))</f>
        <v>-2.931747854393715E-2</v>
      </c>
      <c r="AK6" s="115">
        <f t="array" ref="AK6">AVERAGE(IF($L$12:$L$48&gt;0.9,IF($AG$12:$AJ$48&gt;0,$BJ$12:$BM$48,"")))</f>
        <v>-3.7085906837296033E-2</v>
      </c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AVERAGE($AY$12:$AY$48)</f>
        <v>-1.3106478305807277E-4</v>
      </c>
      <c r="AZ6" s="115">
        <f>AVERAGE(AZ12:BD48)</f>
        <v>-2.3602795891290362E-3</v>
      </c>
      <c r="BA6" s="115">
        <f>AVERAGE(BE12:BI48)</f>
        <v>-1.1748266458913456E-2</v>
      </c>
      <c r="BB6" s="115">
        <f>AVERAGEIF($AG$12:$AJ$48,"&gt;0",$BJ$12:$BM$48)</f>
        <v>-1.4728239594528465E-2</v>
      </c>
      <c r="BK6" s="340" t="s">
        <v>357</v>
      </c>
      <c r="BN6" s="351">
        <v>3</v>
      </c>
      <c r="BO6" s="338" t="s">
        <v>356</v>
      </c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</row>
    <row r="7" spans="1:87" s="77" customFormat="1" ht="12.75" customHeight="1">
      <c r="B7" s="81"/>
      <c r="C7" s="76"/>
      <c r="D7" s="76"/>
      <c r="E7" s="81"/>
      <c r="F7" s="81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STDEV(IF($L$12:$L$48&gt;0.9,$AY$12:$AY$48))</f>
        <v>3.7922839767515253E-2</v>
      </c>
      <c r="AI7" s="115">
        <f t="array" ref="AI7">STDEV(IF($L$12:$L$48&gt;0.9,IF($M$12:$U$48=0,$AZ$12:$BH$48,"")))</f>
        <v>0.12368874845850611</v>
      </c>
      <c r="AJ7" s="115">
        <f t="array" ref="AJ7">STDEV(IF($L$12:$L$48&gt;0.9,IF($M$12:$U$48&gt;=1,$AZ$12:$BH$48,"")))</f>
        <v>5.9189160156788816E-2</v>
      </c>
      <c r="AK7" s="115">
        <f t="array" ref="AK7">STDEV(IF($L$12:$L$48&gt;0.9,IF($AG$12:$AJ$48&gt;0,$BJ$12:$BM$48,"")))</f>
        <v>7.3185104338731211E-2</v>
      </c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STDEV($AY$12:$AY$48)</f>
        <v>4.9481661411745266E-2</v>
      </c>
      <c r="AZ7" s="115">
        <f>STDEV(AZ12:BD48)</f>
        <v>0.12663028391779596</v>
      </c>
      <c r="BA7" s="115">
        <f>STDEV(BE12:BI48)</f>
        <v>7.8110365868263296E-2</v>
      </c>
      <c r="BB7" s="115">
        <f>STDEV($BJ$12:$BK$48)</f>
        <v>7.9811741585039453E-2</v>
      </c>
      <c r="BK7" s="340" t="s">
        <v>355</v>
      </c>
      <c r="BN7" s="351">
        <v>3</v>
      </c>
      <c r="BO7" s="338" t="s">
        <v>356</v>
      </c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</row>
    <row r="8" spans="1:87" s="77" customFormat="1" ht="12.75" customHeight="1">
      <c r="B8" s="81"/>
      <c r="C8" s="76"/>
      <c r="D8" s="76"/>
      <c r="E8" s="81"/>
      <c r="F8" s="81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N8" s="352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</row>
    <row r="9" spans="1:87" s="77" customFormat="1" ht="12.75" customHeight="1">
      <c r="AY9" s="66">
        <f>AVERAGE(AY12:AY13,AY15:AY19,AY21:AY24,AY26:AY36,AY38:AY48)</f>
        <v>-1.1597312726550658E-3</v>
      </c>
      <c r="AZ9" s="66">
        <f>AVERAGE(AZ12:AZ13,AZ15:AZ16,AZ18:AZ19,AZ21:AZ24,AZ26:AZ36,AZ38:AZ41,AZ43:AZ47)</f>
        <v>-7.362861594455973E-2</v>
      </c>
      <c r="BA9" s="66">
        <f>AVERAGE(BA12:BA13,BA15:BA16,BA18:BA19,BA21:BA24,BA26:BA36,BA38:BA41,BA43:BA47)</f>
        <v>8.0453158603665795E-2</v>
      </c>
      <c r="BF9" s="66">
        <f>AVERAGE(BF12:BF13,BF15:BF16,BF18:BF19,BF21:BF24,BF26:BF36,BF38:BF41,BF43:BF47)</f>
        <v>-2.0083638475692625E-2</v>
      </c>
      <c r="BG9" s="66">
        <f>AVERAGE(BG12:BG13,BG15:BG16,BG18:BG19,BG21:BG24,BG26:BG36,BG38:BG41,BG43:BG47)</f>
        <v>-1.376919444827557E-2</v>
      </c>
      <c r="BH9" s="66">
        <f>AVERAGE(BH12:BH13,BH15:BH16,BH18:BH19,BH21:BH24,BH26:BH36,BH38:BH41,BH43:BH47)</f>
        <v>-1.2852558468926601E-2</v>
      </c>
      <c r="BK9" s="340" t="s">
        <v>367</v>
      </c>
      <c r="BN9" s="353">
        <v>0.9</v>
      </c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</row>
    <row r="10" spans="1:87" s="77" customFormat="1" ht="12.75" customHeight="1">
      <c r="A10" s="425" t="s">
        <v>181</v>
      </c>
      <c r="B10" s="425" t="s">
        <v>180</v>
      </c>
      <c r="C10" s="425" t="s">
        <v>182</v>
      </c>
      <c r="D10" s="426" t="s">
        <v>183</v>
      </c>
      <c r="E10" s="425" t="s">
        <v>13</v>
      </c>
      <c r="F10" s="425" t="s">
        <v>14</v>
      </c>
      <c r="G10" s="425" t="s">
        <v>15</v>
      </c>
      <c r="H10" s="425" t="s">
        <v>16</v>
      </c>
      <c r="I10" s="427" t="s">
        <v>17</v>
      </c>
      <c r="J10" s="428"/>
      <c r="K10" s="429"/>
      <c r="L10" s="426" t="s">
        <v>95</v>
      </c>
      <c r="M10" s="424" t="s">
        <v>18</v>
      </c>
      <c r="N10" s="424"/>
      <c r="O10" s="424"/>
      <c r="P10" s="424"/>
      <c r="Q10" s="424"/>
      <c r="R10" s="424"/>
      <c r="S10" s="424"/>
      <c r="T10" s="424"/>
      <c r="U10" s="424"/>
      <c r="V10" s="424"/>
      <c r="W10" s="424" t="s">
        <v>31</v>
      </c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 t="s">
        <v>30</v>
      </c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 t="s">
        <v>19</v>
      </c>
      <c r="AZ10" s="424"/>
      <c r="BA10" s="424"/>
      <c r="BB10" s="424"/>
      <c r="BC10" s="424"/>
      <c r="BD10" s="424"/>
      <c r="BE10" s="424"/>
      <c r="BF10" s="424"/>
      <c r="BG10" s="424"/>
      <c r="BH10" s="424"/>
      <c r="BI10" s="424"/>
      <c r="BJ10" s="424"/>
      <c r="BK10" s="424"/>
      <c r="BL10" s="424"/>
      <c r="BM10" s="424"/>
      <c r="BN10" s="388">
        <f>PERCENTILE(BN12:BN48,BN9)</f>
        <v>141.15899999999999</v>
      </c>
      <c r="BO10" s="388" t="s">
        <v>373</v>
      </c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</row>
    <row r="11" spans="1:87" s="77" customFormat="1" ht="12.75" customHeight="1">
      <c r="A11" s="425"/>
      <c r="B11" s="425"/>
      <c r="C11" s="425"/>
      <c r="D11" s="426"/>
      <c r="E11" s="425"/>
      <c r="F11" s="425"/>
      <c r="G11" s="425"/>
      <c r="H11" s="425"/>
      <c r="I11" s="394" t="s">
        <v>20</v>
      </c>
      <c r="J11" s="394" t="s">
        <v>165</v>
      </c>
      <c r="K11" s="394" t="s">
        <v>21</v>
      </c>
      <c r="L11" s="426"/>
      <c r="M11" s="394" t="s">
        <v>186</v>
      </c>
      <c r="N11" s="394" t="s">
        <v>187</v>
      </c>
      <c r="O11" s="394" t="s">
        <v>188</v>
      </c>
      <c r="P11" s="394" t="s">
        <v>189</v>
      </c>
      <c r="Q11" s="394" t="s">
        <v>190</v>
      </c>
      <c r="R11" s="394" t="s">
        <v>191</v>
      </c>
      <c r="S11" s="394" t="s">
        <v>192</v>
      </c>
      <c r="T11" s="394" t="s">
        <v>193</v>
      </c>
      <c r="U11" s="394" t="s">
        <v>194</v>
      </c>
      <c r="V11" s="394" t="s">
        <v>185</v>
      </c>
      <c r="W11" s="394" t="s">
        <v>3</v>
      </c>
      <c r="X11" s="394" t="s">
        <v>22</v>
      </c>
      <c r="Y11" s="394" t="s">
        <v>23</v>
      </c>
      <c r="Z11" s="394" t="s">
        <v>24</v>
      </c>
      <c r="AA11" s="394" t="s">
        <v>25</v>
      </c>
      <c r="AB11" s="394" t="s">
        <v>26</v>
      </c>
      <c r="AC11" s="394" t="s">
        <v>27</v>
      </c>
      <c r="AD11" s="394" t="s">
        <v>90</v>
      </c>
      <c r="AE11" s="394" t="s">
        <v>91</v>
      </c>
      <c r="AF11" s="394" t="s">
        <v>184</v>
      </c>
      <c r="AG11" s="394" t="s">
        <v>28</v>
      </c>
      <c r="AH11" s="394" t="s">
        <v>29</v>
      </c>
      <c r="AI11" s="394" t="s">
        <v>92</v>
      </c>
      <c r="AJ11" s="394" t="s">
        <v>93</v>
      </c>
      <c r="AK11" s="394" t="s">
        <v>3</v>
      </c>
      <c r="AL11" s="394" t="s">
        <v>22</v>
      </c>
      <c r="AM11" s="394" t="s">
        <v>23</v>
      </c>
      <c r="AN11" s="394" t="s">
        <v>24</v>
      </c>
      <c r="AO11" s="394" t="s">
        <v>25</v>
      </c>
      <c r="AP11" s="394" t="s">
        <v>26</v>
      </c>
      <c r="AQ11" s="394" t="s">
        <v>27</v>
      </c>
      <c r="AR11" s="394" t="s">
        <v>90</v>
      </c>
      <c r="AS11" s="394" t="s">
        <v>91</v>
      </c>
      <c r="AT11" s="394" t="s">
        <v>184</v>
      </c>
      <c r="AU11" s="394" t="s">
        <v>28</v>
      </c>
      <c r="AV11" s="394" t="s">
        <v>29</v>
      </c>
      <c r="AW11" s="394" t="s">
        <v>92</v>
      </c>
      <c r="AX11" s="394" t="s">
        <v>93</v>
      </c>
      <c r="AY11" s="394" t="s">
        <v>3</v>
      </c>
      <c r="AZ11" s="394" t="s">
        <v>22</v>
      </c>
      <c r="BA11" s="394" t="s">
        <v>23</v>
      </c>
      <c r="BB11" s="394" t="s">
        <v>24</v>
      </c>
      <c r="BC11" s="394" t="s">
        <v>25</v>
      </c>
      <c r="BD11" s="394" t="s">
        <v>26</v>
      </c>
      <c r="BE11" s="394" t="s">
        <v>362</v>
      </c>
      <c r="BF11" s="394" t="s">
        <v>363</v>
      </c>
      <c r="BG11" s="394" t="s">
        <v>364</v>
      </c>
      <c r="BH11" s="394" t="s">
        <v>365</v>
      </c>
      <c r="BI11" s="394" t="s">
        <v>366</v>
      </c>
      <c r="BJ11" s="394" t="s">
        <v>28</v>
      </c>
      <c r="BK11" s="394" t="s">
        <v>29</v>
      </c>
      <c r="BL11" s="394" t="s">
        <v>92</v>
      </c>
      <c r="BM11" s="394" t="s">
        <v>93</v>
      </c>
      <c r="BN11" s="394" t="s">
        <v>353</v>
      </c>
      <c r="BO11" s="394" t="s">
        <v>380</v>
      </c>
      <c r="BP11" s="94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</row>
    <row r="12" spans="1:87" s="89" customFormat="1" ht="11.25">
      <c r="A12" s="312" t="s">
        <v>211</v>
      </c>
      <c r="B12" s="360" t="s">
        <v>246</v>
      </c>
      <c r="C12" s="361"/>
      <c r="D12" s="362">
        <v>0.38263888888888892</v>
      </c>
      <c r="E12" s="363">
        <v>66.421800000000005</v>
      </c>
      <c r="F12" s="364"/>
      <c r="G12" s="364"/>
      <c r="H12" s="357"/>
      <c r="I12" s="360" t="s">
        <v>94</v>
      </c>
      <c r="J12" s="356">
        <f>IF(ISERROR(VLOOKUP(I12,Max_Load_France!$B$2:$C$102,2,FALSE)/1000),"",VLOOKUP(I12,Max_Load_France!$B$2:$C$102,2,FALSE)/1000)</f>
        <v>40</v>
      </c>
      <c r="K12" s="319"/>
      <c r="L12" s="320">
        <f t="shared" ref="L12:L35" si="0">W12/J12</f>
        <v>0.87750000000000006</v>
      </c>
      <c r="M12" s="356">
        <f>IF(VLOOKUP($I12,Max_Load_France!$B$2:$M$102,3,FALSE)="","",VLOOKUP($I12,Max_Load_France!$B$2:$M$102,3,FALSE))</f>
        <v>0</v>
      </c>
      <c r="N12" s="356">
        <f>IF(VLOOKUP($I12,Max_Load_France!$B$2:$M$102,4,FALSE)="","",VLOOKUP($I12,Max_Load_France!$B$2:$M$102,4,FALSE))</f>
        <v>0</v>
      </c>
      <c r="O12" s="356">
        <f>IF(VLOOKUP($I12,Max_Load_France!$B$2:$M$102,5,FALSE)="","",VLOOKUP($I12,Max_Load_France!$B$2:$M$102,5,FALSE))</f>
        <v>1</v>
      </c>
      <c r="P12" s="356">
        <f>IF(VLOOKUP($I12,Max_Load_France!$B$2:$M$102,6,FALSE)="","",VLOOKUP($I12,Max_Load_France!$B$2:$M$102,6,FALSE))</f>
        <v>1</v>
      </c>
      <c r="Q12" s="356">
        <f>IF(VLOOKUP($I12,Max_Load_France!$B$2:$M$102,7,FALSE)="","",VLOOKUP($I12,Max_Load_France!$B$2:$M$102,7,FALSE))</f>
        <v>1</v>
      </c>
      <c r="R12" s="356" t="str">
        <f>IF(VLOOKUP($I12,Max_Load_France!$B$2:$M$102,8,FALSE)="","",VLOOKUP($I12,Max_Load_France!$B$2:$M$102,8,FALSE))</f>
        <v/>
      </c>
      <c r="S12" s="356" t="str">
        <f>IF(VLOOKUP($I12,Max_Load_France!$B$2:$M$102,9,FALSE)="","",VLOOKUP($I12,Max_Load_France!$B$2:$M$102,9,FALSE))</f>
        <v/>
      </c>
      <c r="T12" s="356" t="str">
        <f>IF(VLOOKUP($I12,Max_Load_France!$B$2:$M$102,10,FALSE)="","",VLOOKUP($I12,Max_Load_France!$B$2:$M$102,10,FALSE))</f>
        <v/>
      </c>
      <c r="U12" s="356" t="str">
        <f>IF(VLOOKUP($I12,Max_Load_France!$B$2:$M$102,11,FALSE)="","",VLOOKUP($I12,Max_Load_France!$B$2:$M$102,11,FALSE))</f>
        <v/>
      </c>
      <c r="V12" s="357">
        <f>COUNT(M12:R12)</f>
        <v>5</v>
      </c>
      <c r="W12" s="322">
        <f>SUM($X12:$AF12)</f>
        <v>35.1</v>
      </c>
      <c r="X12" s="354">
        <v>6.7</v>
      </c>
      <c r="Y12" s="354">
        <v>9.6</v>
      </c>
      <c r="Z12" s="354">
        <v>6.4</v>
      </c>
      <c r="AA12" s="354">
        <v>6.2</v>
      </c>
      <c r="AB12" s="354">
        <v>6.2</v>
      </c>
      <c r="AC12" s="355"/>
      <c r="AD12" s="324"/>
      <c r="AE12" s="324"/>
      <c r="AF12" s="324"/>
      <c r="AG12" s="302">
        <f>IF(SUMIF($M$12:$R$12,1,$X$12:$AC$12)&gt;0,SUMIF($M$12:$R$12,1,$X$12:$AC$12),"")</f>
        <v>18.8</v>
      </c>
      <c r="AH12" s="302" t="str">
        <f>IF(SUMIF(N12:S12,2,Y12:AD12)&gt;0,SUMIF(N12:S12,2,Y12:AD12),"")</f>
        <v/>
      </c>
      <c r="AI12" s="325" t="str">
        <f>IF(SUMIF($M12:$U12,"=3",$X12:$AF12)=0,"",SUMIF($M12:$U12,"=3",$X12:$AF12))</f>
        <v/>
      </c>
      <c r="AJ12" s="325" t="str">
        <f>IF(SUMIF($M12:$U12,"=4",$X12:$AF12)=0,"",SUMIF($M12:$U12,"=4",$X12:$AF12))</f>
        <v/>
      </c>
      <c r="AK12" s="326">
        <f t="shared" ref="AK12:AK48" si="1">SUM(AL12:AR12)</f>
        <v>34.808267074413862</v>
      </c>
      <c r="AL12" s="354">
        <v>7.5233231396534137</v>
      </c>
      <c r="AM12" s="354">
        <v>9.7856778797145765</v>
      </c>
      <c r="AN12" s="354">
        <v>5.8330886850152899</v>
      </c>
      <c r="AO12" s="354">
        <v>5.8330886850152899</v>
      </c>
      <c r="AP12" s="354">
        <v>5.8330886850152899</v>
      </c>
      <c r="AQ12" s="355"/>
      <c r="AR12" s="324"/>
      <c r="AS12" s="324"/>
      <c r="AT12" s="324"/>
      <c r="AU12" s="331">
        <f>IF(SUMIF($M12:$U12,"=1",$AL12:$AT12)=0,"",SUMIF($M12:$U12,"=1",$AL12:$AT12))</f>
        <v>17.499266055045869</v>
      </c>
      <c r="AV12" s="331" t="str">
        <f>IF(SUMIF($M12:$U12,"=2",$AL12:$AT12)=0,"",SUMIF($M12:$U12,"=2",$AL12:$AT12))</f>
        <v/>
      </c>
      <c r="AW12" s="325" t="str">
        <f>IF(SUMIF($M12:$U12,"=3",$AL12:$AT12)=0,"",SUMIF($M12:$U12,"=3",$AL12:$AT12))</f>
        <v/>
      </c>
      <c r="AX12" s="325" t="str">
        <f>IF(SUMIF($M12:$U12,"=4",$AL12:$AT12)=0,"",SUMIF($M12:$U12,"=4",$AL12:$AT12))</f>
        <v/>
      </c>
      <c r="AY12" s="349">
        <f>IF(AND($BO$10="Yes",$BO12="MP"),"",IF(AK12=0,"",IF($W12/$V12&lt;$BN$6,"",IF($BN12&lt;$BN$10,IF(W12&gt;0,(AK12-W12)/W12,""),""))))</f>
        <v>-8.3114793614284602E-3</v>
      </c>
      <c r="AZ12" s="392">
        <f>IF(AND($BO$10="Yes",$BO12="MP"),"",IF(M12=0,IF(AL12&lt;$BN$7,"",IF($W12/$V12&lt;$BN$6,"",IF($BN12&lt;$BN$10,IF(X12&gt;0,(AL12-X12)/X12,""),""))),""))</f>
        <v>0.12288405069453932</v>
      </c>
      <c r="BA12" s="392">
        <f>IF(N12=0,IF(AM12&lt;$BN$7,"",IF($W12/$V12&lt;$BN$6,"",IF($BN12&lt;$BN$10,IF(Y12&gt;0,(AM12-Y12)/Y12,""),""))),"")</f>
        <v>1.9341445803601753E-2</v>
      </c>
      <c r="BB12" s="392" t="str">
        <f>IF(O12=0,IF(AN12&lt;$BN$7,"",IF($W12/$V12&lt;$BN$6,"",IF($BN12&lt;$BN$10,IF(Z12&gt;0,(AN12-Z12)/Z12,""),""))),"")</f>
        <v/>
      </c>
      <c r="BC12" s="392" t="str">
        <f>IF(P12=0,IF(AO12&lt;$BN$7,"",IF($W12/$V12&lt;$BN$6,"",IF($BN12&lt;$BN$10,IF(AA12&gt;0,(AO12-AA12)/AA12,""),""))),"")</f>
        <v/>
      </c>
      <c r="BD12" s="392" t="str">
        <f>IF(Q12=0,IF(AP12&lt;$BN$7,"",IF($W12/$V12&lt;$BN$6,"",IF($BN12&lt;$BN$10,IF(AB12&gt;0,(AP12-AB12)/AB12,""),""))),"")</f>
        <v/>
      </c>
      <c r="BE12" s="349" t="str">
        <f>IF(AND($BO$10="Yes",$BO12="MP"),"",IF(N12&gt;0,IF(AM12&lt;$BN$7,"",IF($W12/$V12&lt;$BN$6,"",IF($BN12&lt;$BN$10,IF(Y12&gt;0,(AM12-Y12)/Y12,""),""))),""))</f>
        <v/>
      </c>
      <c r="BF12" s="349">
        <f>IF(O12&gt;0,IF(AN12&lt;$BN$7,"",IF($W12/$V12&lt;$BN$6,"",IF($BN12&lt;$BN$10,IF(Z12&gt;0,(AN12-Z12)/Z12,""),""))),"")</f>
        <v>-8.8579892966361012E-2</v>
      </c>
      <c r="BG12" s="349">
        <f>IF(P12&gt;0,IF(AO12&lt;$BN$7,"",IF($W12/$V12&lt;$BN$6,"",IF($BN12&lt;$BN$10,IF(AA12&gt;0,(AO12-AA12)/AA12,""),""))),"")</f>
        <v>-5.917924435237263E-2</v>
      </c>
      <c r="BH12" s="349">
        <f>IF(Q12&gt;0,IF(AP12&lt;$BN$7,"",IF($W12/$V12&lt;$BN$6,"",IF($BN12&lt;$BN$10,IF(AB12&gt;0,(AP12-AB12)/AB12,""),""))),"")</f>
        <v>-5.917924435237263E-2</v>
      </c>
      <c r="BI12" s="349" t="str">
        <f>IF(R12&gt;0,IF(AQ12&lt;$BN$7,"",IF($W12/$V12&lt;$BN$6,"",IF($BN12&lt;$BN$10,IF(AC12&gt;0,(AQ12-AC12)/AC12,""),""))),"")</f>
        <v/>
      </c>
      <c r="BJ12" s="392">
        <f>IF(AND($BO$10="Yes",$BO12="MP"),"",IF(AG12&lt;$BN$6*COUNTIF(M12:R12,1),"",IF($BN12&lt;$BN$10,IF($BN12&lt;$BN$10,IF(AG12&lt;&gt;"",(AU12-AG12)/AG12,""),""))))</f>
        <v>-6.9187975795432552E-2</v>
      </c>
      <c r="BK12" s="392" t="str">
        <f>IF(AND($BO$10="Yes",$BO12="MP"),"",IF(AH12&lt;$BN$6*COUNTIF(M12:R12,2),"",IF($BN12&lt;$BN$10,IF(AH12&lt;&gt;"",(AV12-AH12)/AH12,""),"")))</f>
        <v/>
      </c>
      <c r="BL12" s="328" t="str">
        <f t="shared" ref="BL12:BM35" si="2">IF(AI12&lt;&gt;"",(AW12-AI12)/AI12,"")</f>
        <v/>
      </c>
      <c r="BM12" s="329" t="str">
        <f t="shared" si="2"/>
        <v/>
      </c>
      <c r="BN12" s="334">
        <v>56.133000000000003</v>
      </c>
      <c r="BO12" s="398"/>
      <c r="BP12" s="94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</row>
    <row r="13" spans="1:87" s="89" customFormat="1" ht="11.25">
      <c r="A13" s="289" t="s">
        <v>212</v>
      </c>
      <c r="B13" s="365" t="s">
        <v>247</v>
      </c>
      <c r="C13" s="366"/>
      <c r="D13" s="367">
        <v>0.38541666666666669</v>
      </c>
      <c r="E13" s="368">
        <v>77.201999999999998</v>
      </c>
      <c r="F13" s="369"/>
      <c r="G13" s="369"/>
      <c r="H13" s="359"/>
      <c r="I13" s="365" t="s">
        <v>124</v>
      </c>
      <c r="J13" s="358">
        <f>IF(ISERROR(VLOOKUP(I13,Max_Load_France!$B$2:$C$102,2,FALSE)/1000),"",VLOOKUP(I13,Max_Load_France!$B$2:$C$102,2,FALSE)/1000)</f>
        <v>40</v>
      </c>
      <c r="K13" s="296"/>
      <c r="L13" s="297">
        <f t="shared" si="0"/>
        <v>0.36249999999999999</v>
      </c>
      <c r="M13" s="358">
        <f>IF(VLOOKUP($I13,Max_Load_France!$B$2:$M$102,3,FALSE)="","",VLOOKUP($I13,Max_Load_France!$B$2:$M$102,3,FALSE))</f>
        <v>0</v>
      </c>
      <c r="N13" s="358">
        <f>IF(VLOOKUP($I13,Max_Load_France!$B$2:$M$102,4,FALSE)="","",VLOOKUP($I13,Max_Load_France!$B$2:$M$102,4,FALSE))</f>
        <v>0</v>
      </c>
      <c r="O13" s="358">
        <f>IF(VLOOKUP($I13,Max_Load_France!$B$2:$M$102,5,FALSE)="","",VLOOKUP($I13,Max_Load_France!$B$2:$M$102,5,FALSE))</f>
        <v>0</v>
      </c>
      <c r="P13" s="358">
        <f>IF(VLOOKUP($I13,Max_Load_France!$B$2:$M$102,6,FALSE)="","",VLOOKUP($I13,Max_Load_France!$B$2:$M$102,6,FALSE))</f>
        <v>1</v>
      </c>
      <c r="Q13" s="358">
        <f>IF(VLOOKUP($I13,Max_Load_France!$B$2:$M$102,7,FALSE)="","",VLOOKUP($I13,Max_Load_France!$B$2:$M$102,7,FALSE))</f>
        <v>1</v>
      </c>
      <c r="R13" s="358" t="str">
        <f>IF(VLOOKUP($I13,Max_Load_France!$B$2:$M$102,8,FALSE)="","",VLOOKUP($I13,Max_Load_France!$B$2:$M$102,8,FALSE))</f>
        <v/>
      </c>
      <c r="S13" s="358" t="str">
        <f>IF(VLOOKUP($I13,Max_Load_France!$B$2:$M$102,9,FALSE)="","",VLOOKUP($I13,Max_Load_France!$B$2:$M$102,9,FALSE))</f>
        <v/>
      </c>
      <c r="T13" s="358" t="str">
        <f>IF(VLOOKUP($I13,Max_Load_France!$B$2:$M$102,10,FALSE)="","",VLOOKUP($I13,Max_Load_France!$B$2:$M$102,10,FALSE))</f>
        <v/>
      </c>
      <c r="U13" s="358" t="str">
        <f>IF(VLOOKUP($I13,Max_Load_France!$B$2:$M$102,11,FALSE)="","",VLOOKUP($I13,Max_Load_France!$B$2:$M$102,11,FALSE))</f>
        <v/>
      </c>
      <c r="V13" s="357">
        <f t="shared" ref="V13:V48" si="3">COUNT(M13:R13)</f>
        <v>5</v>
      </c>
      <c r="W13" s="299">
        <f t="shared" ref="W13:W48" si="4">SUM($X13:$AF13)</f>
        <v>14.5</v>
      </c>
      <c r="X13" s="308">
        <v>5.6</v>
      </c>
      <c r="Y13" s="308">
        <v>3.1</v>
      </c>
      <c r="Z13" s="308">
        <v>1.9</v>
      </c>
      <c r="AA13" s="308">
        <v>2</v>
      </c>
      <c r="AB13" s="308">
        <v>1.9</v>
      </c>
      <c r="AC13" s="309"/>
      <c r="AD13" s="301"/>
      <c r="AE13" s="301"/>
      <c r="AF13" s="301"/>
      <c r="AG13" s="302">
        <f>IF(SUMIF(M13:R13,1,X13:AC13)&gt;0,SUMIF(M13:R13,1,X13:AC13),"")</f>
        <v>3.9</v>
      </c>
      <c r="AH13" s="302" t="str">
        <f t="shared" ref="AH13:AH47" si="5">IF(SUMIF(N13:S13,2,Y13:AD13)&gt;0,SUMIF(N13:S13,2,Y13:AD13),"")</f>
        <v/>
      </c>
      <c r="AI13" s="302" t="str">
        <f t="shared" ref="AI13:AI40" si="6">IF(SUMIF($M13:$U13,"=3",$X13:$AF13)=0,"",SUMIF($M13:$U13,"=3",$X13:$AF13))</f>
        <v/>
      </c>
      <c r="AJ13" s="302" t="str">
        <f t="shared" ref="AJ13:AJ40" si="7">IF(SUMIF($M13:$U13,"=4",$X13:$AF13)=0,"",SUMIF($M13:$U13,"=4",$X13:$AF13))</f>
        <v/>
      </c>
      <c r="AK13" s="326">
        <f t="shared" si="1"/>
        <v>14.225912334352699</v>
      </c>
      <c r="AL13" s="354">
        <v>5.5598063200815488</v>
      </c>
      <c r="AM13" s="354">
        <v>3.0438532110091741</v>
      </c>
      <c r="AN13" s="308">
        <v>2.1941692150866459</v>
      </c>
      <c r="AO13" s="308">
        <v>2.1941692150866459</v>
      </c>
      <c r="AP13" s="308">
        <v>1.2339143730886848</v>
      </c>
      <c r="AQ13" s="309"/>
      <c r="AR13" s="301"/>
      <c r="AS13" s="301"/>
      <c r="AT13" s="301"/>
      <c r="AU13" s="331">
        <f t="shared" ref="AU13:AU48" si="8">IF(SUMIF($M13:$U13,"=1",$AL13:$AT13)=0,"",SUMIF($M13:$U13,"=1",$AL13:$AT13))</f>
        <v>3.4280835881753307</v>
      </c>
      <c r="AV13" s="331" t="str">
        <f t="shared" ref="AV13:AV48" si="9">IF(SUMIF($M13:$U13,"=2",$AL13:$AT13)=0,"",SUMIF($M13:$U13,"=2",$AL13:$AT13))</f>
        <v/>
      </c>
      <c r="AW13" s="302" t="str">
        <f t="shared" ref="AW13:AW24" si="10">IF(SUMIF($M13:$U13,"=3",$AL13:$AT13)=0,"",SUMIF($M13:$U13,"=3",$AL13:$AT13))</f>
        <v/>
      </c>
      <c r="AX13" s="302" t="str">
        <f t="shared" ref="AX13:AX24" si="11">IF(SUMIF($M13:$U13,"=4",$AL13:$AT13)=0,"",SUMIF($M13:$U13,"=4",$AL13:$AT13))</f>
        <v/>
      </c>
      <c r="AY13" s="349" t="str">
        <f t="shared" ref="AY13:AY18" si="12">IF(AND($BO$10="Yes",$BO13="MP"),"",IF(AK13=0,"",IF($W13/$V13&lt;$BN$6,"",IF($BN13&lt;$BN$10,IF(W13&gt;0,(AK13-W13)/W13,""),""))))</f>
        <v/>
      </c>
      <c r="AZ13" s="392" t="str">
        <f t="shared" ref="AZ13:AZ18" si="13">IF(AND($BO$10="Yes",$BO13="MP"),"",IF(M13=0,IF(AL13&lt;$BN$7,"",IF($W13/$V13&lt;$BN$6,"",IF($BN13&lt;$BN$10,IF(X13&gt;0,(AL13-X13)/X13,""),""))),""))</f>
        <v/>
      </c>
      <c r="BA13" s="392" t="str">
        <f t="shared" ref="BA13:BD18" si="14">IF(N13=0,IF(AM13&lt;$BN$7,"",IF($W13/$V13&lt;$BN$6,"",IF($BN13&lt;$BN$10,IF(Y13&gt;0,(AM13-Y13)/Y13,""),""))),"")</f>
        <v/>
      </c>
      <c r="BB13" s="392" t="str">
        <f t="shared" si="14"/>
        <v/>
      </c>
      <c r="BC13" s="392" t="str">
        <f t="shared" si="14"/>
        <v/>
      </c>
      <c r="BD13" s="392" t="str">
        <f t="shared" si="14"/>
        <v/>
      </c>
      <c r="BE13" s="349" t="str">
        <f t="shared" ref="BE13:BE18" si="15">IF(AND($BO$10="Yes",$BO13="MP"),"",IF(N13&gt;0,IF(AM13&lt;$BN$7,"",IF($W13/$V13&lt;$BN$6,"",IF($BN13&lt;$BN$10,IF(Y13&gt;0,(AM13-Y13)/Y13,""),""))),""))</f>
        <v/>
      </c>
      <c r="BF13" s="349" t="str">
        <f t="shared" ref="BF13:BI18" si="16">IF(O13&gt;0,IF(AN13&lt;$BN$7,"",IF($W13/$V13&lt;$BN$6,"",IF($BN13&lt;$BN$10,IF(Z13&gt;0,(AN13-Z13)/Z13,""),""))),"")</f>
        <v/>
      </c>
      <c r="BG13" s="349" t="str">
        <f t="shared" si="16"/>
        <v/>
      </c>
      <c r="BH13" s="349" t="str">
        <f t="shared" si="16"/>
        <v/>
      </c>
      <c r="BI13" s="349" t="str">
        <f t="shared" si="16"/>
        <v/>
      </c>
      <c r="BJ13" s="392" t="str">
        <f t="shared" ref="BJ13:BJ18" si="17">IF(AND($BO$10="Yes",$BO13="MP"),"",IF(AG13&lt;$BN$6*COUNTIF(M13:R13,1),"",IF($BN13&lt;$BN$10,IF($BN13&lt;$BN$10,IF(AG13&lt;&gt;"",(AU13-AG13)/AG13,""),""))))</f>
        <v/>
      </c>
      <c r="BK13" s="392" t="str">
        <f t="shared" ref="BK13:BK18" si="18">IF(AND($BO$10="Yes",$BO13="MP"),"",IF(AH13&lt;$BN$6*COUNTIF(M13:R13,2),"",IF($BN13&lt;$BN$10,IF(AH13&lt;&gt;"",(AV13-AH13)/AH13,""),"")))</f>
        <v/>
      </c>
      <c r="BL13" s="288" t="str">
        <f t="shared" si="2"/>
        <v/>
      </c>
      <c r="BM13" s="136" t="str">
        <f t="shared" si="2"/>
        <v/>
      </c>
      <c r="BN13" s="334">
        <v>0.25402999999999998</v>
      </c>
      <c r="BO13" s="398"/>
      <c r="BP13" s="94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</row>
    <row r="14" spans="1:87" s="89" customFormat="1" ht="11.25">
      <c r="A14" s="397" t="s">
        <v>213</v>
      </c>
      <c r="B14" s="365" t="s">
        <v>248</v>
      </c>
      <c r="C14" s="366"/>
      <c r="D14" s="367">
        <v>0.38958333333333334</v>
      </c>
      <c r="E14" s="368">
        <v>54.816480000000006</v>
      </c>
      <c r="F14" s="369"/>
      <c r="G14" s="369"/>
      <c r="H14" s="359"/>
      <c r="I14" s="365" t="s">
        <v>94</v>
      </c>
      <c r="J14" s="358">
        <f>IF(ISERROR(VLOOKUP(I14,Max_Load_France!$B$2:$C$102,2,FALSE)/1000),"",VLOOKUP(I14,Max_Load_France!$B$2:$C$102,2,FALSE)/1000)</f>
        <v>40</v>
      </c>
      <c r="K14" s="296"/>
      <c r="L14" s="297">
        <f t="shared" si="0"/>
        <v>1.05</v>
      </c>
      <c r="M14" s="358">
        <f>IF(VLOOKUP($I14,Max_Load_France!$B$2:$M$102,3,FALSE)="","",VLOOKUP($I14,Max_Load_France!$B$2:$M$102,3,FALSE))</f>
        <v>0</v>
      </c>
      <c r="N14" s="358">
        <f>IF(VLOOKUP($I14,Max_Load_France!$B$2:$M$102,4,FALSE)="","",VLOOKUP($I14,Max_Load_France!$B$2:$M$102,4,FALSE))</f>
        <v>0</v>
      </c>
      <c r="O14" s="358">
        <f>IF(VLOOKUP($I14,Max_Load_France!$B$2:$M$102,5,FALSE)="","",VLOOKUP($I14,Max_Load_France!$B$2:$M$102,5,FALSE))</f>
        <v>1</v>
      </c>
      <c r="P14" s="358">
        <f>IF(VLOOKUP($I14,Max_Load_France!$B$2:$M$102,6,FALSE)="","",VLOOKUP($I14,Max_Load_France!$B$2:$M$102,6,FALSE))</f>
        <v>1</v>
      </c>
      <c r="Q14" s="358">
        <f>IF(VLOOKUP($I14,Max_Load_France!$B$2:$M$102,7,FALSE)="","",VLOOKUP($I14,Max_Load_France!$B$2:$M$102,7,FALSE))</f>
        <v>1</v>
      </c>
      <c r="R14" s="358" t="str">
        <f>IF(VLOOKUP($I14,Max_Load_France!$B$2:$M$102,8,FALSE)="","",VLOOKUP($I14,Max_Load_France!$B$2:$M$102,8,FALSE))</f>
        <v/>
      </c>
      <c r="S14" s="358" t="str">
        <f>IF(VLOOKUP($I14,Max_Load_France!$B$2:$M$102,9,FALSE)="","",VLOOKUP($I14,Max_Load_France!$B$2:$M$102,9,FALSE))</f>
        <v/>
      </c>
      <c r="T14" s="358" t="str">
        <f>IF(VLOOKUP($I14,Max_Load_France!$B$2:$M$102,10,FALSE)="","",VLOOKUP($I14,Max_Load_France!$B$2:$M$102,10,FALSE))</f>
        <v/>
      </c>
      <c r="U14" s="358" t="str">
        <f>IF(VLOOKUP($I14,Max_Load_France!$B$2:$M$102,11,FALSE)="","",VLOOKUP($I14,Max_Load_France!$B$2:$M$102,11,FALSE))</f>
        <v/>
      </c>
      <c r="V14" s="357">
        <f t="shared" si="3"/>
        <v>5</v>
      </c>
      <c r="W14" s="299">
        <f t="shared" si="4"/>
        <v>42</v>
      </c>
      <c r="X14" s="308">
        <v>7.5</v>
      </c>
      <c r="Y14" s="308">
        <v>13.8</v>
      </c>
      <c r="Z14" s="308">
        <v>7</v>
      </c>
      <c r="AA14" s="308">
        <v>6.9</v>
      </c>
      <c r="AB14" s="308">
        <v>6.8</v>
      </c>
      <c r="AC14" s="309"/>
      <c r="AD14" s="301"/>
      <c r="AE14" s="301"/>
      <c r="AF14" s="301"/>
      <c r="AG14" s="302">
        <f>IF(SUMIF(M14:R14,1,X14:AC14)&gt;0,SUMIF(M14:R14,1,X14:AC14),"")</f>
        <v>20.7</v>
      </c>
      <c r="AH14" s="302" t="str">
        <f t="shared" si="5"/>
        <v/>
      </c>
      <c r="AI14" s="302" t="str">
        <f t="shared" si="6"/>
        <v/>
      </c>
      <c r="AJ14" s="302" t="str">
        <f t="shared" si="7"/>
        <v/>
      </c>
      <c r="AK14" s="326">
        <f t="shared" si="1"/>
        <v>40.78450560652395</v>
      </c>
      <c r="AL14" s="354">
        <v>6.6137003058103963</v>
      </c>
      <c r="AM14" s="354">
        <v>14.072273190621814</v>
      </c>
      <c r="AN14" s="308">
        <v>6.6995107033639139</v>
      </c>
      <c r="AO14" s="308">
        <v>6.6995107033639139</v>
      </c>
      <c r="AP14" s="308">
        <v>6.6995107033639139</v>
      </c>
      <c r="AQ14" s="309"/>
      <c r="AR14" s="301"/>
      <c r="AS14" s="301"/>
      <c r="AT14" s="301"/>
      <c r="AU14" s="331">
        <f t="shared" si="8"/>
        <v>20.098532110091742</v>
      </c>
      <c r="AV14" s="331" t="str">
        <f t="shared" si="9"/>
        <v/>
      </c>
      <c r="AW14" s="302" t="str">
        <f t="shared" si="10"/>
        <v/>
      </c>
      <c r="AX14" s="302" t="str">
        <f t="shared" si="11"/>
        <v/>
      </c>
      <c r="AY14" s="349">
        <f t="shared" si="12"/>
        <v>-2.8940342701810704E-2</v>
      </c>
      <c r="AZ14" s="392">
        <f t="shared" si="13"/>
        <v>-0.11817329255861383</v>
      </c>
      <c r="BA14" s="392">
        <f t="shared" si="14"/>
        <v>1.9729941349406786E-2</v>
      </c>
      <c r="BB14" s="392" t="str">
        <f t="shared" si="14"/>
        <v/>
      </c>
      <c r="BC14" s="392" t="str">
        <f t="shared" si="14"/>
        <v/>
      </c>
      <c r="BD14" s="392" t="str">
        <f t="shared" si="14"/>
        <v/>
      </c>
      <c r="BE14" s="349" t="str">
        <f t="shared" si="15"/>
        <v/>
      </c>
      <c r="BF14" s="349">
        <f t="shared" si="16"/>
        <v>-4.2927042376583735E-2</v>
      </c>
      <c r="BG14" s="349">
        <f t="shared" si="16"/>
        <v>-2.9056419802331375E-2</v>
      </c>
      <c r="BH14" s="349">
        <f t="shared" si="16"/>
        <v>-1.4777837740600878E-2</v>
      </c>
      <c r="BI14" s="349" t="str">
        <f t="shared" si="16"/>
        <v/>
      </c>
      <c r="BJ14" s="392">
        <f t="shared" si="17"/>
        <v>-2.905641980233125E-2</v>
      </c>
      <c r="BK14" s="392" t="str">
        <f t="shared" si="18"/>
        <v/>
      </c>
      <c r="BL14" s="288" t="str">
        <f t="shared" si="2"/>
        <v/>
      </c>
      <c r="BM14" s="136" t="str">
        <f t="shared" si="2"/>
        <v/>
      </c>
      <c r="BN14" s="334">
        <v>49.613</v>
      </c>
      <c r="BO14" s="398"/>
      <c r="BP14" s="94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76"/>
    </row>
    <row r="15" spans="1:87" s="89" customFormat="1" ht="11.25">
      <c r="A15" s="359" t="s">
        <v>214</v>
      </c>
      <c r="B15" s="358" t="s">
        <v>250</v>
      </c>
      <c r="C15" s="358"/>
      <c r="D15" s="367">
        <v>0.39374999999999999</v>
      </c>
      <c r="E15" s="368">
        <v>60.186239999999998</v>
      </c>
      <c r="F15" s="369"/>
      <c r="G15" s="369"/>
      <c r="H15" s="359"/>
      <c r="I15" s="365" t="s">
        <v>129</v>
      </c>
      <c r="J15" s="358">
        <f>IF(ISERROR(VLOOKUP(I15,Max_Load_France!$B$2:$C$102,2,FALSE)/1000),"",VLOOKUP(I15,Max_Load_France!$B$2:$C$102,2,FALSE)/1000)</f>
        <v>40</v>
      </c>
      <c r="K15" s="296"/>
      <c r="L15" s="297">
        <f t="shared" si="0"/>
        <v>0.72250000000000003</v>
      </c>
      <c r="M15" s="358">
        <f>IF(VLOOKUP($I15,Max_Load_France!$B$2:$M$102,3,FALSE)="","",VLOOKUP($I15,Max_Load_France!$B$2:$M$102,3,FALSE))</f>
        <v>0</v>
      </c>
      <c r="N15" s="358">
        <f>IF(VLOOKUP($I15,Max_Load_France!$B$2:$M$102,4,FALSE)="","",VLOOKUP($I15,Max_Load_France!$B$2:$M$102,4,FALSE))</f>
        <v>1</v>
      </c>
      <c r="O15" s="358">
        <f>IF(VLOOKUP($I15,Max_Load_France!$B$2:$M$102,5,FALSE)="","",VLOOKUP($I15,Max_Load_France!$B$2:$M$102,5,FALSE))</f>
        <v>1</v>
      </c>
      <c r="P15" s="358">
        <f>IF(VLOOKUP($I15,Max_Load_France!$B$2:$M$102,6,FALSE)="","",VLOOKUP($I15,Max_Load_France!$B$2:$M$102,6,FALSE))</f>
        <v>2</v>
      </c>
      <c r="Q15" s="358">
        <f>IF(VLOOKUP($I15,Max_Load_France!$B$2:$M$102,7,FALSE)="","",VLOOKUP($I15,Max_Load_France!$B$2:$M$102,7,FALSE))</f>
        <v>2</v>
      </c>
      <c r="R15" s="358" t="str">
        <f>IF(VLOOKUP($I15,Max_Load_France!$B$2:$M$102,8,FALSE)="","",VLOOKUP($I15,Max_Load_France!$B$2:$M$102,8,FALSE))</f>
        <v/>
      </c>
      <c r="S15" s="358" t="str">
        <f>IF(VLOOKUP($I15,Max_Load_France!$B$2:$M$102,9,FALSE)="","",VLOOKUP($I15,Max_Load_France!$B$2:$M$102,9,FALSE))</f>
        <v/>
      </c>
      <c r="T15" s="358" t="str">
        <f>IF(VLOOKUP($I15,Max_Load_France!$B$2:$M$102,10,FALSE)="","",VLOOKUP($I15,Max_Load_France!$B$2:$M$102,10,FALSE))</f>
        <v/>
      </c>
      <c r="U15" s="358" t="str">
        <f>IF(VLOOKUP($I15,Max_Load_France!$B$2:$M$102,11,FALSE)="","",VLOOKUP($I15,Max_Load_France!$B$2:$M$102,11,FALSE))</f>
        <v/>
      </c>
      <c r="V15" s="357">
        <f t="shared" si="3"/>
        <v>5</v>
      </c>
      <c r="W15" s="299">
        <f t="shared" si="4"/>
        <v>28.900000000000002</v>
      </c>
      <c r="X15" s="308">
        <v>6</v>
      </c>
      <c r="Y15" s="308">
        <v>8.1999999999999993</v>
      </c>
      <c r="Z15" s="308">
        <v>4.9000000000000004</v>
      </c>
      <c r="AA15" s="308">
        <v>4.8</v>
      </c>
      <c r="AB15" s="308">
        <v>5</v>
      </c>
      <c r="AC15" s="309"/>
      <c r="AD15" s="301"/>
      <c r="AE15" s="301"/>
      <c r="AF15" s="301"/>
      <c r="AG15" s="302">
        <f>IF(SUMIF(M15:R15,1,X15:AC15)&gt;0,SUMIF(M15:R15,1,X15:AC15),"")</f>
        <v>13.1</v>
      </c>
      <c r="AH15" s="302">
        <f t="shared" si="5"/>
        <v>9.8000000000000007</v>
      </c>
      <c r="AI15" s="302" t="str">
        <f t="shared" si="6"/>
        <v/>
      </c>
      <c r="AJ15" s="302" t="str">
        <f t="shared" si="7"/>
        <v/>
      </c>
      <c r="AK15" s="326">
        <f t="shared" si="1"/>
        <v>29.029388379204896</v>
      </c>
      <c r="AL15" s="354">
        <v>6.1569826707441377</v>
      </c>
      <c r="AM15" s="354">
        <v>8.6355249745157998</v>
      </c>
      <c r="AN15" s="308">
        <v>4.7456269113149849</v>
      </c>
      <c r="AO15" s="308">
        <v>4.7456269113149849</v>
      </c>
      <c r="AP15" s="308">
        <v>4.7456269113149849</v>
      </c>
      <c r="AQ15" s="309"/>
      <c r="AR15" s="301"/>
      <c r="AS15" s="301"/>
      <c r="AT15" s="301"/>
      <c r="AU15" s="331">
        <f t="shared" si="8"/>
        <v>13.381151885830786</v>
      </c>
      <c r="AV15" s="331">
        <f t="shared" si="9"/>
        <v>9.4912538226299699</v>
      </c>
      <c r="AW15" s="302" t="str">
        <f t="shared" si="10"/>
        <v/>
      </c>
      <c r="AX15" s="302" t="str">
        <f t="shared" si="11"/>
        <v/>
      </c>
      <c r="AY15" s="349">
        <f t="shared" si="12"/>
        <v>4.4771065468821366E-3</v>
      </c>
      <c r="AZ15" s="392">
        <f t="shared" si="13"/>
        <v>2.616377845735629E-2</v>
      </c>
      <c r="BA15" s="392" t="str">
        <f t="shared" si="14"/>
        <v/>
      </c>
      <c r="BB15" s="392" t="str">
        <f t="shared" si="14"/>
        <v/>
      </c>
      <c r="BC15" s="392" t="str">
        <f t="shared" si="14"/>
        <v/>
      </c>
      <c r="BD15" s="392" t="str">
        <f t="shared" si="14"/>
        <v/>
      </c>
      <c r="BE15" s="349">
        <f t="shared" si="15"/>
        <v>5.3112801770219584E-2</v>
      </c>
      <c r="BF15" s="349">
        <f t="shared" si="16"/>
        <v>-3.1504711976533761E-2</v>
      </c>
      <c r="BG15" s="349">
        <f t="shared" si="16"/>
        <v>-1.1327726809378103E-2</v>
      </c>
      <c r="BH15" s="349">
        <f t="shared" si="16"/>
        <v>-5.0874617737003011E-2</v>
      </c>
      <c r="BI15" s="349" t="str">
        <f t="shared" si="16"/>
        <v/>
      </c>
      <c r="BJ15" s="392">
        <f t="shared" si="17"/>
        <v>2.1461976017617252E-2</v>
      </c>
      <c r="BK15" s="392">
        <f t="shared" si="18"/>
        <v>-3.1504711976533761E-2</v>
      </c>
      <c r="BL15" s="288" t="str">
        <f t="shared" si="2"/>
        <v/>
      </c>
      <c r="BM15" s="136" t="str">
        <f t="shared" si="2"/>
        <v/>
      </c>
      <c r="BN15" s="334">
        <v>63.449800000000003</v>
      </c>
      <c r="BO15" s="398"/>
      <c r="BP15" s="94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</row>
    <row r="16" spans="1:87" s="89" customFormat="1" ht="11.25">
      <c r="A16" s="359" t="s">
        <v>215</v>
      </c>
      <c r="B16" s="365" t="s">
        <v>249</v>
      </c>
      <c r="C16" s="366"/>
      <c r="D16" s="367">
        <v>0.39652777777777781</v>
      </c>
      <c r="E16" s="368">
        <v>58.747320000000002</v>
      </c>
      <c r="F16" s="369"/>
      <c r="G16" s="369"/>
      <c r="H16" s="359"/>
      <c r="I16" s="365" t="s">
        <v>94</v>
      </c>
      <c r="J16" s="358">
        <f>IF(ISERROR(VLOOKUP(I16,Max_Load_France!$B$2:$C$102,2,FALSE)/1000),"",VLOOKUP(I16,Max_Load_France!$B$2:$C$102,2,FALSE)/1000)</f>
        <v>40</v>
      </c>
      <c r="K16" s="296"/>
      <c r="L16" s="297">
        <f t="shared" si="0"/>
        <v>0.36499999999999994</v>
      </c>
      <c r="M16" s="358">
        <f>IF(VLOOKUP($I16,Max_Load_France!$B$2:$M$102,3,FALSE)="","",VLOOKUP($I16,Max_Load_France!$B$2:$M$102,3,FALSE))</f>
        <v>0</v>
      </c>
      <c r="N16" s="358">
        <f>IF(VLOOKUP($I16,Max_Load_France!$B$2:$M$102,4,FALSE)="","",VLOOKUP($I16,Max_Load_France!$B$2:$M$102,4,FALSE))</f>
        <v>0</v>
      </c>
      <c r="O16" s="358">
        <f>IF(VLOOKUP($I16,Max_Load_France!$B$2:$M$102,5,FALSE)="","",VLOOKUP($I16,Max_Load_France!$B$2:$M$102,5,FALSE))</f>
        <v>1</v>
      </c>
      <c r="P16" s="358">
        <f>IF(VLOOKUP($I16,Max_Load_France!$B$2:$M$102,6,FALSE)="","",VLOOKUP($I16,Max_Load_France!$B$2:$M$102,6,FALSE))</f>
        <v>1</v>
      </c>
      <c r="Q16" s="358">
        <f>IF(VLOOKUP($I16,Max_Load_France!$B$2:$M$102,7,FALSE)="","",VLOOKUP($I16,Max_Load_France!$B$2:$M$102,7,FALSE))</f>
        <v>1</v>
      </c>
      <c r="R16" s="358" t="str">
        <f>IF(VLOOKUP($I16,Max_Load_France!$B$2:$M$102,8,FALSE)="","",VLOOKUP($I16,Max_Load_France!$B$2:$M$102,8,FALSE))</f>
        <v/>
      </c>
      <c r="S16" s="358" t="str">
        <f>IF(VLOOKUP($I16,Max_Load_France!$B$2:$M$102,9,FALSE)="","",VLOOKUP($I16,Max_Load_France!$B$2:$M$102,9,FALSE))</f>
        <v/>
      </c>
      <c r="T16" s="358" t="str">
        <f>IF(VLOOKUP($I16,Max_Load_France!$B$2:$M$102,10,FALSE)="","",VLOOKUP($I16,Max_Load_France!$B$2:$M$102,10,FALSE))</f>
        <v/>
      </c>
      <c r="U16" s="358" t="str">
        <f>IF(VLOOKUP($I16,Max_Load_France!$B$2:$M$102,11,FALSE)="","",VLOOKUP($I16,Max_Load_France!$B$2:$M$102,11,FALSE))</f>
        <v/>
      </c>
      <c r="V16" s="357">
        <f t="shared" si="3"/>
        <v>5</v>
      </c>
      <c r="W16" s="299">
        <f t="shared" si="4"/>
        <v>14.599999999999998</v>
      </c>
      <c r="X16" s="308">
        <v>4.5999999999999996</v>
      </c>
      <c r="Y16" s="308">
        <v>3.8</v>
      </c>
      <c r="Z16" s="308">
        <v>2.1</v>
      </c>
      <c r="AA16" s="308">
        <v>2.1</v>
      </c>
      <c r="AB16" s="308">
        <v>2</v>
      </c>
      <c r="AC16" s="309"/>
      <c r="AD16" s="301"/>
      <c r="AE16" s="301"/>
      <c r="AF16" s="301"/>
      <c r="AG16" s="302">
        <f>IF(SUMIF(M16:R16,1,X16:AC16)&gt;0,SUMIF(M16:R16,1,X16:AC16),"")</f>
        <v>6.2</v>
      </c>
      <c r="AH16" s="302" t="str">
        <f t="shared" si="5"/>
        <v/>
      </c>
      <c r="AI16" s="302" t="str">
        <f t="shared" si="6"/>
        <v/>
      </c>
      <c r="AJ16" s="302" t="str">
        <f t="shared" si="7"/>
        <v/>
      </c>
      <c r="AK16" s="326">
        <f t="shared" si="1"/>
        <v>16.099571865443426</v>
      </c>
      <c r="AL16" s="354">
        <v>6.4931090723751277</v>
      </c>
      <c r="AM16" s="354">
        <v>3.4401630988786946</v>
      </c>
      <c r="AN16" s="308">
        <v>2.0554332313965338</v>
      </c>
      <c r="AO16" s="308">
        <v>2.0554332313965338</v>
      </c>
      <c r="AP16" s="308">
        <v>2.0554332313965338</v>
      </c>
      <c r="AQ16" s="309"/>
      <c r="AR16" s="301"/>
      <c r="AS16" s="301"/>
      <c r="AT16" s="301"/>
      <c r="AU16" s="331">
        <f t="shared" si="8"/>
        <v>6.1662996941896013</v>
      </c>
      <c r="AV16" s="331" t="str">
        <f t="shared" si="9"/>
        <v/>
      </c>
      <c r="AW16" s="302" t="str">
        <f t="shared" si="10"/>
        <v/>
      </c>
      <c r="AX16" s="302" t="str">
        <f t="shared" si="11"/>
        <v/>
      </c>
      <c r="AY16" s="349" t="str">
        <f t="shared" si="12"/>
        <v/>
      </c>
      <c r="AZ16" s="392" t="str">
        <f t="shared" si="13"/>
        <v/>
      </c>
      <c r="BA16" s="392" t="str">
        <f t="shared" si="14"/>
        <v/>
      </c>
      <c r="BB16" s="392" t="str">
        <f t="shared" si="14"/>
        <v/>
      </c>
      <c r="BC16" s="392" t="str">
        <f t="shared" si="14"/>
        <v/>
      </c>
      <c r="BD16" s="392" t="str">
        <f t="shared" si="14"/>
        <v/>
      </c>
      <c r="BE16" s="349" t="str">
        <f t="shared" si="15"/>
        <v/>
      </c>
      <c r="BF16" s="349" t="str">
        <f t="shared" si="16"/>
        <v/>
      </c>
      <c r="BG16" s="349" t="str">
        <f t="shared" si="16"/>
        <v/>
      </c>
      <c r="BH16" s="349" t="str">
        <f t="shared" si="16"/>
        <v/>
      </c>
      <c r="BI16" s="349" t="str">
        <f t="shared" si="16"/>
        <v/>
      </c>
      <c r="BJ16" s="392" t="str">
        <f t="shared" si="17"/>
        <v/>
      </c>
      <c r="BK16" s="392" t="str">
        <f t="shared" si="18"/>
        <v/>
      </c>
      <c r="BL16" s="288" t="str">
        <f t="shared" si="2"/>
        <v/>
      </c>
      <c r="BM16" s="136" t="str">
        <f t="shared" si="2"/>
        <v/>
      </c>
      <c r="BN16" s="334">
        <v>10.242100000000001</v>
      </c>
      <c r="BO16" s="398"/>
      <c r="BP16" s="94"/>
      <c r="BQ16" s="76"/>
      <c r="BR16" s="76"/>
      <c r="BS16" s="76"/>
      <c r="BT16" s="70"/>
      <c r="BU16" s="76"/>
      <c r="BV16" s="76"/>
      <c r="BW16" s="76"/>
      <c r="BX16" s="76"/>
      <c r="BY16" s="76"/>
      <c r="BZ16" s="76"/>
      <c r="CA16" s="76"/>
    </row>
    <row r="17" spans="1:79" s="89" customFormat="1" ht="11.25">
      <c r="A17" s="359" t="s">
        <v>216</v>
      </c>
      <c r="B17" s="365" t="s">
        <v>251</v>
      </c>
      <c r="C17" s="366"/>
      <c r="D17" s="367">
        <v>0.39999999999999997</v>
      </c>
      <c r="E17" s="368">
        <v>61.18524</v>
      </c>
      <c r="F17" s="369"/>
      <c r="G17" s="369"/>
      <c r="H17" s="359"/>
      <c r="I17" s="365" t="s">
        <v>139</v>
      </c>
      <c r="J17" s="358">
        <f>IF(ISERROR(VLOOKUP(I17,Max_Load_France!$B$2:$C$102,2,FALSE)/1000),"",VLOOKUP(I17,Max_Load_France!$B$2:$C$102,2,FALSE)/1000)</f>
        <v>40</v>
      </c>
      <c r="K17" s="296"/>
      <c r="L17" s="297">
        <f t="shared" si="0"/>
        <v>1.0074999999999998</v>
      </c>
      <c r="M17" s="358">
        <f>IF(VLOOKUP($I17,Max_Load_France!$B$2:$M$102,3,FALSE)="","",VLOOKUP($I17,Max_Load_France!$B$2:$M$102,3,FALSE))</f>
        <v>0</v>
      </c>
      <c r="N17" s="358">
        <f>IF(VLOOKUP($I17,Max_Load_France!$B$2:$M$102,4,FALSE)="","",VLOOKUP($I17,Max_Load_France!$B$2:$M$102,4,FALSE))</f>
        <v>1</v>
      </c>
      <c r="O17" s="358">
        <f>IF(VLOOKUP($I17,Max_Load_France!$B$2:$M$102,5,FALSE)="","",VLOOKUP($I17,Max_Load_France!$B$2:$M$102,5,FALSE))</f>
        <v>1</v>
      </c>
      <c r="P17" s="358">
        <f>IF(VLOOKUP($I17,Max_Load_France!$B$2:$M$102,6,FALSE)="","",VLOOKUP($I17,Max_Load_France!$B$2:$M$102,6,FALSE))</f>
        <v>0</v>
      </c>
      <c r="Q17" s="358">
        <f>IF(VLOOKUP($I17,Max_Load_France!$B$2:$M$102,7,FALSE)="","",VLOOKUP($I17,Max_Load_France!$B$2:$M$102,7,FALSE))</f>
        <v>2</v>
      </c>
      <c r="R17" s="358">
        <f>IF(VLOOKUP($I17,Max_Load_France!$B$2:$M$102,8,FALSE)="","",VLOOKUP($I17,Max_Load_France!$B$2:$M$102,8,FALSE))</f>
        <v>2</v>
      </c>
      <c r="S17" s="358" t="str">
        <f>IF(VLOOKUP($I17,Max_Load_France!$B$2:$M$102,9,FALSE)="","",VLOOKUP($I17,Max_Load_France!$B$2:$M$102,9,FALSE))</f>
        <v/>
      </c>
      <c r="T17" s="358" t="str">
        <f>IF(VLOOKUP($I17,Max_Load_France!$B$2:$M$102,10,FALSE)="","",VLOOKUP($I17,Max_Load_France!$B$2:$M$102,10,FALSE))</f>
        <v/>
      </c>
      <c r="U17" s="358" t="str">
        <f>IF(VLOOKUP($I17,Max_Load_France!$B$2:$M$102,11,FALSE)="","",VLOOKUP($I17,Max_Load_France!$B$2:$M$102,11,FALSE))</f>
        <v/>
      </c>
      <c r="V17" s="357">
        <f t="shared" si="3"/>
        <v>6</v>
      </c>
      <c r="W17" s="299">
        <f t="shared" si="4"/>
        <v>40.299999999999997</v>
      </c>
      <c r="X17" s="308">
        <v>7</v>
      </c>
      <c r="Y17" s="308">
        <v>12.6</v>
      </c>
      <c r="Z17" s="308">
        <v>7</v>
      </c>
      <c r="AA17" s="308">
        <v>6.9</v>
      </c>
      <c r="AB17" s="308">
        <v>3</v>
      </c>
      <c r="AC17" s="309">
        <v>3.8</v>
      </c>
      <c r="AD17" s="301"/>
      <c r="AE17" s="301"/>
      <c r="AF17" s="301"/>
      <c r="AG17" s="302">
        <f>IF(SUMIF(M17:R17,1,X17:AC17)&gt;0,SUMIF(M17:R17,1,X17:AC17),"")</f>
        <v>19.600000000000001</v>
      </c>
      <c r="AH17" s="302">
        <f t="shared" si="5"/>
        <v>6.8</v>
      </c>
      <c r="AI17" s="302" t="str">
        <f t="shared" si="6"/>
        <v/>
      </c>
      <c r="AJ17" s="302" t="str">
        <f t="shared" si="7"/>
        <v/>
      </c>
      <c r="AK17" s="326">
        <f t="shared" si="1"/>
        <v>37.66996941896025</v>
      </c>
      <c r="AL17" s="354">
        <v>5.717268093781855</v>
      </c>
      <c r="AM17" s="354">
        <v>13.580020387359836</v>
      </c>
      <c r="AN17" s="308">
        <v>6.6271967380224259</v>
      </c>
      <c r="AO17" s="308">
        <v>6.6271967380224259</v>
      </c>
      <c r="AP17" s="308">
        <v>2.5591437308868499</v>
      </c>
      <c r="AQ17" s="309">
        <v>2.5591437308868499</v>
      </c>
      <c r="AR17" s="301"/>
      <c r="AS17" s="301"/>
      <c r="AT17" s="301"/>
      <c r="AU17" s="331">
        <f t="shared" si="8"/>
        <v>20.207217125382261</v>
      </c>
      <c r="AV17" s="331">
        <f t="shared" si="9"/>
        <v>5.1182874617736998</v>
      </c>
      <c r="AW17" s="302" t="str">
        <f t="shared" si="10"/>
        <v/>
      </c>
      <c r="AX17" s="302" t="str">
        <f t="shared" si="11"/>
        <v/>
      </c>
      <c r="AY17" s="349">
        <f t="shared" si="12"/>
        <v>-6.5261304740440396E-2</v>
      </c>
      <c r="AZ17" s="392">
        <f t="shared" si="13"/>
        <v>-0.18324741517402071</v>
      </c>
      <c r="BA17" s="392" t="str">
        <f t="shared" si="14"/>
        <v/>
      </c>
      <c r="BB17" s="392" t="str">
        <f t="shared" si="14"/>
        <v/>
      </c>
      <c r="BC17" s="392">
        <f t="shared" si="14"/>
        <v>-3.9536704634431076E-2</v>
      </c>
      <c r="BD17" s="392" t="str">
        <f t="shared" si="14"/>
        <v/>
      </c>
      <c r="BE17" s="349">
        <f t="shared" si="15"/>
        <v>7.7779395822209232E-2</v>
      </c>
      <c r="BF17" s="349">
        <f t="shared" si="16"/>
        <v>-5.3257608853939153E-2</v>
      </c>
      <c r="BG17" s="349" t="str">
        <f t="shared" si="16"/>
        <v/>
      </c>
      <c r="BH17" s="349" t="str">
        <f t="shared" si="16"/>
        <v/>
      </c>
      <c r="BI17" s="349" t="str">
        <f t="shared" si="16"/>
        <v/>
      </c>
      <c r="BJ17" s="392">
        <f t="shared" si="17"/>
        <v>3.0980465580727527E-2</v>
      </c>
      <c r="BK17" s="392">
        <f t="shared" si="18"/>
        <v>-0.2473106673862206</v>
      </c>
      <c r="BL17" s="288" t="str">
        <f t="shared" si="2"/>
        <v/>
      </c>
      <c r="BM17" s="136" t="str">
        <f t="shared" si="2"/>
        <v/>
      </c>
      <c r="BN17" s="334">
        <v>81.223699999999994</v>
      </c>
      <c r="BO17" s="398"/>
      <c r="BP17" s="94"/>
      <c r="BQ17" s="76"/>
      <c r="BR17" s="76"/>
      <c r="BS17" s="76"/>
      <c r="BT17" s="70"/>
      <c r="BU17" s="76"/>
      <c r="BV17" s="76"/>
      <c r="BW17" s="76"/>
      <c r="BX17" s="76"/>
      <c r="BY17" s="76"/>
      <c r="BZ17" s="76"/>
      <c r="CA17" s="76"/>
    </row>
    <row r="18" spans="1:79" s="89" customFormat="1" ht="11.25">
      <c r="A18" s="359" t="s">
        <v>217</v>
      </c>
      <c r="B18" s="365" t="s">
        <v>252</v>
      </c>
      <c r="C18" s="366"/>
      <c r="D18" s="367">
        <v>0.40416666666666662</v>
      </c>
      <c r="E18" s="368">
        <v>71.9298</v>
      </c>
      <c r="F18" s="369"/>
      <c r="G18" s="369"/>
      <c r="H18" s="359"/>
      <c r="I18" s="365" t="s">
        <v>130</v>
      </c>
      <c r="J18" s="358">
        <f>IF(ISERROR(VLOOKUP(I18,Max_Load_France!$B$2:$C$102,2,FALSE)/1000),"",VLOOKUP(I18,Max_Load_France!$B$2:$C$102,2,FALSE)/1000)</f>
        <v>40</v>
      </c>
      <c r="K18" s="296"/>
      <c r="L18" s="297">
        <f t="shared" si="0"/>
        <v>0.52500000000000002</v>
      </c>
      <c r="M18" s="358">
        <f>IF(VLOOKUP($I18,Max_Load_France!$B$2:$M$102,3,FALSE)="","",VLOOKUP($I18,Max_Load_France!$B$2:$M$102,3,FALSE))</f>
        <v>0</v>
      </c>
      <c r="N18" s="358">
        <f>IF(VLOOKUP($I18,Max_Load_France!$B$2:$M$102,4,FALSE)="","",VLOOKUP($I18,Max_Load_France!$B$2:$M$102,4,FALSE))</f>
        <v>1</v>
      </c>
      <c r="O18" s="358">
        <f>IF(VLOOKUP($I18,Max_Load_France!$B$2:$M$102,5,FALSE)="","",VLOOKUP($I18,Max_Load_France!$B$2:$M$102,5,FALSE))</f>
        <v>1</v>
      </c>
      <c r="P18" s="358">
        <f>IF(VLOOKUP($I18,Max_Load_France!$B$2:$M$102,6,FALSE)="","",VLOOKUP($I18,Max_Load_France!$B$2:$M$102,6,FALSE))</f>
        <v>2</v>
      </c>
      <c r="Q18" s="358">
        <f>IF(VLOOKUP($I18,Max_Load_France!$B$2:$M$102,7,FALSE)="","",VLOOKUP($I18,Max_Load_France!$B$2:$M$102,7,FALSE))</f>
        <v>2</v>
      </c>
      <c r="R18" s="358" t="str">
        <f>IF(VLOOKUP($I18,Max_Load_France!$B$2:$M$102,8,FALSE)="","",VLOOKUP($I18,Max_Load_France!$B$2:$M$102,8,FALSE))</f>
        <v/>
      </c>
      <c r="S18" s="358" t="str">
        <f>IF(VLOOKUP($I18,Max_Load_France!$B$2:$M$102,9,FALSE)="","",VLOOKUP($I18,Max_Load_France!$B$2:$M$102,9,FALSE))</f>
        <v/>
      </c>
      <c r="T18" s="358" t="str">
        <f>IF(VLOOKUP($I18,Max_Load_France!$B$2:$M$102,10,FALSE)="","",VLOOKUP($I18,Max_Load_France!$B$2:$M$102,10,FALSE))</f>
        <v/>
      </c>
      <c r="U18" s="358" t="str">
        <f>IF(VLOOKUP($I18,Max_Load_France!$B$2:$M$102,11,FALSE)="","",VLOOKUP($I18,Max_Load_France!$B$2:$M$102,11,FALSE))</f>
        <v/>
      </c>
      <c r="V18" s="357">
        <f t="shared" si="3"/>
        <v>5</v>
      </c>
      <c r="W18" s="299">
        <f t="shared" si="4"/>
        <v>21</v>
      </c>
      <c r="X18" s="308">
        <v>5.0999999999999996</v>
      </c>
      <c r="Y18" s="308">
        <v>5.9</v>
      </c>
      <c r="Z18" s="308">
        <v>5.7</v>
      </c>
      <c r="AA18" s="308">
        <v>2.2000000000000002</v>
      </c>
      <c r="AB18" s="308">
        <v>2.1</v>
      </c>
      <c r="AC18" s="309"/>
      <c r="AD18" s="301"/>
      <c r="AE18" s="301"/>
      <c r="AF18" s="301"/>
      <c r="AG18" s="302">
        <f t="shared" ref="AG18:AG46" si="19">IF(SUMIF(M18:R18,1,X18:AC18)&gt;0,SUMIF(M18:R18,1,X18:AC18),"")</f>
        <v>11.600000000000001</v>
      </c>
      <c r="AH18" s="302">
        <f t="shared" si="5"/>
        <v>4.3000000000000007</v>
      </c>
      <c r="AI18" s="302" t="str">
        <f t="shared" si="6"/>
        <v/>
      </c>
      <c r="AJ18" s="302" t="str">
        <f t="shared" si="7"/>
        <v/>
      </c>
      <c r="AK18" s="326">
        <f t="shared" si="1"/>
        <v>20.230428134556572</v>
      </c>
      <c r="AL18" s="354">
        <v>4.6447196738022427</v>
      </c>
      <c r="AM18" s="354">
        <v>5.9621406727828745</v>
      </c>
      <c r="AN18" s="308">
        <v>5.9621406727828745</v>
      </c>
      <c r="AO18" s="308">
        <v>1.8307135575942914</v>
      </c>
      <c r="AP18" s="308">
        <v>1.8307135575942914</v>
      </c>
      <c r="AQ18" s="309"/>
      <c r="AR18" s="301"/>
      <c r="AS18" s="301"/>
      <c r="AT18" s="301"/>
      <c r="AU18" s="331">
        <f t="shared" si="8"/>
        <v>11.924281345565749</v>
      </c>
      <c r="AV18" s="331">
        <f t="shared" si="9"/>
        <v>3.6614271151885829</v>
      </c>
      <c r="AW18" s="302" t="str">
        <f t="shared" si="10"/>
        <v/>
      </c>
      <c r="AX18" s="302" t="str">
        <f t="shared" si="11"/>
        <v/>
      </c>
      <c r="AY18" s="349">
        <f t="shared" si="12"/>
        <v>-3.6646279306829906E-2</v>
      </c>
      <c r="AZ18" s="392">
        <f t="shared" si="13"/>
        <v>-8.9270652195638622E-2</v>
      </c>
      <c r="BA18" s="392" t="str">
        <f t="shared" si="14"/>
        <v/>
      </c>
      <c r="BB18" s="392" t="str">
        <f t="shared" si="14"/>
        <v/>
      </c>
      <c r="BC18" s="392" t="str">
        <f t="shared" si="14"/>
        <v/>
      </c>
      <c r="BD18" s="392" t="str">
        <f t="shared" si="14"/>
        <v/>
      </c>
      <c r="BE18" s="349">
        <f t="shared" si="15"/>
        <v>1.0532317420826129E-2</v>
      </c>
      <c r="BF18" s="349">
        <f t="shared" si="16"/>
        <v>4.5989591716293743E-2</v>
      </c>
      <c r="BG18" s="349" t="str">
        <f t="shared" si="16"/>
        <v/>
      </c>
      <c r="BH18" s="349" t="str">
        <f t="shared" si="16"/>
        <v/>
      </c>
      <c r="BI18" s="349" t="str">
        <f t="shared" si="16"/>
        <v/>
      </c>
      <c r="BJ18" s="392">
        <f t="shared" si="17"/>
        <v>2.7955288410840308E-2</v>
      </c>
      <c r="BK18" s="392" t="str">
        <f t="shared" si="18"/>
        <v/>
      </c>
      <c r="BL18" s="288" t="str">
        <f t="shared" si="2"/>
        <v/>
      </c>
      <c r="BM18" s="136" t="str">
        <f t="shared" si="2"/>
        <v/>
      </c>
      <c r="BN18" s="334">
        <v>49.796700000000001</v>
      </c>
      <c r="BO18" s="398"/>
      <c r="BP18" s="94"/>
      <c r="BQ18" s="76"/>
      <c r="BR18" s="76"/>
      <c r="BS18" s="76"/>
      <c r="BT18" s="76"/>
      <c r="BU18" s="76"/>
      <c r="BV18" s="76"/>
      <c r="BW18" s="76"/>
      <c r="BX18" s="76"/>
      <c r="BY18" s="76"/>
      <c r="BZ18" s="76"/>
      <c r="CA18" s="76"/>
    </row>
    <row r="19" spans="1:79" s="89" customFormat="1" ht="11.25">
      <c r="A19" s="359" t="s">
        <v>218</v>
      </c>
      <c r="B19" s="365" t="s">
        <v>253</v>
      </c>
      <c r="C19" s="366"/>
      <c r="D19" s="367">
        <v>0.41736111111111113</v>
      </c>
      <c r="E19" s="368">
        <v>64.111320000000006</v>
      </c>
      <c r="F19" s="369"/>
      <c r="G19" s="369"/>
      <c r="H19" s="359"/>
      <c r="I19" s="365" t="s">
        <v>94</v>
      </c>
      <c r="J19" s="358">
        <f>IF(ISERROR(VLOOKUP(I19,Max_Load_France!$B$2:$C$102,2,FALSE)/1000),"",VLOOKUP(I19,Max_Load_France!$B$2:$C$102,2,FALSE)/1000)</f>
        <v>40</v>
      </c>
      <c r="K19" s="296"/>
      <c r="L19" s="297">
        <f t="shared" si="0"/>
        <v>1.0299999999999998</v>
      </c>
      <c r="M19" s="358">
        <f>IF(VLOOKUP($I19,Max_Load_France!$B$2:$M$102,3,FALSE)="","",VLOOKUP($I19,Max_Load_France!$B$2:$M$102,3,FALSE))</f>
        <v>0</v>
      </c>
      <c r="N19" s="358">
        <f>IF(VLOOKUP($I19,Max_Load_France!$B$2:$M$102,4,FALSE)="","",VLOOKUP($I19,Max_Load_France!$B$2:$M$102,4,FALSE))</f>
        <v>0</v>
      </c>
      <c r="O19" s="358">
        <f>IF(VLOOKUP($I19,Max_Load_France!$B$2:$M$102,5,FALSE)="","",VLOOKUP($I19,Max_Load_France!$B$2:$M$102,5,FALSE))</f>
        <v>1</v>
      </c>
      <c r="P19" s="358">
        <f>IF(VLOOKUP($I19,Max_Load_France!$B$2:$M$102,6,FALSE)="","",VLOOKUP($I19,Max_Load_France!$B$2:$M$102,6,FALSE))</f>
        <v>1</v>
      </c>
      <c r="Q19" s="358">
        <f>IF(VLOOKUP($I19,Max_Load_France!$B$2:$M$102,7,FALSE)="","",VLOOKUP($I19,Max_Load_France!$B$2:$M$102,7,FALSE))</f>
        <v>1</v>
      </c>
      <c r="R19" s="358" t="str">
        <f>IF(VLOOKUP($I19,Max_Load_France!$B$2:$M$102,8,FALSE)="","",VLOOKUP($I19,Max_Load_France!$B$2:$M$102,8,FALSE))</f>
        <v/>
      </c>
      <c r="S19" s="358" t="str">
        <f>IF(VLOOKUP($I19,Max_Load_France!$B$2:$M$102,9,FALSE)="","",VLOOKUP($I19,Max_Load_France!$B$2:$M$102,9,FALSE))</f>
        <v/>
      </c>
      <c r="T19" s="358" t="str">
        <f>IF(VLOOKUP($I19,Max_Load_France!$B$2:$M$102,10,FALSE)="","",VLOOKUP($I19,Max_Load_France!$B$2:$M$102,10,FALSE))</f>
        <v/>
      </c>
      <c r="U19" s="358" t="str">
        <f>IF(VLOOKUP($I19,Max_Load_France!$B$2:$M$102,11,FALSE)="","",VLOOKUP($I19,Max_Load_France!$B$2:$M$102,11,FALSE))</f>
        <v/>
      </c>
      <c r="V19" s="357">
        <f t="shared" si="3"/>
        <v>5</v>
      </c>
      <c r="W19" s="299">
        <f t="shared" si="4"/>
        <v>41.199999999999996</v>
      </c>
      <c r="X19" s="308">
        <v>7.1</v>
      </c>
      <c r="Y19" s="308">
        <v>15</v>
      </c>
      <c r="Z19" s="308">
        <v>6.4</v>
      </c>
      <c r="AA19" s="308">
        <v>6.3</v>
      </c>
      <c r="AB19" s="308">
        <v>6.4</v>
      </c>
      <c r="AC19" s="309"/>
      <c r="AD19" s="301"/>
      <c r="AE19" s="301"/>
      <c r="AF19" s="301"/>
      <c r="AG19" s="302">
        <f t="shared" si="19"/>
        <v>19.100000000000001</v>
      </c>
      <c r="AH19" s="302" t="str">
        <f t="shared" si="5"/>
        <v/>
      </c>
      <c r="AI19" s="302" t="str">
        <f t="shared" si="6"/>
        <v/>
      </c>
      <c r="AJ19" s="302" t="str">
        <f t="shared" si="7"/>
        <v/>
      </c>
      <c r="AK19" s="326">
        <f t="shared" si="1"/>
        <v>38.256931702344545</v>
      </c>
      <c r="AL19" s="354">
        <v>5.4471559633027518</v>
      </c>
      <c r="AM19" s="354">
        <v>15.438735983690112</v>
      </c>
      <c r="AN19" s="308">
        <v>5.7903465851172271</v>
      </c>
      <c r="AO19" s="308">
        <v>5.7903465851172271</v>
      </c>
      <c r="AP19" s="308">
        <v>5.7903465851172271</v>
      </c>
      <c r="AQ19" s="309"/>
      <c r="AR19" s="301"/>
      <c r="AS19" s="301"/>
      <c r="AT19" s="301"/>
      <c r="AU19" s="331">
        <f t="shared" si="8"/>
        <v>17.371039755351681</v>
      </c>
      <c r="AV19" s="331" t="str">
        <f t="shared" si="9"/>
        <v/>
      </c>
      <c r="AW19" s="302" t="str">
        <f t="shared" si="10"/>
        <v/>
      </c>
      <c r="AX19" s="302" t="str">
        <f t="shared" si="11"/>
        <v/>
      </c>
      <c r="AY19" s="349">
        <f>IF(AND($BO$10="Yes",$BO19="MP"),"",IF(AK19=0,"",IF($W19/$V19&lt;$BN$6,"",IF($BN19&lt;$BN$10,IF(W19&gt;0,(AK19-W19)/W19,""),""))))</f>
        <v>-7.1433696545035216E-2</v>
      </c>
      <c r="AZ19" s="392">
        <f>IF(AND($BO$10="Yes",$BO19="MP"),"",IF(M19=0,IF(AL19&lt;$BN$7,"",IF($W19/$V19&lt;$BN$6,"",IF($BN19&lt;$BN$10,IF(X19&gt;0,(AL19-X19)/X19,""),""))),""))</f>
        <v>-0.23279493474609125</v>
      </c>
      <c r="BA19" s="392">
        <f>IF(N19=0,IF(AM19&lt;$BN$7,"",IF($W19/$V19&lt;$BN$6,"",IF($BN19&lt;$BN$10,IF(Y19&gt;0,(AM19-Y19)/Y19,""),""))),"")</f>
        <v>2.9249065579340795E-2</v>
      </c>
      <c r="BB19" s="392" t="str">
        <f>IF(O19=0,IF(AN19&lt;$BN$7,"",IF($W19/$V19&lt;$BN$6,"",IF($BN19&lt;$BN$10,IF(Z19&gt;0,(AN19-Z19)/Z19,""),""))),"")</f>
        <v/>
      </c>
      <c r="BC19" s="392" t="str">
        <f>IF(P19=0,IF(AO19&lt;$BN$7,"",IF($W19/$V19&lt;$BN$6,"",IF($BN19&lt;$BN$10,IF(AA19&gt;0,(AO19-AA19)/AA19,""),""))),"")</f>
        <v/>
      </c>
      <c r="BD19" s="392" t="str">
        <f>IF(Q19=0,IF(AP19&lt;$BN$7,"",IF($W19/$V19&lt;$BN$6,"",IF($BN19&lt;$BN$10,IF(AB19&gt;0,(AP19-AB19)/AB19,""),""))),"")</f>
        <v/>
      </c>
      <c r="BE19" s="349" t="str">
        <f>IF(AND($BO$10="Yes",$BO19="MP"),"",IF(N19&gt;0,IF(AM19&lt;$BN$7,"",IF($W19/$V19&lt;$BN$6,"",IF($BN19&lt;$BN$10,IF(Y19&gt;0,(AM19-Y19)/Y19,""),""))),""))</f>
        <v/>
      </c>
      <c r="BF19" s="349">
        <f>IF(O19&gt;0,IF(AN19&lt;$BN$7,"",IF($W19/$V19&lt;$BN$6,"",IF($BN19&lt;$BN$10,IF(Z19&gt;0,(AN19-Z19)/Z19,""),""))),"")</f>
        <v>-9.525834607543332E-2</v>
      </c>
      <c r="BG19" s="349">
        <f>IF(P19&gt;0,IF(AO19&lt;$BN$7,"",IF($W19/$V19&lt;$BN$6,"",IF($BN19&lt;$BN$10,IF(AA19&gt;0,(AO19-AA19)/AA19,""),""))),"")</f>
        <v>-8.0897367441709958E-2</v>
      </c>
      <c r="BH19" s="349">
        <f>IF(Q19&gt;0,IF(AP19&lt;$BN$7,"",IF($W19/$V19&lt;$BN$6,"",IF($BN19&lt;$BN$10,IF(AB19&gt;0,(AP19-AB19)/AB19,""),""))),"")</f>
        <v>-9.525834607543332E-2</v>
      </c>
      <c r="BI19" s="349" t="str">
        <f>IF(R19&gt;0,IF(AQ19&lt;$BN$7,"",IF($W19/$V19&lt;$BN$6,"",IF($BN19&lt;$BN$10,IF(AC19&gt;0,(AQ19-AC19)/AC19,""),""))),"")</f>
        <v/>
      </c>
      <c r="BJ19" s="392">
        <f>IF(AND($BO$10="Yes",$BO19="MP"),"",IF(AG19&lt;$BN$6*COUNTIF(M19:R19,1),"",IF($BN19&lt;$BN$10,IF($BN19&lt;$BN$10,IF(AG19&lt;&gt;"",(AU19-AG19)/AG19,""),""))))</f>
        <v>-9.0521478777398953E-2</v>
      </c>
      <c r="BK19" s="392" t="str">
        <f>IF(AND($BO$10="Yes",$BO19="MP"),"",IF(AH19&lt;$BN$6*COUNTIF(M19:R19,2),"",IF($BN19&lt;$BN$10,IF(AH19&lt;&gt;"",(AV19-AH19)/AH19,""),"")))</f>
        <v/>
      </c>
      <c r="BL19" s="288" t="str">
        <f t="shared" si="2"/>
        <v/>
      </c>
      <c r="BM19" s="136" t="str">
        <f t="shared" si="2"/>
        <v/>
      </c>
      <c r="BN19" s="334">
        <v>69.507900000000006</v>
      </c>
      <c r="BO19" s="398"/>
      <c r="BP19" s="94"/>
      <c r="BQ19" s="76"/>
      <c r="BR19" s="76"/>
      <c r="BS19" s="76"/>
      <c r="BT19" s="76"/>
      <c r="BU19" s="76"/>
      <c r="BV19" s="76"/>
      <c r="BW19" s="76"/>
      <c r="BX19" s="76"/>
      <c r="BY19" s="76"/>
      <c r="BZ19" s="76"/>
      <c r="CA19" s="76"/>
    </row>
    <row r="20" spans="1:79" s="89" customFormat="1" ht="11.25">
      <c r="A20" s="397" t="s">
        <v>219</v>
      </c>
      <c r="B20" s="365" t="s">
        <v>254</v>
      </c>
      <c r="C20" s="366"/>
      <c r="D20" s="367">
        <v>0.4284722222222222</v>
      </c>
      <c r="E20" s="368">
        <v>57.825719999999997</v>
      </c>
      <c r="F20" s="369"/>
      <c r="G20" s="369"/>
      <c r="H20" s="359"/>
      <c r="I20" s="365" t="s">
        <v>94</v>
      </c>
      <c r="J20" s="358">
        <f>IF(ISERROR(VLOOKUP(I20,Max_Load_France!$B$2:$C$102,2,FALSE)/1000),"",VLOOKUP(I20,Max_Load_France!$B$2:$C$102,2,FALSE)/1000)</f>
        <v>40</v>
      </c>
      <c r="K20" s="296"/>
      <c r="L20" s="297">
        <f t="shared" si="0"/>
        <v>0.99250000000000005</v>
      </c>
      <c r="M20" s="358">
        <f>IF(VLOOKUP($I20,Max_Load_France!$B$2:$M$102,3,FALSE)="","",VLOOKUP($I20,Max_Load_France!$B$2:$M$102,3,FALSE))</f>
        <v>0</v>
      </c>
      <c r="N20" s="358">
        <f>IF(VLOOKUP($I20,Max_Load_France!$B$2:$M$102,4,FALSE)="","",VLOOKUP($I20,Max_Load_France!$B$2:$M$102,4,FALSE))</f>
        <v>0</v>
      </c>
      <c r="O20" s="358">
        <f>IF(VLOOKUP($I20,Max_Load_France!$B$2:$M$102,5,FALSE)="","",VLOOKUP($I20,Max_Load_France!$B$2:$M$102,5,FALSE))</f>
        <v>1</v>
      </c>
      <c r="P20" s="358">
        <f>IF(VLOOKUP($I20,Max_Load_France!$B$2:$M$102,6,FALSE)="","",VLOOKUP($I20,Max_Load_France!$B$2:$M$102,6,FALSE))</f>
        <v>1</v>
      </c>
      <c r="Q20" s="358">
        <f>IF(VLOOKUP($I20,Max_Load_France!$B$2:$M$102,7,FALSE)="","",VLOOKUP($I20,Max_Load_France!$B$2:$M$102,7,FALSE))</f>
        <v>1</v>
      </c>
      <c r="R20" s="358" t="str">
        <f>IF(VLOOKUP($I20,Max_Load_France!$B$2:$M$102,8,FALSE)="","",VLOOKUP($I20,Max_Load_France!$B$2:$M$102,8,FALSE))</f>
        <v/>
      </c>
      <c r="S20" s="358" t="str">
        <f>IF(VLOOKUP($I20,Max_Load_France!$B$2:$M$102,9,FALSE)="","",VLOOKUP($I20,Max_Load_France!$B$2:$M$102,9,FALSE))</f>
        <v/>
      </c>
      <c r="T20" s="358" t="str">
        <f>IF(VLOOKUP($I20,Max_Load_France!$B$2:$M$102,10,FALSE)="","",VLOOKUP($I20,Max_Load_France!$B$2:$M$102,10,FALSE))</f>
        <v/>
      </c>
      <c r="U20" s="358" t="str">
        <f>IF(VLOOKUP($I20,Max_Load_France!$B$2:$M$102,11,FALSE)="","",VLOOKUP($I20,Max_Load_France!$B$2:$M$102,11,FALSE))</f>
        <v/>
      </c>
      <c r="V20" s="357">
        <f t="shared" si="3"/>
        <v>5</v>
      </c>
      <c r="W20" s="299">
        <f t="shared" si="4"/>
        <v>39.700000000000003</v>
      </c>
      <c r="X20" s="308">
        <v>7.4</v>
      </c>
      <c r="Y20" s="308">
        <v>14.8</v>
      </c>
      <c r="Z20" s="308">
        <v>5.0999999999999996</v>
      </c>
      <c r="AA20" s="308">
        <v>6</v>
      </c>
      <c r="AB20" s="308">
        <v>6.4</v>
      </c>
      <c r="AC20" s="309"/>
      <c r="AD20" s="301"/>
      <c r="AE20" s="301"/>
      <c r="AF20" s="301"/>
      <c r="AG20" s="302">
        <f t="shared" si="19"/>
        <v>17.5</v>
      </c>
      <c r="AH20" s="302" t="str">
        <f t="shared" si="5"/>
        <v/>
      </c>
      <c r="AI20" s="302" t="str">
        <f t="shared" si="6"/>
        <v/>
      </c>
      <c r="AJ20" s="302" t="str">
        <f t="shared" si="7"/>
        <v/>
      </c>
      <c r="AK20" s="326">
        <f t="shared" si="1"/>
        <v>39.686197757390417</v>
      </c>
      <c r="AL20" s="354">
        <v>6.4960754332313959</v>
      </c>
      <c r="AM20" s="354">
        <v>15.910703363914372</v>
      </c>
      <c r="AN20" s="308">
        <v>5.759806320081549</v>
      </c>
      <c r="AO20" s="308">
        <v>5.759806320081549</v>
      </c>
      <c r="AP20" s="308">
        <v>5.759806320081549</v>
      </c>
      <c r="AQ20" s="309"/>
      <c r="AR20" s="301"/>
      <c r="AS20" s="301"/>
      <c r="AT20" s="301"/>
      <c r="AU20" s="331">
        <f t="shared" si="8"/>
        <v>17.279418960244648</v>
      </c>
      <c r="AV20" s="331" t="str">
        <f t="shared" si="9"/>
        <v/>
      </c>
      <c r="AW20" s="302" t="str">
        <f t="shared" si="10"/>
        <v/>
      </c>
      <c r="AX20" s="302" t="str">
        <f t="shared" si="11"/>
        <v/>
      </c>
      <c r="AY20" s="349">
        <f t="shared" ref="AY20:AY24" si="20">IF(AND($BO$10="Yes",$BO20="MP"),"",IF(AK20=0,"",IF($W20/$V20&lt;$BN$6,"",IF($BN20&lt;$BN$10,IF(W20&gt;0,(AK20-W20)/W20,""),""))))</f>
        <v>-3.4766354180316988E-4</v>
      </c>
      <c r="AZ20" s="392">
        <f t="shared" ref="AZ20:AZ24" si="21">IF(AND($BO$10="Yes",$BO20="MP"),"",IF(M20=0,IF(AL20&lt;$BN$7,"",IF($W20/$V20&lt;$BN$6,"",IF($BN20&lt;$BN$10,IF(X20&gt;0,(AL20-X20)/X20,""),""))),""))</f>
        <v>-0.12215196848224384</v>
      </c>
      <c r="BA20" s="392">
        <f t="shared" ref="BA20:BD24" si="22">IF(N20=0,IF(AM20&lt;$BN$7,"",IF($W20/$V20&lt;$BN$6,"",IF($BN20&lt;$BN$10,IF(Y20&gt;0,(AM20-Y20)/Y20,""),""))),"")</f>
        <v>7.5047524588808881E-2</v>
      </c>
      <c r="BB20" s="392" t="str">
        <f t="shared" si="22"/>
        <v/>
      </c>
      <c r="BC20" s="392" t="str">
        <f t="shared" si="22"/>
        <v/>
      </c>
      <c r="BD20" s="392" t="str">
        <f t="shared" si="22"/>
        <v/>
      </c>
      <c r="BE20" s="349" t="str">
        <f t="shared" ref="BE20:BE24" si="23">IF(AND($BO$10="Yes",$BO20="MP"),"",IF(N20&gt;0,IF(AM20&lt;$BN$7,"",IF($W20/$V20&lt;$BN$6,"",IF($BN20&lt;$BN$10,IF(Y20&gt;0,(AM20-Y20)/Y20,""),""))),""))</f>
        <v/>
      </c>
      <c r="BF20" s="349">
        <f t="shared" ref="BF20:BI24" si="24">IF(O20&gt;0,IF(AN20&lt;$BN$7,"",IF($W20/$V20&lt;$BN$6,"",IF($BN20&lt;$BN$10,IF(Z20&gt;0,(AN20-Z20)/Z20,""),""))),"")</f>
        <v>0.12937378825128421</v>
      </c>
      <c r="BG20" s="349">
        <f t="shared" si="24"/>
        <v>-4.0032279986408494E-2</v>
      </c>
      <c r="BH20" s="349">
        <f t="shared" si="24"/>
        <v>-0.10003026248725802</v>
      </c>
      <c r="BI20" s="349" t="str">
        <f t="shared" si="24"/>
        <v/>
      </c>
      <c r="BJ20" s="392">
        <f t="shared" ref="BJ20:BJ24" si="25">IF(AND($BO$10="Yes",$BO20="MP"),"",IF(AG20&lt;$BN$6*COUNTIF(M20:R20,1),"",IF($BN20&lt;$BN$10,IF($BN20&lt;$BN$10,IF(AG20&lt;&gt;"",(AU20-AG20)/AG20,""),""))))</f>
        <v>-1.2604630843162974E-2</v>
      </c>
      <c r="BK20" s="392" t="str">
        <f t="shared" ref="BK20:BK24" si="26">IF(AND($BO$10="Yes",$BO20="MP"),"",IF(AH20&lt;$BN$6*COUNTIF(M20:R20,2),"",IF($BN20&lt;$BN$10,IF(AH20&lt;&gt;"",(AV20-AH20)/AH20,""),"")))</f>
        <v/>
      </c>
      <c r="BL20" s="288" t="str">
        <f t="shared" si="2"/>
        <v/>
      </c>
      <c r="BM20" s="136" t="str">
        <f t="shared" si="2"/>
        <v/>
      </c>
      <c r="BN20" s="334">
        <v>102.596</v>
      </c>
      <c r="BO20" s="398"/>
      <c r="BP20" s="94"/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</row>
    <row r="21" spans="1:79" s="89" customFormat="1" ht="11.25">
      <c r="A21" s="359" t="s">
        <v>220</v>
      </c>
      <c r="B21" s="365" t="s">
        <v>255</v>
      </c>
      <c r="C21" s="366"/>
      <c r="D21" s="367">
        <v>0.44027777777777777</v>
      </c>
      <c r="E21" s="368">
        <v>54.411839999999998</v>
      </c>
      <c r="F21" s="369"/>
      <c r="G21" s="369"/>
      <c r="H21" s="359"/>
      <c r="I21" s="365" t="s">
        <v>94</v>
      </c>
      <c r="J21" s="358">
        <f>IF(ISERROR(VLOOKUP(I21,Max_Load_France!$B$2:$C$102,2,FALSE)/1000),"",VLOOKUP(I21,Max_Load_France!$B$2:$C$102,2,FALSE)/1000)</f>
        <v>40</v>
      </c>
      <c r="K21" s="296"/>
      <c r="L21" s="297">
        <f t="shared" si="0"/>
        <v>0.89499999999999991</v>
      </c>
      <c r="M21" s="358">
        <f>IF(VLOOKUP($I21,Max_Load_France!$B$2:$M$102,3,FALSE)="","",VLOOKUP($I21,Max_Load_France!$B$2:$M$102,3,FALSE))</f>
        <v>0</v>
      </c>
      <c r="N21" s="358">
        <f>IF(VLOOKUP($I21,Max_Load_France!$B$2:$M$102,4,FALSE)="","",VLOOKUP($I21,Max_Load_France!$B$2:$M$102,4,FALSE))</f>
        <v>0</v>
      </c>
      <c r="O21" s="358">
        <f>IF(VLOOKUP($I21,Max_Load_France!$B$2:$M$102,5,FALSE)="","",VLOOKUP($I21,Max_Load_France!$B$2:$M$102,5,FALSE))</f>
        <v>1</v>
      </c>
      <c r="P21" s="358">
        <f>IF(VLOOKUP($I21,Max_Load_France!$B$2:$M$102,6,FALSE)="","",VLOOKUP($I21,Max_Load_France!$B$2:$M$102,6,FALSE))</f>
        <v>1</v>
      </c>
      <c r="Q21" s="358">
        <f>IF(VLOOKUP($I21,Max_Load_France!$B$2:$M$102,7,FALSE)="","",VLOOKUP($I21,Max_Load_France!$B$2:$M$102,7,FALSE))</f>
        <v>1</v>
      </c>
      <c r="R21" s="358" t="str">
        <f>IF(VLOOKUP($I21,Max_Load_France!$B$2:$M$102,8,FALSE)="","",VLOOKUP($I21,Max_Load_France!$B$2:$M$102,8,FALSE))</f>
        <v/>
      </c>
      <c r="S21" s="358" t="str">
        <f>IF(VLOOKUP($I21,Max_Load_France!$B$2:$M$102,9,FALSE)="","",VLOOKUP($I21,Max_Load_France!$B$2:$M$102,9,FALSE))</f>
        <v/>
      </c>
      <c r="T21" s="358" t="str">
        <f>IF(VLOOKUP($I21,Max_Load_France!$B$2:$M$102,10,FALSE)="","",VLOOKUP($I21,Max_Load_France!$B$2:$M$102,10,FALSE))</f>
        <v/>
      </c>
      <c r="U21" s="358" t="str">
        <f>IF(VLOOKUP($I21,Max_Load_France!$B$2:$M$102,11,FALSE)="","",VLOOKUP($I21,Max_Load_France!$B$2:$M$102,11,FALSE))</f>
        <v/>
      </c>
      <c r="V21" s="357">
        <f t="shared" si="3"/>
        <v>5</v>
      </c>
      <c r="W21" s="299">
        <f t="shared" si="4"/>
        <v>35.799999999999997</v>
      </c>
      <c r="X21" s="308">
        <v>7.1</v>
      </c>
      <c r="Y21" s="308">
        <v>9.5</v>
      </c>
      <c r="Z21" s="308">
        <v>6.7</v>
      </c>
      <c r="AA21" s="308">
        <v>6.2</v>
      </c>
      <c r="AB21" s="308">
        <v>6.3</v>
      </c>
      <c r="AC21" s="309"/>
      <c r="AD21" s="301"/>
      <c r="AE21" s="301"/>
      <c r="AF21" s="301"/>
      <c r="AG21" s="302">
        <f t="shared" si="19"/>
        <v>19.2</v>
      </c>
      <c r="AH21" s="302" t="str">
        <f t="shared" si="5"/>
        <v/>
      </c>
      <c r="AI21" s="302" t="str">
        <f t="shared" si="6"/>
        <v/>
      </c>
      <c r="AJ21" s="302" t="str">
        <f t="shared" si="7"/>
        <v/>
      </c>
      <c r="AK21" s="326">
        <f t="shared" si="1"/>
        <v>38.671651376146784</v>
      </c>
      <c r="AL21" s="354">
        <v>7.1828236493374105</v>
      </c>
      <c r="AM21" s="354">
        <v>10.710601427115188</v>
      </c>
      <c r="AN21" s="308">
        <v>6.9260754332313965</v>
      </c>
      <c r="AO21" s="308">
        <v>6.9260754332313965</v>
      </c>
      <c r="AP21" s="308">
        <v>6.9260754332313965</v>
      </c>
      <c r="AQ21" s="309"/>
      <c r="AR21" s="301"/>
      <c r="AS21" s="301"/>
      <c r="AT21" s="301"/>
      <c r="AU21" s="331">
        <f t="shared" si="8"/>
        <v>20.77822629969419</v>
      </c>
      <c r="AV21" s="331" t="str">
        <f t="shared" si="9"/>
        <v/>
      </c>
      <c r="AW21" s="302" t="str">
        <f t="shared" si="10"/>
        <v/>
      </c>
      <c r="AX21" s="302" t="str">
        <f t="shared" si="11"/>
        <v/>
      </c>
      <c r="AY21" s="349">
        <f t="shared" si="20"/>
        <v>8.021372559069237E-2</v>
      </c>
      <c r="AZ21" s="392">
        <f t="shared" si="21"/>
        <v>1.1665302723578989E-2</v>
      </c>
      <c r="BA21" s="392">
        <f t="shared" si="22"/>
        <v>0.1274317291700198</v>
      </c>
      <c r="BB21" s="392" t="str">
        <f t="shared" si="22"/>
        <v/>
      </c>
      <c r="BC21" s="392" t="str">
        <f t="shared" si="22"/>
        <v/>
      </c>
      <c r="BD21" s="392" t="str">
        <f t="shared" si="22"/>
        <v/>
      </c>
      <c r="BE21" s="349" t="str">
        <f t="shared" si="23"/>
        <v/>
      </c>
      <c r="BF21" s="349">
        <f t="shared" si="24"/>
        <v>3.3742601974835272E-2</v>
      </c>
      <c r="BG21" s="349">
        <f t="shared" si="24"/>
        <v>0.1171089408437736</v>
      </c>
      <c r="BH21" s="349">
        <f t="shared" si="24"/>
        <v>9.9377052893872497E-2</v>
      </c>
      <c r="BI21" s="349" t="str">
        <f t="shared" si="24"/>
        <v/>
      </c>
      <c r="BJ21" s="392">
        <f t="shared" si="25"/>
        <v>8.2199286442405747E-2</v>
      </c>
      <c r="BK21" s="392" t="str">
        <f t="shared" si="26"/>
        <v/>
      </c>
      <c r="BL21" s="288" t="str">
        <f t="shared" si="2"/>
        <v/>
      </c>
      <c r="BM21" s="136" t="str">
        <f t="shared" si="2"/>
        <v/>
      </c>
      <c r="BN21" s="334">
        <v>53.984200000000001</v>
      </c>
      <c r="BO21" s="398"/>
      <c r="BP21" s="94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</row>
    <row r="22" spans="1:79" s="89" customFormat="1" ht="11.25">
      <c r="A22" s="359" t="s">
        <v>221</v>
      </c>
      <c r="B22" s="365" t="s">
        <v>256</v>
      </c>
      <c r="C22" s="366"/>
      <c r="D22" s="367">
        <v>0.44722222222222219</v>
      </c>
      <c r="E22" s="368">
        <v>55.434600000000003</v>
      </c>
      <c r="F22" s="369"/>
      <c r="G22" s="369"/>
      <c r="H22" s="359"/>
      <c r="I22" s="365" t="s">
        <v>94</v>
      </c>
      <c r="J22" s="358">
        <f>IF(ISERROR(VLOOKUP(I22,Max_Load_France!$B$2:$C$102,2,FALSE)/1000),"",VLOOKUP(I22,Max_Load_France!$B$2:$C$102,2,FALSE)/1000)</f>
        <v>40</v>
      </c>
      <c r="K22" s="296"/>
      <c r="L22" s="297">
        <f t="shared" si="0"/>
        <v>1.0325</v>
      </c>
      <c r="M22" s="358">
        <f>IF(VLOOKUP($I22,Max_Load_France!$B$2:$M$102,3,FALSE)="","",VLOOKUP($I22,Max_Load_France!$B$2:$M$102,3,FALSE))</f>
        <v>0</v>
      </c>
      <c r="N22" s="358">
        <f>IF(VLOOKUP($I22,Max_Load_France!$B$2:$M$102,4,FALSE)="","",VLOOKUP($I22,Max_Load_France!$B$2:$M$102,4,FALSE))</f>
        <v>0</v>
      </c>
      <c r="O22" s="358">
        <f>IF(VLOOKUP($I22,Max_Load_France!$B$2:$M$102,5,FALSE)="","",VLOOKUP($I22,Max_Load_France!$B$2:$M$102,5,FALSE))</f>
        <v>1</v>
      </c>
      <c r="P22" s="358">
        <f>IF(VLOOKUP($I22,Max_Load_France!$B$2:$M$102,6,FALSE)="","",VLOOKUP($I22,Max_Load_France!$B$2:$M$102,6,FALSE))</f>
        <v>1</v>
      </c>
      <c r="Q22" s="358">
        <f>IF(VLOOKUP($I22,Max_Load_France!$B$2:$M$102,7,FALSE)="","",VLOOKUP($I22,Max_Load_France!$B$2:$M$102,7,FALSE))</f>
        <v>1</v>
      </c>
      <c r="R22" s="358" t="str">
        <f>IF(VLOOKUP($I22,Max_Load_France!$B$2:$M$102,8,FALSE)="","",VLOOKUP($I22,Max_Load_France!$B$2:$M$102,8,FALSE))</f>
        <v/>
      </c>
      <c r="S22" s="358" t="str">
        <f>IF(VLOOKUP($I22,Max_Load_France!$B$2:$M$102,9,FALSE)="","",VLOOKUP($I22,Max_Load_France!$B$2:$M$102,9,FALSE))</f>
        <v/>
      </c>
      <c r="T22" s="358" t="str">
        <f>IF(VLOOKUP($I22,Max_Load_France!$B$2:$M$102,10,FALSE)="","",VLOOKUP($I22,Max_Load_France!$B$2:$M$102,10,FALSE))</f>
        <v/>
      </c>
      <c r="U22" s="358" t="str">
        <f>IF(VLOOKUP($I22,Max_Load_France!$B$2:$M$102,11,FALSE)="","",VLOOKUP($I22,Max_Load_France!$B$2:$M$102,11,FALSE))</f>
        <v/>
      </c>
      <c r="V22" s="357">
        <f t="shared" si="3"/>
        <v>5</v>
      </c>
      <c r="W22" s="299">
        <f t="shared" si="4"/>
        <v>41.3</v>
      </c>
      <c r="X22" s="308">
        <v>8.3000000000000007</v>
      </c>
      <c r="Y22" s="308">
        <v>11.4</v>
      </c>
      <c r="Z22" s="308">
        <v>7.2</v>
      </c>
      <c r="AA22" s="308">
        <v>7.1</v>
      </c>
      <c r="AB22" s="308">
        <v>7.3</v>
      </c>
      <c r="AC22" s="309"/>
      <c r="AD22" s="301"/>
      <c r="AE22" s="301"/>
      <c r="AF22" s="301"/>
      <c r="AG22" s="302">
        <f t="shared" si="19"/>
        <v>21.6</v>
      </c>
      <c r="AH22" s="302" t="str">
        <f t="shared" si="5"/>
        <v/>
      </c>
      <c r="AI22" s="302" t="str">
        <f t="shared" si="6"/>
        <v/>
      </c>
      <c r="AJ22" s="302" t="str">
        <f t="shared" si="7"/>
        <v/>
      </c>
      <c r="AK22" s="326">
        <f t="shared" si="1"/>
        <v>40.286432212028544</v>
      </c>
      <c r="AL22" s="354">
        <v>8.5164220183486226</v>
      </c>
      <c r="AM22" s="354">
        <v>11.370438328236492</v>
      </c>
      <c r="AN22" s="308">
        <v>6.7998572884811406</v>
      </c>
      <c r="AO22" s="308">
        <v>6.7998572884811406</v>
      </c>
      <c r="AP22" s="308">
        <v>6.7998572884811406</v>
      </c>
      <c r="AQ22" s="309"/>
      <c r="AR22" s="301"/>
      <c r="AS22" s="301"/>
      <c r="AT22" s="301"/>
      <c r="AU22" s="331">
        <f t="shared" si="8"/>
        <v>20.39957186544342</v>
      </c>
      <c r="AV22" s="331" t="str">
        <f t="shared" si="9"/>
        <v/>
      </c>
      <c r="AW22" s="302" t="str">
        <f t="shared" si="10"/>
        <v/>
      </c>
      <c r="AX22" s="302" t="str">
        <f t="shared" si="11"/>
        <v/>
      </c>
      <c r="AY22" s="349">
        <f t="shared" si="20"/>
        <v>-2.4541592929090885E-2</v>
      </c>
      <c r="AZ22" s="392">
        <f t="shared" si="21"/>
        <v>2.6074941969713473E-2</v>
      </c>
      <c r="BA22" s="392">
        <f t="shared" si="22"/>
        <v>-2.593129102062114E-3</v>
      </c>
      <c r="BB22" s="392" t="str">
        <f t="shared" si="22"/>
        <v/>
      </c>
      <c r="BC22" s="392" t="str">
        <f t="shared" si="22"/>
        <v/>
      </c>
      <c r="BD22" s="392" t="str">
        <f t="shared" si="22"/>
        <v/>
      </c>
      <c r="BE22" s="349" t="str">
        <f t="shared" si="23"/>
        <v/>
      </c>
      <c r="BF22" s="349">
        <f t="shared" si="24"/>
        <v>-5.557537659984161E-2</v>
      </c>
      <c r="BG22" s="349">
        <f t="shared" si="24"/>
        <v>-4.2273621340684381E-2</v>
      </c>
      <c r="BH22" s="349">
        <f t="shared" si="24"/>
        <v>-6.851270020806291E-2</v>
      </c>
      <c r="BI22" s="349" t="str">
        <f t="shared" si="24"/>
        <v/>
      </c>
      <c r="BJ22" s="392">
        <f t="shared" si="25"/>
        <v>-5.5575376599841735E-2</v>
      </c>
      <c r="BK22" s="392" t="str">
        <f t="shared" si="26"/>
        <v/>
      </c>
      <c r="BL22" s="288" t="str">
        <f t="shared" si="2"/>
        <v/>
      </c>
      <c r="BM22" s="136" t="str">
        <f t="shared" si="2"/>
        <v/>
      </c>
      <c r="BN22" s="334">
        <v>58.866100000000003</v>
      </c>
      <c r="BO22" s="398"/>
      <c r="BP22" s="94"/>
      <c r="BQ22" s="76"/>
      <c r="BR22" s="76"/>
      <c r="BS22" s="76"/>
      <c r="BT22" s="76"/>
      <c r="BU22" s="76"/>
      <c r="BV22" s="76"/>
      <c r="BW22" s="76"/>
      <c r="BX22" s="76"/>
      <c r="BY22" s="76"/>
      <c r="BZ22" s="76"/>
      <c r="CA22" s="76"/>
    </row>
    <row r="23" spans="1:79" s="89" customFormat="1" ht="11.25">
      <c r="A23" s="359" t="s">
        <v>222</v>
      </c>
      <c r="B23" s="365" t="s">
        <v>257</v>
      </c>
      <c r="C23" s="366"/>
      <c r="D23" s="367">
        <v>0.45347222222222222</v>
      </c>
      <c r="E23" s="368">
        <v>67.331519999999998</v>
      </c>
      <c r="F23" s="369"/>
      <c r="G23" s="369"/>
      <c r="H23" s="359"/>
      <c r="I23" s="365" t="s">
        <v>94</v>
      </c>
      <c r="J23" s="358">
        <f>IF(ISERROR(VLOOKUP(I23,Max_Load_France!$B$2:$C$102,2,FALSE)/1000),"",VLOOKUP(I23,Max_Load_France!$B$2:$C$102,2,FALSE)/1000)</f>
        <v>40</v>
      </c>
      <c r="K23" s="296"/>
      <c r="L23" s="297">
        <f t="shared" si="0"/>
        <v>0.93</v>
      </c>
      <c r="M23" s="358">
        <f>IF(VLOOKUP($I23,Max_Load_France!$B$2:$M$102,3,FALSE)="","",VLOOKUP($I23,Max_Load_France!$B$2:$M$102,3,FALSE))</f>
        <v>0</v>
      </c>
      <c r="N23" s="358">
        <f>IF(VLOOKUP($I23,Max_Load_France!$B$2:$M$102,4,FALSE)="","",VLOOKUP($I23,Max_Load_France!$B$2:$M$102,4,FALSE))</f>
        <v>0</v>
      </c>
      <c r="O23" s="358">
        <f>IF(VLOOKUP($I23,Max_Load_France!$B$2:$M$102,5,FALSE)="","",VLOOKUP($I23,Max_Load_France!$B$2:$M$102,5,FALSE))</f>
        <v>1</v>
      </c>
      <c r="P23" s="358">
        <f>IF(VLOOKUP($I23,Max_Load_France!$B$2:$M$102,6,FALSE)="","",VLOOKUP($I23,Max_Load_France!$B$2:$M$102,6,FALSE))</f>
        <v>1</v>
      </c>
      <c r="Q23" s="358">
        <f>IF(VLOOKUP($I23,Max_Load_France!$B$2:$M$102,7,FALSE)="","",VLOOKUP($I23,Max_Load_France!$B$2:$M$102,7,FALSE))</f>
        <v>1</v>
      </c>
      <c r="R23" s="358" t="str">
        <f>IF(VLOOKUP($I23,Max_Load_France!$B$2:$M$102,8,FALSE)="","",VLOOKUP($I23,Max_Load_France!$B$2:$M$102,8,FALSE))</f>
        <v/>
      </c>
      <c r="S23" s="358" t="str">
        <f>IF(VLOOKUP($I23,Max_Load_France!$B$2:$M$102,9,FALSE)="","",VLOOKUP($I23,Max_Load_France!$B$2:$M$102,9,FALSE))</f>
        <v/>
      </c>
      <c r="T23" s="358" t="str">
        <f>IF(VLOOKUP($I23,Max_Load_France!$B$2:$M$102,10,FALSE)="","",VLOOKUP($I23,Max_Load_France!$B$2:$M$102,10,FALSE))</f>
        <v/>
      </c>
      <c r="U23" s="358" t="str">
        <f>IF(VLOOKUP($I23,Max_Load_France!$B$2:$M$102,11,FALSE)="","",VLOOKUP($I23,Max_Load_France!$B$2:$M$102,11,FALSE))</f>
        <v/>
      </c>
      <c r="V23" s="357">
        <f t="shared" si="3"/>
        <v>5</v>
      </c>
      <c r="W23" s="299">
        <f t="shared" si="4"/>
        <v>37.200000000000003</v>
      </c>
      <c r="X23" s="308">
        <v>8.1999999999999993</v>
      </c>
      <c r="Y23" s="308">
        <v>13.2</v>
      </c>
      <c r="Z23" s="308">
        <v>5.0999999999999996</v>
      </c>
      <c r="AA23" s="308">
        <v>5.3</v>
      </c>
      <c r="AB23" s="308">
        <v>5.4</v>
      </c>
      <c r="AC23" s="309"/>
      <c r="AD23" s="301"/>
      <c r="AE23" s="301"/>
      <c r="AF23" s="301"/>
      <c r="AG23" s="302">
        <f t="shared" si="19"/>
        <v>15.799999999999999</v>
      </c>
      <c r="AH23" s="302" t="str">
        <f t="shared" si="5"/>
        <v/>
      </c>
      <c r="AI23" s="302" t="str">
        <f t="shared" si="6"/>
        <v/>
      </c>
      <c r="AJ23" s="302" t="str">
        <f t="shared" si="7"/>
        <v/>
      </c>
      <c r="AK23" s="326">
        <f t="shared" si="1"/>
        <v>35.627359836901121</v>
      </c>
      <c r="AL23" s="354">
        <v>7.6351274209989803</v>
      </c>
      <c r="AM23" s="354">
        <v>13.216819571865443</v>
      </c>
      <c r="AN23" s="308">
        <v>4.9251376146788992</v>
      </c>
      <c r="AO23" s="308">
        <v>4.9251376146788992</v>
      </c>
      <c r="AP23" s="308">
        <v>4.9251376146788992</v>
      </c>
      <c r="AQ23" s="309"/>
      <c r="AR23" s="301"/>
      <c r="AS23" s="301"/>
      <c r="AT23" s="301"/>
      <c r="AU23" s="331">
        <f t="shared" si="8"/>
        <v>14.775412844036698</v>
      </c>
      <c r="AV23" s="331" t="str">
        <f t="shared" si="9"/>
        <v/>
      </c>
      <c r="AW23" s="302" t="str">
        <f t="shared" si="10"/>
        <v/>
      </c>
      <c r="AX23" s="302" t="str">
        <f t="shared" si="11"/>
        <v/>
      </c>
      <c r="AY23" s="349">
        <f t="shared" si="20"/>
        <v>-4.2275273201582843E-2</v>
      </c>
      <c r="AZ23" s="392">
        <f t="shared" si="21"/>
        <v>-6.888689987817305E-2</v>
      </c>
      <c r="BA23" s="392">
        <f t="shared" si="22"/>
        <v>1.274209989806349E-3</v>
      </c>
      <c r="BB23" s="392" t="str">
        <f t="shared" si="22"/>
        <v/>
      </c>
      <c r="BC23" s="392" t="str">
        <f t="shared" si="22"/>
        <v/>
      </c>
      <c r="BD23" s="392" t="str">
        <f t="shared" si="22"/>
        <v/>
      </c>
      <c r="BE23" s="349" t="str">
        <f t="shared" si="23"/>
        <v/>
      </c>
      <c r="BF23" s="349">
        <f t="shared" si="24"/>
        <v>-3.428674221982362E-2</v>
      </c>
      <c r="BG23" s="349">
        <f t="shared" si="24"/>
        <v>-7.0728751947377475E-2</v>
      </c>
      <c r="BH23" s="349">
        <f t="shared" si="24"/>
        <v>-8.7937478763166876E-2</v>
      </c>
      <c r="BI23" s="349" t="str">
        <f t="shared" si="24"/>
        <v/>
      </c>
      <c r="BJ23" s="392">
        <f t="shared" si="25"/>
        <v>-6.4847288352107679E-2</v>
      </c>
      <c r="BK23" s="392" t="str">
        <f t="shared" si="26"/>
        <v/>
      </c>
      <c r="BL23" s="288" t="str">
        <f t="shared" si="2"/>
        <v/>
      </c>
      <c r="BM23" s="136" t="str">
        <f t="shared" si="2"/>
        <v/>
      </c>
      <c r="BN23" s="334">
        <v>51.073700000000002</v>
      </c>
      <c r="BO23" s="398"/>
      <c r="BP23" s="94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</row>
    <row r="24" spans="1:79" s="89" customFormat="1" ht="11.25">
      <c r="A24" s="359" t="s">
        <v>382</v>
      </c>
      <c r="B24" s="365" t="s">
        <v>258</v>
      </c>
      <c r="C24" s="366"/>
      <c r="D24" s="367">
        <v>0.47638888888888892</v>
      </c>
      <c r="E24" s="368">
        <v>40</v>
      </c>
      <c r="F24" s="369"/>
      <c r="G24" s="369"/>
      <c r="H24" s="359"/>
      <c r="I24" s="365" t="s">
        <v>94</v>
      </c>
      <c r="J24" s="358">
        <f>IF(ISERROR(VLOOKUP(I24,Max_Load_France!$B$2:$C$102,2,FALSE)/1000),"",VLOOKUP(I24,Max_Load_France!$B$2:$C$102,2,FALSE)/1000)</f>
        <v>40</v>
      </c>
      <c r="K24" s="296"/>
      <c r="L24" s="297">
        <f t="shared" si="0"/>
        <v>1.115</v>
      </c>
      <c r="M24" s="358">
        <f>IF(VLOOKUP($I24,Max_Load_France!$B$2:$M$102,3,FALSE)="","",VLOOKUP($I24,Max_Load_France!$B$2:$M$102,3,FALSE))</f>
        <v>0</v>
      </c>
      <c r="N24" s="358">
        <f>IF(VLOOKUP($I24,Max_Load_France!$B$2:$M$102,4,FALSE)="","",VLOOKUP($I24,Max_Load_France!$B$2:$M$102,4,FALSE))</f>
        <v>0</v>
      </c>
      <c r="O24" s="358">
        <f>IF(VLOOKUP($I24,Max_Load_France!$B$2:$M$102,5,FALSE)="","",VLOOKUP($I24,Max_Load_France!$B$2:$M$102,5,FALSE))</f>
        <v>1</v>
      </c>
      <c r="P24" s="358">
        <f>IF(VLOOKUP($I24,Max_Load_France!$B$2:$M$102,6,FALSE)="","",VLOOKUP($I24,Max_Load_France!$B$2:$M$102,6,FALSE))</f>
        <v>1</v>
      </c>
      <c r="Q24" s="358">
        <f>IF(VLOOKUP($I24,Max_Load_France!$B$2:$M$102,7,FALSE)="","",VLOOKUP($I24,Max_Load_France!$B$2:$M$102,7,FALSE))</f>
        <v>1</v>
      </c>
      <c r="R24" s="358" t="str">
        <f>IF(VLOOKUP($I24,Max_Load_France!$B$2:$M$102,8,FALSE)="","",VLOOKUP($I24,Max_Load_France!$B$2:$M$102,8,FALSE))</f>
        <v/>
      </c>
      <c r="S24" s="358" t="str">
        <f>IF(VLOOKUP($I24,Max_Load_France!$B$2:$M$102,9,FALSE)="","",VLOOKUP($I24,Max_Load_France!$B$2:$M$102,9,FALSE))</f>
        <v/>
      </c>
      <c r="T24" s="358" t="str">
        <f>IF(VLOOKUP($I24,Max_Load_France!$B$2:$M$102,10,FALSE)="","",VLOOKUP($I24,Max_Load_France!$B$2:$M$102,10,FALSE))</f>
        <v/>
      </c>
      <c r="U24" s="358" t="str">
        <f>IF(VLOOKUP($I24,Max_Load_France!$B$2:$M$102,11,FALSE)="","",VLOOKUP($I24,Max_Load_France!$B$2:$M$102,11,FALSE))</f>
        <v/>
      </c>
      <c r="V24" s="357">
        <f t="shared" si="3"/>
        <v>5</v>
      </c>
      <c r="W24" s="299">
        <f t="shared" si="4"/>
        <v>44.6</v>
      </c>
      <c r="X24" s="308">
        <v>6.3</v>
      </c>
      <c r="Y24" s="308">
        <v>12</v>
      </c>
      <c r="Z24" s="308">
        <v>8.9</v>
      </c>
      <c r="AA24" s="308">
        <v>8.5</v>
      </c>
      <c r="AB24" s="308">
        <v>8.9</v>
      </c>
      <c r="AC24" s="309"/>
      <c r="AD24" s="301"/>
      <c r="AE24" s="301"/>
      <c r="AF24" s="301"/>
      <c r="AG24" s="302">
        <f t="shared" si="19"/>
        <v>26.299999999999997</v>
      </c>
      <c r="AH24" s="302" t="str">
        <f t="shared" si="5"/>
        <v/>
      </c>
      <c r="AI24" s="302" t="str">
        <f t="shared" si="6"/>
        <v/>
      </c>
      <c r="AJ24" s="302" t="str">
        <f t="shared" si="7"/>
        <v/>
      </c>
      <c r="AK24" s="326">
        <f t="shared" si="1"/>
        <v>41.871294597349639</v>
      </c>
      <c r="AL24" s="354">
        <v>4.4612334352701319</v>
      </c>
      <c r="AM24" s="354">
        <v>13.648012232415901</v>
      </c>
      <c r="AN24" s="308">
        <v>7.9206829765545352</v>
      </c>
      <c r="AO24" s="308">
        <v>7.9206829765545352</v>
      </c>
      <c r="AP24" s="308">
        <v>7.9206829765545352</v>
      </c>
      <c r="AQ24" s="309"/>
      <c r="AR24" s="301"/>
      <c r="AS24" s="301"/>
      <c r="AT24" s="301"/>
      <c r="AU24" s="331">
        <f t="shared" si="8"/>
        <v>23.762048929663607</v>
      </c>
      <c r="AV24" s="331" t="str">
        <f t="shared" si="9"/>
        <v/>
      </c>
      <c r="AW24" s="302" t="str">
        <f t="shared" si="10"/>
        <v/>
      </c>
      <c r="AX24" s="302" t="str">
        <f t="shared" si="11"/>
        <v/>
      </c>
      <c r="AY24" s="349" t="str">
        <f t="shared" si="20"/>
        <v/>
      </c>
      <c r="AZ24" s="392" t="str">
        <f t="shared" si="21"/>
        <v/>
      </c>
      <c r="BA24" s="392" t="str">
        <f t="shared" si="22"/>
        <v/>
      </c>
      <c r="BB24" s="392" t="str">
        <f t="shared" si="22"/>
        <v/>
      </c>
      <c r="BC24" s="392" t="str">
        <f t="shared" si="22"/>
        <v/>
      </c>
      <c r="BD24" s="392" t="str">
        <f t="shared" si="22"/>
        <v/>
      </c>
      <c r="BE24" s="349" t="str">
        <f t="shared" si="23"/>
        <v/>
      </c>
      <c r="BF24" s="349" t="str">
        <f t="shared" si="24"/>
        <v/>
      </c>
      <c r="BG24" s="349" t="str">
        <f t="shared" si="24"/>
        <v/>
      </c>
      <c r="BH24" s="349" t="str">
        <f t="shared" si="24"/>
        <v/>
      </c>
      <c r="BI24" s="349" t="str">
        <f t="shared" si="24"/>
        <v/>
      </c>
      <c r="BJ24" s="392" t="str">
        <f t="shared" si="25"/>
        <v/>
      </c>
      <c r="BK24" s="392" t="str">
        <f t="shared" si="26"/>
        <v/>
      </c>
      <c r="BL24" s="288" t="str">
        <f t="shared" si="2"/>
        <v/>
      </c>
      <c r="BM24" s="136" t="str">
        <f t="shared" si="2"/>
        <v/>
      </c>
      <c r="BN24" s="334">
        <v>363.35300000000001</v>
      </c>
      <c r="BO24" s="398" t="s">
        <v>380</v>
      </c>
      <c r="BP24" s="94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</row>
    <row r="25" spans="1:79" s="89" customFormat="1" ht="11.25">
      <c r="A25" s="397" t="s">
        <v>223</v>
      </c>
      <c r="B25" s="358" t="s">
        <v>259</v>
      </c>
      <c r="C25" s="370"/>
      <c r="D25" s="367">
        <v>0.60347222222222219</v>
      </c>
      <c r="E25" s="368">
        <v>56.713680000000004</v>
      </c>
      <c r="F25" s="358"/>
      <c r="G25" s="358"/>
      <c r="H25" s="358"/>
      <c r="I25" s="365" t="s">
        <v>94</v>
      </c>
      <c r="J25" s="358">
        <f>IF(ISERROR(VLOOKUP(I25,Max_Load_France!$B$2:$C$102,2,FALSE)/1000),"",VLOOKUP(I25,Max_Load_France!$B$2:$C$102,2,FALSE)/1000)</f>
        <v>40</v>
      </c>
      <c r="K25" s="296"/>
      <c r="L25" s="297">
        <f t="shared" si="0"/>
        <v>1.0349999999999999</v>
      </c>
      <c r="M25" s="358">
        <f>IF(VLOOKUP($I25,Max_Load_France!$B$2:$M$102,3,FALSE)="","",VLOOKUP($I25,Max_Load_France!$B$2:$M$102,3,FALSE))</f>
        <v>0</v>
      </c>
      <c r="N25" s="358">
        <f>IF(VLOOKUP($I25,Max_Load_France!$B$2:$M$102,4,FALSE)="","",VLOOKUP($I25,Max_Load_France!$B$2:$M$102,4,FALSE))</f>
        <v>0</v>
      </c>
      <c r="O25" s="358">
        <f>IF(VLOOKUP($I25,Max_Load_France!$B$2:$M$102,5,FALSE)="","",VLOOKUP($I25,Max_Load_France!$B$2:$M$102,5,FALSE))</f>
        <v>1</v>
      </c>
      <c r="P25" s="358">
        <f>IF(VLOOKUP($I25,Max_Load_France!$B$2:$M$102,6,FALSE)="","",VLOOKUP($I25,Max_Load_France!$B$2:$M$102,6,FALSE))</f>
        <v>1</v>
      </c>
      <c r="Q25" s="358">
        <f>IF(VLOOKUP($I25,Max_Load_France!$B$2:$M$102,7,FALSE)="","",VLOOKUP($I25,Max_Load_France!$B$2:$M$102,7,FALSE))</f>
        <v>1</v>
      </c>
      <c r="R25" s="358" t="str">
        <f>IF(VLOOKUP($I25,Max_Load_France!$B$2:$M$102,8,FALSE)="","",VLOOKUP($I25,Max_Load_France!$B$2:$M$102,8,FALSE))</f>
        <v/>
      </c>
      <c r="S25" s="358" t="str">
        <f>IF(VLOOKUP($I25,Max_Load_France!$B$2:$M$102,9,FALSE)="","",VLOOKUP($I25,Max_Load_France!$B$2:$M$102,9,FALSE))</f>
        <v/>
      </c>
      <c r="T25" s="358" t="str">
        <f>IF(VLOOKUP($I25,Max_Load_France!$B$2:$M$102,10,FALSE)="","",VLOOKUP($I25,Max_Load_France!$B$2:$M$102,10,FALSE))</f>
        <v/>
      </c>
      <c r="U25" s="358" t="str">
        <f>IF(VLOOKUP($I25,Max_Load_France!$B$2:$M$102,11,FALSE)="","",VLOOKUP($I25,Max_Load_France!$B$2:$M$102,11,FALSE))</f>
        <v/>
      </c>
      <c r="V25" s="357">
        <f t="shared" si="3"/>
        <v>5</v>
      </c>
      <c r="W25" s="299">
        <f t="shared" si="4"/>
        <v>41.4</v>
      </c>
      <c r="X25" s="308">
        <v>6.5</v>
      </c>
      <c r="Y25" s="308">
        <v>9.3000000000000007</v>
      </c>
      <c r="Z25" s="308">
        <v>8.5</v>
      </c>
      <c r="AA25" s="308">
        <v>8.6</v>
      </c>
      <c r="AB25" s="308">
        <v>8.5</v>
      </c>
      <c r="AC25" s="309"/>
      <c r="AD25" s="301"/>
      <c r="AE25" s="301"/>
      <c r="AF25" s="301"/>
      <c r="AG25" s="302">
        <f t="shared" si="19"/>
        <v>25.6</v>
      </c>
      <c r="AH25" s="302" t="str">
        <f t="shared" si="5"/>
        <v/>
      </c>
      <c r="AI25" s="302" t="str">
        <f t="shared" si="6"/>
        <v/>
      </c>
      <c r="AJ25" s="302" t="str">
        <f t="shared" si="7"/>
        <v/>
      </c>
      <c r="AK25" s="326">
        <f t="shared" si="1"/>
        <v>43.618328236493376</v>
      </c>
      <c r="AL25" s="354">
        <v>6.4848725790010189</v>
      </c>
      <c r="AM25" s="354">
        <v>10.165718654434251</v>
      </c>
      <c r="AN25" s="308">
        <v>8.9892456676860348</v>
      </c>
      <c r="AO25" s="308">
        <v>8.9892456676860348</v>
      </c>
      <c r="AP25" s="308">
        <v>8.9892456676860348</v>
      </c>
      <c r="AQ25" s="309"/>
      <c r="AR25" s="301"/>
      <c r="AS25" s="301"/>
      <c r="AT25" s="301"/>
      <c r="AU25" s="331">
        <f t="shared" si="8"/>
        <v>26.967737003058105</v>
      </c>
      <c r="AV25" s="331" t="str">
        <f t="shared" si="9"/>
        <v/>
      </c>
      <c r="AW25" s="302"/>
      <c r="AX25" s="302"/>
      <c r="AY25" s="349">
        <f>IF(AND($BO$10="Yes",$BO25="MP"),"",IF(AK25=0,"",IF($W25/$V25&lt;$BN$6,"",IF($BN25&lt;$BN$10,IF(W25&gt;0,(AK25-W25)/W25,""),""))))</f>
        <v>5.3582807644767569E-2</v>
      </c>
      <c r="AZ25" s="392">
        <f>IF(AND($BO$10="Yes",$BO25="MP"),"",IF(M25=0,IF(AL25&lt;$BN$7,"",IF($W25/$V25&lt;$BN$6,"",IF($BN25&lt;$BN$10,IF(X25&gt;0,(AL25-X25)/X25,""),""))),""))</f>
        <v>-2.327295538304788E-3</v>
      </c>
      <c r="BA25" s="392">
        <f>IF(N25=0,IF(AM25&lt;$BN$7,"",IF($W25/$V25&lt;$BN$6,"",IF($BN25&lt;$BN$10,IF(Y25&gt;0,(AM25-Y25)/Y25,""),""))),"")</f>
        <v>9.3088027358521508E-2</v>
      </c>
      <c r="BB25" s="392" t="str">
        <f>IF(O25=0,IF(AN25&lt;$BN$7,"",IF($W25/$V25&lt;$BN$6,"",IF($BN25&lt;$BN$10,IF(Z25&gt;0,(AN25-Z25)/Z25,""),""))),"")</f>
        <v/>
      </c>
      <c r="BC25" s="392" t="str">
        <f>IF(P25=0,IF(AO25&lt;$BN$7,"",IF($W25/$V25&lt;$BN$6,"",IF($BN25&lt;$BN$10,IF(AA25&gt;0,(AO25-AA25)/AA25,""),""))),"")</f>
        <v/>
      </c>
      <c r="BD25" s="392" t="str">
        <f>IF(Q25=0,IF(AP25&lt;$BN$7,"",IF($W25/$V25&lt;$BN$6,"",IF($BN25&lt;$BN$10,IF(AB25&gt;0,(AP25-AB25)/AB25,""),""))),"")</f>
        <v/>
      </c>
      <c r="BE25" s="349" t="str">
        <f>IF(AND($BO$10="Yes",$BO25="MP"),"",IF(N25&gt;0,IF(AM25&lt;$BN$7,"",IF($W25/$V25&lt;$BN$6,"",IF($BN25&lt;$BN$10,IF(Y25&gt;0,(AM25-Y25)/Y25,""),""))),""))</f>
        <v/>
      </c>
      <c r="BF25" s="349">
        <f>IF(O25&gt;0,IF(AN25&lt;$BN$7,"",IF($W25/$V25&lt;$BN$6,"",IF($BN25&lt;$BN$10,IF(Z25&gt;0,(AN25-Z25)/Z25,""),""))),"")</f>
        <v>5.7558313845415862E-2</v>
      </c>
      <c r="BG25" s="349">
        <f>IF(P25&gt;0,IF(AO25&lt;$BN$7,"",IF($W25/$V25&lt;$BN$6,"",IF($BN25&lt;$BN$10,IF(AA25&gt;0,(AO25-AA25)/AA25,""),""))),"")</f>
        <v>4.5261124149538978E-2</v>
      </c>
      <c r="BH25" s="349">
        <f>IF(Q25&gt;0,IF(AP25&lt;$BN$7,"",IF($W25/$V25&lt;$BN$6,"",IF($BN25&lt;$BN$10,IF(AB25&gt;0,(AP25-AB25)/AB25,""),""))),"")</f>
        <v>5.7558313845415862E-2</v>
      </c>
      <c r="BI25" s="349" t="str">
        <f>IF(R25&gt;0,IF(AQ25&lt;$BN$7,"",IF($W25/$V25&lt;$BN$6,"",IF($BN25&lt;$BN$10,IF(AC25&gt;0,(AQ25-AC25)/AC25,""),""))),"")</f>
        <v/>
      </c>
      <c r="BJ25" s="392">
        <f>IF(AND($BO$10="Yes",$BO25="MP"),"",IF(AG25&lt;$BN$6*COUNTIF(M25:R25,1),"",IF($BN25&lt;$BN$10,IF($BN25&lt;$BN$10,IF(AG25&lt;&gt;"",(AU25-AG25)/AG25,""),""))))</f>
        <v>5.3427226681957152E-2</v>
      </c>
      <c r="BK25" s="392" t="str">
        <f>IF(AND($BO$10="Yes",$BO25="MP"),"",IF(AH25&lt;$BN$6*COUNTIF(M25:R25,2),"",IF($BN25&lt;$BN$10,IF(AH25&lt;&gt;"",(AV25-AH25)/AH25,""),"")))</f>
        <v/>
      </c>
      <c r="BL25" s="288" t="str">
        <f t="shared" si="2"/>
        <v/>
      </c>
      <c r="BM25" s="136" t="str">
        <f t="shared" si="2"/>
        <v/>
      </c>
      <c r="BN25" s="334">
        <v>84.1327</v>
      </c>
      <c r="BO25" s="398"/>
      <c r="BP25" s="94"/>
      <c r="BQ25" s="76"/>
      <c r="BR25" s="76"/>
      <c r="BS25" s="76"/>
      <c r="BT25" s="76"/>
      <c r="BU25" s="76"/>
      <c r="BV25" s="76"/>
      <c r="BW25" s="76"/>
      <c r="BX25" s="76"/>
      <c r="BY25" s="76"/>
      <c r="BZ25" s="76"/>
      <c r="CA25" s="76"/>
    </row>
    <row r="26" spans="1:79" s="89" customFormat="1" ht="11.25">
      <c r="A26" s="359" t="s">
        <v>224</v>
      </c>
      <c r="B26" s="358" t="s">
        <v>260</v>
      </c>
      <c r="C26" s="370"/>
      <c r="D26" s="367">
        <v>0.61249999999999993</v>
      </c>
      <c r="E26" s="371">
        <v>41.420159999999996</v>
      </c>
      <c r="F26" s="358"/>
      <c r="G26" s="358"/>
      <c r="H26" s="358"/>
      <c r="I26" s="365" t="s">
        <v>129</v>
      </c>
      <c r="J26" s="358">
        <f>IF(ISERROR(VLOOKUP(I26,Max_Load_France!$B$2:$C$102,2,FALSE)/1000),"",VLOOKUP(I26,Max_Load_France!$B$2:$C$102,2,FALSE)/1000)</f>
        <v>40</v>
      </c>
      <c r="K26" s="296"/>
      <c r="L26" s="297">
        <f t="shared" si="0"/>
        <v>1.0574999999999999</v>
      </c>
      <c r="M26" s="358">
        <f>IF(VLOOKUP($I26,Max_Load_France!$B$2:$M$102,3,FALSE)="","",VLOOKUP($I26,Max_Load_France!$B$2:$M$102,3,FALSE))</f>
        <v>0</v>
      </c>
      <c r="N26" s="358">
        <f>IF(VLOOKUP($I26,Max_Load_France!$B$2:$M$102,4,FALSE)="","",VLOOKUP($I26,Max_Load_France!$B$2:$M$102,4,FALSE))</f>
        <v>1</v>
      </c>
      <c r="O26" s="358">
        <f>IF(VLOOKUP($I26,Max_Load_France!$B$2:$M$102,5,FALSE)="","",VLOOKUP($I26,Max_Load_France!$B$2:$M$102,5,FALSE))</f>
        <v>1</v>
      </c>
      <c r="P26" s="358">
        <f>IF(VLOOKUP($I26,Max_Load_France!$B$2:$M$102,6,FALSE)="","",VLOOKUP($I26,Max_Load_France!$B$2:$M$102,6,FALSE))</f>
        <v>2</v>
      </c>
      <c r="Q26" s="358">
        <f>IF(VLOOKUP($I26,Max_Load_France!$B$2:$M$102,7,FALSE)="","",VLOOKUP($I26,Max_Load_France!$B$2:$M$102,7,FALSE))</f>
        <v>2</v>
      </c>
      <c r="R26" s="358" t="str">
        <f>IF(VLOOKUP($I26,Max_Load_France!$B$2:$M$102,8,FALSE)="","",VLOOKUP($I26,Max_Load_France!$B$2:$M$102,8,FALSE))</f>
        <v/>
      </c>
      <c r="S26" s="358" t="str">
        <f>IF(VLOOKUP($I26,Max_Load_France!$B$2:$M$102,9,FALSE)="","",VLOOKUP($I26,Max_Load_France!$B$2:$M$102,9,FALSE))</f>
        <v/>
      </c>
      <c r="T26" s="358" t="str">
        <f>IF(VLOOKUP($I26,Max_Load_France!$B$2:$M$102,10,FALSE)="","",VLOOKUP($I26,Max_Load_France!$B$2:$M$102,10,FALSE))</f>
        <v/>
      </c>
      <c r="U26" s="358" t="str">
        <f>IF(VLOOKUP($I26,Max_Load_France!$B$2:$M$102,11,FALSE)="","",VLOOKUP($I26,Max_Load_France!$B$2:$M$102,11,FALSE))</f>
        <v/>
      </c>
      <c r="V26" s="357">
        <f t="shared" si="3"/>
        <v>5</v>
      </c>
      <c r="W26" s="299">
        <f t="shared" si="4"/>
        <v>42.3</v>
      </c>
      <c r="X26" s="308">
        <v>5.9</v>
      </c>
      <c r="Y26" s="308">
        <v>7.5</v>
      </c>
      <c r="Z26" s="308">
        <v>7.3</v>
      </c>
      <c r="AA26" s="308">
        <v>10.8</v>
      </c>
      <c r="AB26" s="308">
        <v>10.8</v>
      </c>
      <c r="AC26" s="309"/>
      <c r="AD26" s="301"/>
      <c r="AE26" s="301"/>
      <c r="AF26" s="301"/>
      <c r="AG26" s="302">
        <f t="shared" si="19"/>
        <v>14.8</v>
      </c>
      <c r="AH26" s="302">
        <f t="shared" si="5"/>
        <v>21.6</v>
      </c>
      <c r="AI26" s="302" t="str">
        <f t="shared" si="6"/>
        <v/>
      </c>
      <c r="AJ26" s="302" t="str">
        <f t="shared" si="7"/>
        <v/>
      </c>
      <c r="AK26" s="326">
        <f t="shared" si="1"/>
        <v>41.797879714576958</v>
      </c>
      <c r="AL26" s="354">
        <v>6.2528236493374107</v>
      </c>
      <c r="AM26" s="354">
        <v>7.0602956167176343</v>
      </c>
      <c r="AN26" s="308">
        <v>7.0602956167176343</v>
      </c>
      <c r="AO26" s="308">
        <v>10.71223241590214</v>
      </c>
      <c r="AP26" s="308">
        <v>10.71223241590214</v>
      </c>
      <c r="AQ26" s="309"/>
      <c r="AR26" s="301"/>
      <c r="AS26" s="301"/>
      <c r="AT26" s="301"/>
      <c r="AU26" s="331">
        <f t="shared" si="8"/>
        <v>14.120591233435269</v>
      </c>
      <c r="AV26" s="331">
        <f t="shared" si="9"/>
        <v>21.424464831804279</v>
      </c>
      <c r="AW26" s="302"/>
      <c r="AX26" s="302"/>
      <c r="AY26" s="349" t="str">
        <f t="shared" ref="AY26:AY29" si="27">IF(AND($BO$10="Yes",$BO26="MP"),"",IF(AK26=0,"",IF($W26/$V26&lt;$BN$6,"",IF($BN26&lt;$BN$10,IF(W26&gt;0,(AK26-W26)/W26,""),""))))</f>
        <v/>
      </c>
      <c r="AZ26" s="392" t="str">
        <f t="shared" ref="AZ26:AZ29" si="28">IF(AND($BO$10="Yes",$BO26="MP"),"",IF(M26=0,IF(AL26&lt;$BN$7,"",IF($W26/$V26&lt;$BN$6,"",IF($BN26&lt;$BN$10,IF(X26&gt;0,(AL26-X26)/X26,""),""))),""))</f>
        <v/>
      </c>
      <c r="BA26" s="392" t="str">
        <f t="shared" ref="BA26:BD29" si="29">IF(N26=0,IF(AM26&lt;$BN$7,"",IF($W26/$V26&lt;$BN$6,"",IF($BN26&lt;$BN$10,IF(Y26&gt;0,(AM26-Y26)/Y26,""),""))),"")</f>
        <v/>
      </c>
      <c r="BB26" s="392" t="str">
        <f t="shared" si="29"/>
        <v/>
      </c>
      <c r="BC26" s="392" t="str">
        <f t="shared" si="29"/>
        <v/>
      </c>
      <c r="BD26" s="392" t="str">
        <f t="shared" si="29"/>
        <v/>
      </c>
      <c r="BE26" s="349" t="str">
        <f t="shared" ref="BE26:BE29" si="30">IF(AND($BO$10="Yes",$BO26="MP"),"",IF(N26&gt;0,IF(AM26&lt;$BN$7,"",IF($W26/$V26&lt;$BN$6,"",IF($BN26&lt;$BN$10,IF(Y26&gt;0,(AM26-Y26)/Y26,""),""))),""))</f>
        <v/>
      </c>
      <c r="BF26" s="349">
        <f t="shared" ref="BF26:BI29" si="31">IF(O26&gt;0,IF(AN26&lt;$BN$7,"",IF($W26/$V26&lt;$BN$6,"",IF($BN26&lt;$BN$10,IF(Z26&gt;0,(AN26-Z26)/Z26,""),""))),"")</f>
        <v>-3.2836216887995283E-2</v>
      </c>
      <c r="BG26" s="349">
        <f t="shared" si="31"/>
        <v>-8.1266281572093622E-3</v>
      </c>
      <c r="BH26" s="349">
        <f t="shared" si="31"/>
        <v>-8.1266281572093622E-3</v>
      </c>
      <c r="BI26" s="349" t="str">
        <f t="shared" si="31"/>
        <v/>
      </c>
      <c r="BJ26" s="392" t="str">
        <f t="shared" ref="BJ26:BJ29" si="32">IF(AND($BO$10="Yes",$BO26="MP"),"",IF(AG26&lt;$BN$6*COUNTIF(M26:R26,1),"",IF($BN26&lt;$BN$10,IF($BN26&lt;$BN$10,IF(AG26&lt;&gt;"",(AU26-AG26)/AG26,""),""))))</f>
        <v/>
      </c>
      <c r="BK26" s="392" t="str">
        <f t="shared" ref="BK26:BK29" si="33">IF(AND($BO$10="Yes",$BO26="MP"),"",IF(AH26&lt;$BN$6*COUNTIF(M26:R26,2),"",IF($BN26&lt;$BN$10,IF(AH26&lt;&gt;"",(AV26-AH26)/AH26,""),"")))</f>
        <v/>
      </c>
      <c r="BL26" s="288" t="str">
        <f t="shared" si="2"/>
        <v/>
      </c>
      <c r="BM26" s="136" t="str">
        <f t="shared" si="2"/>
        <v/>
      </c>
      <c r="BN26" s="334">
        <v>130.92400000000001</v>
      </c>
      <c r="BO26" s="398" t="s">
        <v>380</v>
      </c>
      <c r="BP26" s="94"/>
      <c r="BQ26" s="76"/>
      <c r="BR26" s="76"/>
      <c r="BS26" s="76"/>
      <c r="BT26" s="76"/>
      <c r="BU26" s="76"/>
      <c r="BV26" s="76"/>
      <c r="BW26" s="76"/>
      <c r="BX26" s="76"/>
      <c r="BY26" s="76"/>
      <c r="BZ26" s="76"/>
      <c r="CA26" s="76"/>
    </row>
    <row r="27" spans="1:79" s="89" customFormat="1" ht="11.25">
      <c r="A27" s="359" t="s">
        <v>225</v>
      </c>
      <c r="B27" s="358" t="s">
        <v>261</v>
      </c>
      <c r="C27" s="370"/>
      <c r="D27" s="367">
        <v>0.61736111111111114</v>
      </c>
      <c r="E27" s="371">
        <v>67.025520000000014</v>
      </c>
      <c r="F27" s="358"/>
      <c r="G27" s="358"/>
      <c r="H27" s="358"/>
      <c r="I27" s="365" t="s">
        <v>94</v>
      </c>
      <c r="J27" s="358">
        <f>IF(ISERROR(VLOOKUP(I27,Max_Load_France!$B$2:$C$102,2,FALSE)/1000),"",VLOOKUP(I27,Max_Load_France!$B$2:$C$102,2,FALSE)/1000)</f>
        <v>40</v>
      </c>
      <c r="K27" s="296"/>
      <c r="L27" s="297">
        <f t="shared" si="0"/>
        <v>0.86999999999999988</v>
      </c>
      <c r="M27" s="358">
        <f>IF(VLOOKUP($I27,Max_Load_France!$B$2:$M$102,3,FALSE)="","",VLOOKUP($I27,Max_Load_France!$B$2:$M$102,3,FALSE))</f>
        <v>0</v>
      </c>
      <c r="N27" s="358">
        <f>IF(VLOOKUP($I27,Max_Load_France!$B$2:$M$102,4,FALSE)="","",VLOOKUP($I27,Max_Load_France!$B$2:$M$102,4,FALSE))</f>
        <v>0</v>
      </c>
      <c r="O27" s="358">
        <f>IF(VLOOKUP($I27,Max_Load_France!$B$2:$M$102,5,FALSE)="","",VLOOKUP($I27,Max_Load_France!$B$2:$M$102,5,FALSE))</f>
        <v>1</v>
      </c>
      <c r="P27" s="358">
        <f>IF(VLOOKUP($I27,Max_Load_France!$B$2:$M$102,6,FALSE)="","",VLOOKUP($I27,Max_Load_France!$B$2:$M$102,6,FALSE))</f>
        <v>1</v>
      </c>
      <c r="Q27" s="358">
        <f>IF(VLOOKUP($I27,Max_Load_France!$B$2:$M$102,7,FALSE)="","",VLOOKUP($I27,Max_Load_France!$B$2:$M$102,7,FALSE))</f>
        <v>1</v>
      </c>
      <c r="R27" s="358" t="str">
        <f>IF(VLOOKUP($I27,Max_Load_France!$B$2:$M$102,8,FALSE)="","",VLOOKUP($I27,Max_Load_France!$B$2:$M$102,8,FALSE))</f>
        <v/>
      </c>
      <c r="S27" s="358" t="str">
        <f>IF(VLOOKUP($I27,Max_Load_France!$B$2:$M$102,9,FALSE)="","",VLOOKUP($I27,Max_Load_France!$B$2:$M$102,9,FALSE))</f>
        <v/>
      </c>
      <c r="T27" s="358" t="str">
        <f>IF(VLOOKUP($I27,Max_Load_France!$B$2:$M$102,10,FALSE)="","",VLOOKUP($I27,Max_Load_France!$B$2:$M$102,10,FALSE))</f>
        <v/>
      </c>
      <c r="U27" s="358" t="str">
        <f>IF(VLOOKUP($I27,Max_Load_France!$B$2:$M$102,11,FALSE)="","",VLOOKUP($I27,Max_Load_France!$B$2:$M$102,11,FALSE))</f>
        <v/>
      </c>
      <c r="V27" s="357">
        <f t="shared" si="3"/>
        <v>5</v>
      </c>
      <c r="W27" s="299">
        <f t="shared" si="4"/>
        <v>34.799999999999997</v>
      </c>
      <c r="X27" s="308">
        <v>7.1</v>
      </c>
      <c r="Y27" s="308">
        <v>10</v>
      </c>
      <c r="Z27" s="308">
        <v>5.9</v>
      </c>
      <c r="AA27" s="308">
        <v>6</v>
      </c>
      <c r="AB27" s="308">
        <v>5.8</v>
      </c>
      <c r="AC27" s="309"/>
      <c r="AD27" s="301"/>
      <c r="AE27" s="301"/>
      <c r="AF27" s="301"/>
      <c r="AG27" s="302">
        <f t="shared" si="19"/>
        <v>17.7</v>
      </c>
      <c r="AH27" s="302" t="str">
        <f t="shared" si="5"/>
        <v/>
      </c>
      <c r="AI27" s="302" t="str">
        <f t="shared" si="6"/>
        <v/>
      </c>
      <c r="AJ27" s="302" t="str">
        <f t="shared" si="7"/>
        <v/>
      </c>
      <c r="AK27" s="326">
        <f t="shared" si="1"/>
        <v>34.697991845056059</v>
      </c>
      <c r="AL27" s="354">
        <v>5.4113455657492349</v>
      </c>
      <c r="AM27" s="354">
        <v>11.797349643221203</v>
      </c>
      <c r="AN27" s="308">
        <v>5.8297655453618749</v>
      </c>
      <c r="AO27" s="308">
        <v>5.8297655453618749</v>
      </c>
      <c r="AP27" s="308">
        <v>5.8297655453618749</v>
      </c>
      <c r="AQ27" s="309"/>
      <c r="AR27" s="301"/>
      <c r="AS27" s="301"/>
      <c r="AT27" s="301"/>
      <c r="AU27" s="331">
        <f t="shared" si="8"/>
        <v>17.489296636085626</v>
      </c>
      <c r="AV27" s="331" t="str">
        <f t="shared" si="9"/>
        <v/>
      </c>
      <c r="AW27" s="302"/>
      <c r="AX27" s="302"/>
      <c r="AY27" s="349">
        <f t="shared" si="27"/>
        <v>-2.9312688202281102E-3</v>
      </c>
      <c r="AZ27" s="392">
        <f t="shared" si="28"/>
        <v>-0.23783865271137533</v>
      </c>
      <c r="BA27" s="392">
        <f t="shared" si="29"/>
        <v>0.1797349643221203</v>
      </c>
      <c r="BB27" s="392" t="str">
        <f t="shared" si="29"/>
        <v/>
      </c>
      <c r="BC27" s="392" t="str">
        <f t="shared" si="29"/>
        <v/>
      </c>
      <c r="BD27" s="392" t="str">
        <f t="shared" si="29"/>
        <v/>
      </c>
      <c r="BE27" s="349" t="str">
        <f t="shared" si="30"/>
        <v/>
      </c>
      <c r="BF27" s="349">
        <f t="shared" si="31"/>
        <v>-1.1904144853919576E-2</v>
      </c>
      <c r="BG27" s="349">
        <f t="shared" si="31"/>
        <v>-2.8372409106354191E-2</v>
      </c>
      <c r="BH27" s="349">
        <f t="shared" si="31"/>
        <v>5.131990579633627E-3</v>
      </c>
      <c r="BI27" s="349" t="str">
        <f t="shared" si="31"/>
        <v/>
      </c>
      <c r="BJ27" s="392">
        <f t="shared" si="32"/>
        <v>-1.1904144853919376E-2</v>
      </c>
      <c r="BK27" s="392" t="str">
        <f t="shared" si="33"/>
        <v/>
      </c>
      <c r="BL27" s="288" t="str">
        <f t="shared" si="2"/>
        <v/>
      </c>
      <c r="BM27" s="136" t="str">
        <f t="shared" si="2"/>
        <v/>
      </c>
      <c r="BN27" s="334">
        <v>102.934</v>
      </c>
      <c r="BO27" s="398"/>
      <c r="BP27" s="94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</row>
    <row r="28" spans="1:79" s="89" customFormat="1" ht="11.25">
      <c r="A28" s="359" t="s">
        <v>226</v>
      </c>
      <c r="B28" s="358" t="s">
        <v>262</v>
      </c>
      <c r="C28" s="370"/>
      <c r="D28" s="367">
        <v>0.61944444444444446</v>
      </c>
      <c r="E28" s="371">
        <v>43.49736</v>
      </c>
      <c r="F28" s="358"/>
      <c r="G28" s="358"/>
      <c r="H28" s="358"/>
      <c r="I28" s="365" t="s">
        <v>94</v>
      </c>
      <c r="J28" s="358">
        <f>IF(ISERROR(VLOOKUP(I28,Max_Load_France!$B$2:$C$102,2,FALSE)/1000),"",VLOOKUP(I28,Max_Load_France!$B$2:$C$102,2,FALSE)/1000)</f>
        <v>40</v>
      </c>
      <c r="K28" s="296"/>
      <c r="L28" s="297">
        <f t="shared" si="0"/>
        <v>0.97499999999999998</v>
      </c>
      <c r="M28" s="358">
        <f>IF(VLOOKUP($I28,Max_Load_France!$B$2:$M$102,3,FALSE)="","",VLOOKUP($I28,Max_Load_France!$B$2:$M$102,3,FALSE))</f>
        <v>0</v>
      </c>
      <c r="N28" s="358">
        <f>IF(VLOOKUP($I28,Max_Load_France!$B$2:$M$102,4,FALSE)="","",VLOOKUP($I28,Max_Load_France!$B$2:$M$102,4,FALSE))</f>
        <v>0</v>
      </c>
      <c r="O28" s="358">
        <f>IF(VLOOKUP($I28,Max_Load_France!$B$2:$M$102,5,FALSE)="","",VLOOKUP($I28,Max_Load_France!$B$2:$M$102,5,FALSE))</f>
        <v>1</v>
      </c>
      <c r="P28" s="358">
        <f>IF(VLOOKUP($I28,Max_Load_France!$B$2:$M$102,6,FALSE)="","",VLOOKUP($I28,Max_Load_France!$B$2:$M$102,6,FALSE))</f>
        <v>1</v>
      </c>
      <c r="Q28" s="358">
        <f>IF(VLOOKUP($I28,Max_Load_France!$B$2:$M$102,7,FALSE)="","",VLOOKUP($I28,Max_Load_France!$B$2:$M$102,7,FALSE))</f>
        <v>1</v>
      </c>
      <c r="R28" s="358" t="str">
        <f>IF(VLOOKUP($I28,Max_Load_France!$B$2:$M$102,8,FALSE)="","",VLOOKUP($I28,Max_Load_France!$B$2:$M$102,8,FALSE))</f>
        <v/>
      </c>
      <c r="S28" s="358" t="str">
        <f>IF(VLOOKUP($I28,Max_Load_France!$B$2:$M$102,9,FALSE)="","",VLOOKUP($I28,Max_Load_France!$B$2:$M$102,9,FALSE))</f>
        <v/>
      </c>
      <c r="T28" s="358" t="str">
        <f>IF(VLOOKUP($I28,Max_Load_France!$B$2:$M$102,10,FALSE)="","",VLOOKUP($I28,Max_Load_France!$B$2:$M$102,10,FALSE))</f>
        <v/>
      </c>
      <c r="U28" s="358" t="str">
        <f>IF(VLOOKUP($I28,Max_Load_France!$B$2:$M$102,11,FALSE)="","",VLOOKUP($I28,Max_Load_France!$B$2:$M$102,11,FALSE))</f>
        <v/>
      </c>
      <c r="V28" s="357">
        <f t="shared" si="3"/>
        <v>5</v>
      </c>
      <c r="W28" s="299">
        <f t="shared" si="4"/>
        <v>39</v>
      </c>
      <c r="X28" s="308">
        <v>6.9</v>
      </c>
      <c r="Y28" s="308">
        <v>12.2</v>
      </c>
      <c r="Z28" s="308">
        <v>6.1</v>
      </c>
      <c r="AA28" s="308">
        <v>6.4</v>
      </c>
      <c r="AB28" s="308">
        <v>7.4</v>
      </c>
      <c r="AC28" s="309"/>
      <c r="AD28" s="301"/>
      <c r="AE28" s="301"/>
      <c r="AF28" s="301"/>
      <c r="AG28" s="302">
        <f t="shared" si="19"/>
        <v>19.899999999999999</v>
      </c>
      <c r="AH28" s="302" t="str">
        <f t="shared" si="5"/>
        <v/>
      </c>
      <c r="AI28" s="302" t="str">
        <f t="shared" si="6"/>
        <v/>
      </c>
      <c r="AJ28" s="302" t="str">
        <f t="shared" si="7"/>
        <v/>
      </c>
      <c r="AK28" s="326">
        <f t="shared" si="1"/>
        <v>34.234668705402648</v>
      </c>
      <c r="AL28" s="354">
        <v>5.6867278287461769</v>
      </c>
      <c r="AM28" s="354">
        <v>11.347298674821609</v>
      </c>
      <c r="AN28" s="308">
        <v>5.73354740061162</v>
      </c>
      <c r="AO28" s="308">
        <v>5.73354740061162</v>
      </c>
      <c r="AP28" s="308">
        <v>5.73354740061162</v>
      </c>
      <c r="AQ28" s="309"/>
      <c r="AR28" s="301"/>
      <c r="AS28" s="301"/>
      <c r="AT28" s="301"/>
      <c r="AU28" s="331">
        <f t="shared" si="8"/>
        <v>17.20064220183486</v>
      </c>
      <c r="AV28" s="331" t="str">
        <f t="shared" si="9"/>
        <v/>
      </c>
      <c r="AW28" s="302"/>
      <c r="AX28" s="302"/>
      <c r="AY28" s="349" t="str">
        <f t="shared" si="27"/>
        <v/>
      </c>
      <c r="AZ28" s="392" t="str">
        <f t="shared" si="28"/>
        <v/>
      </c>
      <c r="BA28" s="392">
        <f t="shared" si="29"/>
        <v>-6.9893551244130381E-2</v>
      </c>
      <c r="BB28" s="392" t="str">
        <f t="shared" si="29"/>
        <v/>
      </c>
      <c r="BC28" s="392" t="str">
        <f t="shared" si="29"/>
        <v/>
      </c>
      <c r="BD28" s="392" t="str">
        <f t="shared" si="29"/>
        <v/>
      </c>
      <c r="BE28" s="349" t="str">
        <f t="shared" si="30"/>
        <v/>
      </c>
      <c r="BF28" s="349">
        <f t="shared" si="31"/>
        <v>-6.0074196621045836E-2</v>
      </c>
      <c r="BG28" s="349">
        <f t="shared" si="31"/>
        <v>-0.10413321865443442</v>
      </c>
      <c r="BH28" s="349">
        <f t="shared" si="31"/>
        <v>-0.22519629721464599</v>
      </c>
      <c r="BI28" s="349" t="str">
        <f t="shared" si="31"/>
        <v/>
      </c>
      <c r="BJ28" s="392" t="str">
        <f t="shared" si="32"/>
        <v/>
      </c>
      <c r="BK28" s="392" t="str">
        <f t="shared" si="33"/>
        <v/>
      </c>
      <c r="BL28" s="288" t="str">
        <f t="shared" si="2"/>
        <v/>
      </c>
      <c r="BM28" s="136" t="str">
        <f t="shared" si="2"/>
        <v/>
      </c>
      <c r="BN28" s="334">
        <v>106.85599999999999</v>
      </c>
      <c r="BO28" s="398" t="s">
        <v>380</v>
      </c>
      <c r="BP28" s="94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</row>
    <row r="29" spans="1:79" s="89" customFormat="1" ht="11.25">
      <c r="A29" s="359" t="s">
        <v>227</v>
      </c>
      <c r="B29" s="358" t="s">
        <v>263</v>
      </c>
      <c r="C29" s="370"/>
      <c r="D29" s="367">
        <v>0.62430555555555556</v>
      </c>
      <c r="E29" s="371">
        <v>43.755479999999999</v>
      </c>
      <c r="F29" s="358"/>
      <c r="G29" s="358"/>
      <c r="H29" s="358"/>
      <c r="I29" s="365" t="s">
        <v>94</v>
      </c>
      <c r="J29" s="358">
        <f>IF(ISERROR(VLOOKUP(I29,Max_Load_France!$B$2:$C$102,2,FALSE)/1000),"",VLOOKUP(I29,Max_Load_France!$B$2:$C$102,2,FALSE)/1000)</f>
        <v>40</v>
      </c>
      <c r="K29" s="296"/>
      <c r="L29" s="297">
        <f t="shared" si="0"/>
        <v>1.0450000000000002</v>
      </c>
      <c r="M29" s="358">
        <f>IF(VLOOKUP($I29,Max_Load_France!$B$2:$M$102,3,FALSE)="","",VLOOKUP($I29,Max_Load_France!$B$2:$M$102,3,FALSE))</f>
        <v>0</v>
      </c>
      <c r="N29" s="358">
        <f>IF(VLOOKUP($I29,Max_Load_France!$B$2:$M$102,4,FALSE)="","",VLOOKUP($I29,Max_Load_France!$B$2:$M$102,4,FALSE))</f>
        <v>0</v>
      </c>
      <c r="O29" s="358">
        <f>IF(VLOOKUP($I29,Max_Load_France!$B$2:$M$102,5,FALSE)="","",VLOOKUP($I29,Max_Load_France!$B$2:$M$102,5,FALSE))</f>
        <v>1</v>
      </c>
      <c r="P29" s="358">
        <f>IF(VLOOKUP($I29,Max_Load_France!$B$2:$M$102,6,FALSE)="","",VLOOKUP($I29,Max_Load_France!$B$2:$M$102,6,FALSE))</f>
        <v>1</v>
      </c>
      <c r="Q29" s="358">
        <f>IF(VLOOKUP($I29,Max_Load_France!$B$2:$M$102,7,FALSE)="","",VLOOKUP($I29,Max_Load_France!$B$2:$M$102,7,FALSE))</f>
        <v>1</v>
      </c>
      <c r="R29" s="358" t="str">
        <f>IF(VLOOKUP($I29,Max_Load_France!$B$2:$M$102,8,FALSE)="","",VLOOKUP($I29,Max_Load_France!$B$2:$M$102,8,FALSE))</f>
        <v/>
      </c>
      <c r="S29" s="358" t="str">
        <f>IF(VLOOKUP($I29,Max_Load_France!$B$2:$M$102,9,FALSE)="","",VLOOKUP($I29,Max_Load_France!$B$2:$M$102,9,FALSE))</f>
        <v/>
      </c>
      <c r="T29" s="358" t="str">
        <f>IF(VLOOKUP($I29,Max_Load_France!$B$2:$M$102,10,FALSE)="","",VLOOKUP($I29,Max_Load_France!$B$2:$M$102,10,FALSE))</f>
        <v/>
      </c>
      <c r="U29" s="358" t="str">
        <f>IF(VLOOKUP($I29,Max_Load_France!$B$2:$M$102,11,FALSE)="","",VLOOKUP($I29,Max_Load_France!$B$2:$M$102,11,FALSE))</f>
        <v/>
      </c>
      <c r="V29" s="357">
        <f t="shared" si="3"/>
        <v>5</v>
      </c>
      <c r="W29" s="299">
        <f t="shared" si="4"/>
        <v>41.800000000000004</v>
      </c>
      <c r="X29" s="308">
        <v>6.3</v>
      </c>
      <c r="Y29" s="308">
        <v>12.7</v>
      </c>
      <c r="Z29" s="308">
        <v>7.2</v>
      </c>
      <c r="AA29" s="308">
        <v>7.9</v>
      </c>
      <c r="AB29" s="308">
        <v>7.7</v>
      </c>
      <c r="AC29" s="309"/>
      <c r="AD29" s="301"/>
      <c r="AE29" s="301"/>
      <c r="AF29" s="301"/>
      <c r="AG29" s="302">
        <f t="shared" si="19"/>
        <v>22.8</v>
      </c>
      <c r="AH29" s="302" t="str">
        <f t="shared" si="5"/>
        <v/>
      </c>
      <c r="AI29" s="302" t="str">
        <f t="shared" si="6"/>
        <v/>
      </c>
      <c r="AJ29" s="302" t="str">
        <f t="shared" si="7"/>
        <v/>
      </c>
      <c r="AK29" s="326">
        <f t="shared" si="1"/>
        <v>38.823781855249749</v>
      </c>
      <c r="AL29" s="354">
        <v>5.9168807339449545</v>
      </c>
      <c r="AM29" s="354">
        <v>10.383995922528033</v>
      </c>
      <c r="AN29" s="308">
        <v>7.5076350662589197</v>
      </c>
      <c r="AO29" s="308">
        <v>7.5076350662589197</v>
      </c>
      <c r="AP29" s="308">
        <v>7.5076350662589197</v>
      </c>
      <c r="AQ29" s="309"/>
      <c r="AR29" s="301"/>
      <c r="AS29" s="301"/>
      <c r="AT29" s="301"/>
      <c r="AU29" s="331">
        <f t="shared" si="8"/>
        <v>22.522905198776758</v>
      </c>
      <c r="AV29" s="331" t="str">
        <f t="shared" si="9"/>
        <v/>
      </c>
      <c r="AW29" s="302"/>
      <c r="AX29" s="302"/>
      <c r="AY29" s="349" t="str">
        <f t="shared" si="27"/>
        <v/>
      </c>
      <c r="AZ29" s="392" t="str">
        <f t="shared" si="28"/>
        <v/>
      </c>
      <c r="BA29" s="392" t="str">
        <f t="shared" si="29"/>
        <v/>
      </c>
      <c r="BB29" s="392" t="str">
        <f t="shared" si="29"/>
        <v/>
      </c>
      <c r="BC29" s="392" t="str">
        <f t="shared" si="29"/>
        <v/>
      </c>
      <c r="BD29" s="392" t="str">
        <f t="shared" si="29"/>
        <v/>
      </c>
      <c r="BE29" s="349" t="str">
        <f t="shared" si="30"/>
        <v/>
      </c>
      <c r="BF29" s="349" t="str">
        <f t="shared" si="31"/>
        <v/>
      </c>
      <c r="BG29" s="349" t="str">
        <f t="shared" si="31"/>
        <v/>
      </c>
      <c r="BH29" s="349" t="str">
        <f t="shared" si="31"/>
        <v/>
      </c>
      <c r="BI29" s="349" t="str">
        <f t="shared" si="31"/>
        <v/>
      </c>
      <c r="BJ29" s="392" t="b">
        <f t="shared" si="32"/>
        <v>0</v>
      </c>
      <c r="BK29" s="392" t="str">
        <f t="shared" si="33"/>
        <v/>
      </c>
      <c r="BL29" s="288" t="str">
        <f t="shared" si="2"/>
        <v/>
      </c>
      <c r="BM29" s="136" t="str">
        <f t="shared" si="2"/>
        <v/>
      </c>
      <c r="BN29" s="334">
        <v>149.65100000000001</v>
      </c>
      <c r="BO29" s="398"/>
      <c r="BP29" s="94"/>
      <c r="BQ29" s="76"/>
      <c r="BR29" s="76"/>
      <c r="BS29" s="76"/>
      <c r="BT29" s="76"/>
      <c r="BU29" s="76"/>
      <c r="BV29" s="76"/>
      <c r="BW29" s="76"/>
      <c r="BX29" s="76"/>
      <c r="BY29" s="76"/>
      <c r="BZ29" s="76"/>
      <c r="CA29" s="76"/>
    </row>
    <row r="30" spans="1:79" s="89" customFormat="1" ht="11.25">
      <c r="A30" s="359" t="s">
        <v>228</v>
      </c>
      <c r="B30" s="358" t="s">
        <v>264</v>
      </c>
      <c r="C30" s="370"/>
      <c r="D30" s="307">
        <v>0.62708333333333333</v>
      </c>
      <c r="E30" s="371">
        <v>56.496600000000001</v>
      </c>
      <c r="F30" s="296"/>
      <c r="G30" s="296"/>
      <c r="H30" s="358"/>
      <c r="I30" s="365" t="s">
        <v>94</v>
      </c>
      <c r="J30" s="358">
        <f>IF(ISERROR(VLOOKUP(I30,Max_Load_France!$B$2:$C$102,2,FALSE)/1000),"",VLOOKUP(I30,Max_Load_France!$B$2:$C$102,2,FALSE)/1000)</f>
        <v>40</v>
      </c>
      <c r="K30" s="296"/>
      <c r="L30" s="297">
        <f t="shared" si="0"/>
        <v>1.0899999999999999</v>
      </c>
      <c r="M30" s="358">
        <f>IF(VLOOKUP($I30,Max_Load_France!$B$2:$M$102,3,FALSE)="","",VLOOKUP($I30,Max_Load_France!$B$2:$M$102,3,FALSE))</f>
        <v>0</v>
      </c>
      <c r="N30" s="358">
        <f>IF(VLOOKUP($I30,Max_Load_France!$B$2:$M$102,4,FALSE)="","",VLOOKUP($I30,Max_Load_France!$B$2:$M$102,4,FALSE))</f>
        <v>0</v>
      </c>
      <c r="O30" s="358">
        <f>IF(VLOOKUP($I30,Max_Load_France!$B$2:$M$102,5,FALSE)="","",VLOOKUP($I30,Max_Load_France!$B$2:$M$102,5,FALSE))</f>
        <v>1</v>
      </c>
      <c r="P30" s="358">
        <f>IF(VLOOKUP($I30,Max_Load_France!$B$2:$M$102,6,FALSE)="","",VLOOKUP($I30,Max_Load_France!$B$2:$M$102,6,FALSE))</f>
        <v>1</v>
      </c>
      <c r="Q30" s="358">
        <f>IF(VLOOKUP($I30,Max_Load_France!$B$2:$M$102,7,FALSE)="","",VLOOKUP($I30,Max_Load_France!$B$2:$M$102,7,FALSE))</f>
        <v>1</v>
      </c>
      <c r="R30" s="358" t="str">
        <f>IF(VLOOKUP($I30,Max_Load_France!$B$2:$M$102,8,FALSE)="","",VLOOKUP($I30,Max_Load_France!$B$2:$M$102,8,FALSE))</f>
        <v/>
      </c>
      <c r="S30" s="358" t="str">
        <f>IF(VLOOKUP($I30,Max_Load_France!$B$2:$M$102,9,FALSE)="","",VLOOKUP($I30,Max_Load_France!$B$2:$M$102,9,FALSE))</f>
        <v/>
      </c>
      <c r="T30" s="358" t="str">
        <f>IF(VLOOKUP($I30,Max_Load_France!$B$2:$M$102,10,FALSE)="","",VLOOKUP($I30,Max_Load_France!$B$2:$M$102,10,FALSE))</f>
        <v/>
      </c>
      <c r="U30" s="358" t="str">
        <f>IF(VLOOKUP($I30,Max_Load_France!$B$2:$M$102,11,FALSE)="","",VLOOKUP($I30,Max_Load_France!$B$2:$M$102,11,FALSE))</f>
        <v/>
      </c>
      <c r="V30" s="357">
        <f t="shared" si="3"/>
        <v>5</v>
      </c>
      <c r="W30" s="299">
        <f t="shared" si="4"/>
        <v>43.599999999999994</v>
      </c>
      <c r="X30" s="308">
        <v>7.2</v>
      </c>
      <c r="Y30" s="308">
        <v>12.2</v>
      </c>
      <c r="Z30" s="308">
        <v>8.1999999999999993</v>
      </c>
      <c r="AA30" s="308">
        <v>8.1</v>
      </c>
      <c r="AB30" s="308">
        <v>7.9</v>
      </c>
      <c r="AC30" s="308"/>
      <c r="AD30" s="308"/>
      <c r="AE30" s="308"/>
      <c r="AF30" s="308"/>
      <c r="AG30" s="302">
        <f t="shared" si="19"/>
        <v>24.199999999999996</v>
      </c>
      <c r="AH30" s="302" t="str">
        <f t="shared" si="5"/>
        <v/>
      </c>
      <c r="AI30" s="302" t="str">
        <f t="shared" si="6"/>
        <v/>
      </c>
      <c r="AJ30" s="302" t="str">
        <f t="shared" si="7"/>
        <v/>
      </c>
      <c r="AK30" s="326">
        <f t="shared" si="1"/>
        <v>42.903425076452599</v>
      </c>
      <c r="AL30" s="354">
        <v>6.7411926605504586</v>
      </c>
      <c r="AM30" s="354">
        <v>12.746483180428134</v>
      </c>
      <c r="AN30" s="309">
        <v>7.8052497451580019</v>
      </c>
      <c r="AO30" s="309">
        <v>7.8052497451580019</v>
      </c>
      <c r="AP30" s="309">
        <v>7.8052497451580019</v>
      </c>
      <c r="AQ30" s="309"/>
      <c r="AR30" s="309"/>
      <c r="AS30" s="309"/>
      <c r="AT30" s="309"/>
      <c r="AU30" s="331">
        <f t="shared" si="8"/>
        <v>23.415749235474006</v>
      </c>
      <c r="AV30" s="331" t="str">
        <f t="shared" si="9"/>
        <v/>
      </c>
      <c r="AW30" s="302"/>
      <c r="AX30" s="302"/>
      <c r="AY30" s="349">
        <f>IF(AND($BO$10="Yes",$BO30="MP"),"",IF(AK30=0,"",IF($W30/$V30&lt;$BN$6,"",IF($BN30&lt;$BN$10,IF(W30&gt;0,(AK30-W30)/W30,""),""))))</f>
        <v>-1.597648907218796E-2</v>
      </c>
      <c r="AZ30" s="392">
        <f>IF(AND($BO$10="Yes",$BO30="MP"),"",IF(M30=0,IF(AL30&lt;$BN$7,"",IF($W30/$V30&lt;$BN$6,"",IF($BN30&lt;$BN$10,IF(X30&gt;0,(AL30-X30)/X30,""),""))),""))</f>
        <v>-6.37232415902141E-2</v>
      </c>
      <c r="BA30" s="392">
        <f>IF(N30=0,IF(AM30&lt;$BN$7,"",IF($W30/$V30&lt;$BN$6,"",IF($BN30&lt;$BN$10,IF(Y30&gt;0,(AM30-Y30)/Y30,""),""))),"")</f>
        <v>4.4793703313781554E-2</v>
      </c>
      <c r="BB30" s="392" t="str">
        <f>IF(O30=0,IF(AN30&lt;$BN$7,"",IF($W30/$V30&lt;$BN$6,"",IF($BN30&lt;$BN$10,IF(Z30&gt;0,(AN30-Z30)/Z30,""),""))),"")</f>
        <v/>
      </c>
      <c r="BC30" s="392" t="str">
        <f>IF(P30=0,IF(AO30&lt;$BN$7,"",IF($W30/$V30&lt;$BN$6,"",IF($BN30&lt;$BN$10,IF(AA30&gt;0,(AO30-AA30)/AA30,""),""))),"")</f>
        <v/>
      </c>
      <c r="BD30" s="392" t="str">
        <f>IF(Q30=0,IF(AP30&lt;$BN$7,"",IF($W30/$V30&lt;$BN$6,"",IF($BN30&lt;$BN$10,IF(AB30&gt;0,(AP30-AB30)/AB30,""),""))),"")</f>
        <v/>
      </c>
      <c r="BE30" s="349" t="str">
        <f>IF(AND($BO$10="Yes",$BO30="MP"),"",IF(N30&gt;0,IF(AM30&lt;$BN$7,"",IF($W30/$V30&lt;$BN$6,"",IF($BN30&lt;$BN$10,IF(Y30&gt;0,(AM30-Y30)/Y30,""),""))),""))</f>
        <v/>
      </c>
      <c r="BF30" s="349">
        <f>IF(O30&gt;0,IF(AN30&lt;$BN$7,"",IF($W30/$V30&lt;$BN$6,"",IF($BN30&lt;$BN$10,IF(Z30&gt;0,(AN30-Z30)/Z30,""),""))),"")</f>
        <v>-4.8140274980731403E-2</v>
      </c>
      <c r="BG30" s="349">
        <f>IF(P30&gt;0,IF(AO30&lt;$BN$7,"",IF($W30/$V30&lt;$BN$6,"",IF($BN30&lt;$BN$10,IF(AA30&gt;0,(AO30-AA30)/AA30,""),""))),"")</f>
        <v>-3.6388920350863926E-2</v>
      </c>
      <c r="BH30" s="349">
        <f>IF(Q30&gt;0,IF(AP30&lt;$BN$7,"",IF($W30/$V30&lt;$BN$6,"",IF($BN30&lt;$BN$10,IF(AB30&gt;0,(AP30-AB30)/AB30,""),""))),"")</f>
        <v>-1.1993703144556772E-2</v>
      </c>
      <c r="BI30" s="349" t="str">
        <f>IF(R30&gt;0,IF(AQ30&lt;$BN$7,"",IF($W30/$V30&lt;$BN$6,"",IF($BN30&lt;$BN$10,IF(AC30&gt;0,(AQ30-AC30)/AC30,""),""))),"")</f>
        <v/>
      </c>
      <c r="BJ30" s="392">
        <f>IF(AND($BO$10="Yes",$BO30="MP"),"",IF(AG30&lt;$BN$6*COUNTIF(M30:R30,1),"",IF($BN30&lt;$BN$10,IF($BN30&lt;$BN$10,IF(AG30&lt;&gt;"",(AU30-AG30)/AG30,""),""))))</f>
        <v>-3.2407056385371467E-2</v>
      </c>
      <c r="BK30" s="392" t="str">
        <f>IF(AND($BO$10="Yes",$BO30="MP"),"",IF(AH30&lt;$BN$6*COUNTIF(M30:R30,2),"",IF($BN30&lt;$BN$10,IF(AH30&lt;&gt;"",(AV30-AH30)/AH30,""),"")))</f>
        <v/>
      </c>
      <c r="BL30" s="288" t="str">
        <f t="shared" si="2"/>
        <v/>
      </c>
      <c r="BM30" s="136" t="str">
        <f t="shared" si="2"/>
        <v/>
      </c>
      <c r="BN30" s="334">
        <v>72.545000000000002</v>
      </c>
      <c r="BO30" s="398"/>
      <c r="BP30" s="94"/>
      <c r="BQ30" s="76"/>
      <c r="BR30" s="76"/>
      <c r="BS30" s="76"/>
      <c r="BT30" s="76"/>
      <c r="BU30" s="76"/>
      <c r="BV30" s="76"/>
      <c r="BW30" s="76"/>
      <c r="BX30" s="76"/>
      <c r="BY30" s="76"/>
      <c r="BZ30" s="76"/>
      <c r="CA30" s="76"/>
    </row>
    <row r="31" spans="1:79" s="89" customFormat="1" ht="11.25">
      <c r="A31" s="359" t="s">
        <v>229</v>
      </c>
      <c r="B31" s="358" t="s">
        <v>265</v>
      </c>
      <c r="C31" s="370"/>
      <c r="D31" s="367">
        <v>0.62986111111111109</v>
      </c>
      <c r="E31" s="310">
        <v>59.698799999999999</v>
      </c>
      <c r="F31" s="358"/>
      <c r="G31" s="358"/>
      <c r="H31" s="358"/>
      <c r="I31" s="365" t="s">
        <v>94</v>
      </c>
      <c r="J31" s="358">
        <f>IF(ISERROR(VLOOKUP(I31,Max_Load_France!$B$2:$C$102,2,FALSE)/1000),"",VLOOKUP(I31,Max_Load_France!$B$2:$C$102,2,FALSE)/1000)</f>
        <v>40</v>
      </c>
      <c r="K31" s="296"/>
      <c r="L31" s="297">
        <f t="shared" si="0"/>
        <v>1.0024999999999999</v>
      </c>
      <c r="M31" s="358">
        <f>IF(VLOOKUP($I31,Max_Load_France!$B$2:$M$102,3,FALSE)="","",VLOOKUP($I31,Max_Load_France!$B$2:$M$102,3,FALSE))</f>
        <v>0</v>
      </c>
      <c r="N31" s="358">
        <f>IF(VLOOKUP($I31,Max_Load_France!$B$2:$M$102,4,FALSE)="","",VLOOKUP($I31,Max_Load_France!$B$2:$M$102,4,FALSE))</f>
        <v>0</v>
      </c>
      <c r="O31" s="358">
        <f>IF(VLOOKUP($I31,Max_Load_France!$B$2:$M$102,5,FALSE)="","",VLOOKUP($I31,Max_Load_France!$B$2:$M$102,5,FALSE))</f>
        <v>1</v>
      </c>
      <c r="P31" s="358">
        <f>IF(VLOOKUP($I31,Max_Load_France!$B$2:$M$102,6,FALSE)="","",VLOOKUP($I31,Max_Load_France!$B$2:$M$102,6,FALSE))</f>
        <v>1</v>
      </c>
      <c r="Q31" s="358">
        <f>IF(VLOOKUP($I31,Max_Load_France!$B$2:$M$102,7,FALSE)="","",VLOOKUP($I31,Max_Load_France!$B$2:$M$102,7,FALSE))</f>
        <v>1</v>
      </c>
      <c r="R31" s="358" t="str">
        <f>IF(VLOOKUP($I31,Max_Load_France!$B$2:$M$102,8,FALSE)="","",VLOOKUP($I31,Max_Load_France!$B$2:$M$102,8,FALSE))</f>
        <v/>
      </c>
      <c r="S31" s="358" t="str">
        <f>IF(VLOOKUP($I31,Max_Load_France!$B$2:$M$102,9,FALSE)="","",VLOOKUP($I31,Max_Load_France!$B$2:$M$102,9,FALSE))</f>
        <v/>
      </c>
      <c r="T31" s="358" t="str">
        <f>IF(VLOOKUP($I31,Max_Load_France!$B$2:$M$102,10,FALSE)="","",VLOOKUP($I31,Max_Load_France!$B$2:$M$102,10,FALSE))</f>
        <v/>
      </c>
      <c r="U31" s="358" t="str">
        <f>IF(VLOOKUP($I31,Max_Load_France!$B$2:$M$102,11,FALSE)="","",VLOOKUP($I31,Max_Load_France!$B$2:$M$102,11,FALSE))</f>
        <v/>
      </c>
      <c r="V31" s="357">
        <f t="shared" si="3"/>
        <v>5</v>
      </c>
      <c r="W31" s="299">
        <f t="shared" si="4"/>
        <v>40.1</v>
      </c>
      <c r="X31" s="308">
        <v>6.7</v>
      </c>
      <c r="Y31" s="308">
        <v>10.199999999999999</v>
      </c>
      <c r="Z31" s="308">
        <v>7.8</v>
      </c>
      <c r="AA31" s="308">
        <v>7.7</v>
      </c>
      <c r="AB31" s="308">
        <v>7.7</v>
      </c>
      <c r="AC31" s="309"/>
      <c r="AD31" s="301"/>
      <c r="AE31" s="301"/>
      <c r="AF31" s="301"/>
      <c r="AG31" s="302">
        <f t="shared" si="19"/>
        <v>23.2</v>
      </c>
      <c r="AH31" s="302" t="str">
        <f t="shared" si="5"/>
        <v/>
      </c>
      <c r="AI31" s="302" t="str">
        <f t="shared" si="6"/>
        <v/>
      </c>
      <c r="AJ31" s="302" t="str">
        <f t="shared" si="7"/>
        <v/>
      </c>
      <c r="AK31" s="326">
        <f t="shared" si="1"/>
        <v>39.979510703363914</v>
      </c>
      <c r="AL31" s="354">
        <v>6.4691233435270128</v>
      </c>
      <c r="AM31" s="354">
        <v>10.92650356778797</v>
      </c>
      <c r="AN31" s="308">
        <v>7.5279612640163096</v>
      </c>
      <c r="AO31" s="308">
        <v>7.5279612640163096</v>
      </c>
      <c r="AP31" s="308">
        <v>7.5279612640163096</v>
      </c>
      <c r="AQ31" s="309"/>
      <c r="AR31" s="301"/>
      <c r="AS31" s="301"/>
      <c r="AT31" s="301"/>
      <c r="AU31" s="331">
        <f t="shared" si="8"/>
        <v>22.58388379204893</v>
      </c>
      <c r="AV31" s="331" t="str">
        <f t="shared" si="9"/>
        <v/>
      </c>
      <c r="AW31" s="302"/>
      <c r="AX31" s="302"/>
      <c r="AY31" s="349">
        <f t="shared" ref="AY31:AY36" si="34">IF(AND($BO$10="Yes",$BO31="MP"),"",IF(AK31=0,"",IF($W31/$V31&lt;$BN$6,"",IF($BN31&lt;$BN$10,IF(W31&gt;0,(AK31-W31)/W31,""),""))))</f>
        <v>-3.0047206143662673E-3</v>
      </c>
      <c r="AZ31" s="392">
        <f t="shared" ref="AZ31:AZ36" si="35">IF(AND($BO$10="Yes",$BO31="MP"),"",IF(M31=0,IF(AL31&lt;$BN$7,"",IF($W31/$V31&lt;$BN$6,"",IF($BN31&lt;$BN$10,IF(X31&gt;0,(AL31-X31)/X31,""),""))),""))</f>
        <v>-3.4459202458654831E-2</v>
      </c>
      <c r="BA31" s="392">
        <f t="shared" ref="BA31:BD36" si="36">IF(N31=0,IF(AM31&lt;$BN$7,"",IF($W31/$V31&lt;$BN$6,"",IF($BN31&lt;$BN$10,IF(Y31&gt;0,(AM31-Y31)/Y31,""),""))),"")</f>
        <v>7.1225839979212807E-2</v>
      </c>
      <c r="BB31" s="392" t="str">
        <f t="shared" si="36"/>
        <v/>
      </c>
      <c r="BC31" s="392" t="str">
        <f t="shared" si="36"/>
        <v/>
      </c>
      <c r="BD31" s="392" t="str">
        <f t="shared" si="36"/>
        <v/>
      </c>
      <c r="BE31" s="349" t="str">
        <f t="shared" ref="BE31:BE36" si="37">IF(AND($BO$10="Yes",$BO31="MP"),"",IF(N31&gt;0,IF(AM31&lt;$BN$7,"",IF($W31/$V31&lt;$BN$6,"",IF($BN31&lt;$BN$10,IF(Y31&gt;0,(AM31-Y31)/Y31,""),""))),""))</f>
        <v/>
      </c>
      <c r="BF31" s="349">
        <f t="shared" ref="BF31:BI36" si="38">IF(O31&gt;0,IF(AN31&lt;$BN$7,"",IF($W31/$V31&lt;$BN$6,"",IF($BN31&lt;$BN$10,IF(Z31&gt;0,(AN31-Z31)/Z31,""),""))),"")</f>
        <v>-3.4876761023550029E-2</v>
      </c>
      <c r="BG31" s="349">
        <f t="shared" si="38"/>
        <v>-2.2342692984894878E-2</v>
      </c>
      <c r="BH31" s="349">
        <f t="shared" si="38"/>
        <v>-2.2342692984894878E-2</v>
      </c>
      <c r="BI31" s="349" t="str">
        <f t="shared" si="38"/>
        <v/>
      </c>
      <c r="BJ31" s="392">
        <f t="shared" ref="BJ31:BJ36" si="39">IF(AND($BO$10="Yes",$BO31="MP"),"",IF(AG31&lt;$BN$6*COUNTIF(M31:R31,1),"",IF($BN31&lt;$BN$10,IF($BN31&lt;$BN$10,IF(AG31&lt;&gt;"",(AU31-AG31)/AG31,""),""))))</f>
        <v>-2.6556733101339207E-2</v>
      </c>
      <c r="BK31" s="392" t="str">
        <f t="shared" ref="BK31:BK36" si="40">IF(AND($BO$10="Yes",$BO31="MP"),"",IF(AH31&lt;$BN$6*COUNTIF(M31:R31,2),"",IF($BN31&lt;$BN$10,IF(AH31&lt;&gt;"",(AV31-AH31)/AH31,""),"")))</f>
        <v/>
      </c>
      <c r="BL31" s="288" t="str">
        <f t="shared" si="2"/>
        <v/>
      </c>
      <c r="BM31" s="136" t="str">
        <f t="shared" si="2"/>
        <v/>
      </c>
      <c r="BN31" s="334">
        <v>62.024299999999997</v>
      </c>
      <c r="BO31" s="398"/>
      <c r="BP31" s="94"/>
      <c r="BQ31" s="76"/>
      <c r="BR31" s="76"/>
      <c r="BS31" s="76"/>
      <c r="BT31" s="76"/>
      <c r="BU31" s="76"/>
      <c r="BV31" s="76"/>
      <c r="BW31" s="76"/>
      <c r="BX31" s="76"/>
      <c r="BY31" s="76"/>
      <c r="BZ31" s="76"/>
      <c r="CA31" s="76"/>
    </row>
    <row r="32" spans="1:79" s="89" customFormat="1" ht="11.25">
      <c r="A32" s="359" t="s">
        <v>230</v>
      </c>
      <c r="B32" s="358" t="s">
        <v>266</v>
      </c>
      <c r="C32" s="370"/>
      <c r="D32" s="367">
        <v>0.6381944444444444</v>
      </c>
      <c r="E32" s="371">
        <v>60.186239999999998</v>
      </c>
      <c r="F32" s="358"/>
      <c r="G32" s="358"/>
      <c r="H32" s="358"/>
      <c r="I32" s="365" t="s">
        <v>94</v>
      </c>
      <c r="J32" s="358">
        <f>IF(ISERROR(VLOOKUP(I32,Max_Load_France!$B$2:$C$102,2,FALSE)/1000),"",VLOOKUP(I32,Max_Load_France!$B$2:$C$102,2,FALSE)/1000)</f>
        <v>40</v>
      </c>
      <c r="K32" s="296"/>
      <c r="L32" s="297">
        <f t="shared" si="0"/>
        <v>0.79500000000000004</v>
      </c>
      <c r="M32" s="358">
        <f>IF(VLOOKUP($I32,Max_Load_France!$B$2:$M$102,3,FALSE)="","",VLOOKUP($I32,Max_Load_France!$B$2:$M$102,3,FALSE))</f>
        <v>0</v>
      </c>
      <c r="N32" s="358">
        <f>IF(VLOOKUP($I32,Max_Load_France!$B$2:$M$102,4,FALSE)="","",VLOOKUP($I32,Max_Load_France!$B$2:$M$102,4,FALSE))</f>
        <v>0</v>
      </c>
      <c r="O32" s="358">
        <f>IF(VLOOKUP($I32,Max_Load_France!$B$2:$M$102,5,FALSE)="","",VLOOKUP($I32,Max_Load_France!$B$2:$M$102,5,FALSE))</f>
        <v>1</v>
      </c>
      <c r="P32" s="358">
        <f>IF(VLOOKUP($I32,Max_Load_France!$B$2:$M$102,6,FALSE)="","",VLOOKUP($I32,Max_Load_France!$B$2:$M$102,6,FALSE))</f>
        <v>1</v>
      </c>
      <c r="Q32" s="358">
        <f>IF(VLOOKUP($I32,Max_Load_France!$B$2:$M$102,7,FALSE)="","",VLOOKUP($I32,Max_Load_France!$B$2:$M$102,7,FALSE))</f>
        <v>1</v>
      </c>
      <c r="R32" s="358" t="str">
        <f>IF(VLOOKUP($I32,Max_Load_France!$B$2:$M$102,8,FALSE)="","",VLOOKUP($I32,Max_Load_France!$B$2:$M$102,8,FALSE))</f>
        <v/>
      </c>
      <c r="S32" s="358" t="str">
        <f>IF(VLOOKUP($I32,Max_Load_France!$B$2:$M$102,9,FALSE)="","",VLOOKUP($I32,Max_Load_France!$B$2:$M$102,9,FALSE))</f>
        <v/>
      </c>
      <c r="T32" s="358" t="str">
        <f>IF(VLOOKUP($I32,Max_Load_France!$B$2:$M$102,10,FALSE)="","",VLOOKUP($I32,Max_Load_France!$B$2:$M$102,10,FALSE))</f>
        <v/>
      </c>
      <c r="U32" s="358" t="str">
        <f>IF(VLOOKUP($I32,Max_Load_France!$B$2:$M$102,11,FALSE)="","",VLOOKUP($I32,Max_Load_France!$B$2:$M$102,11,FALSE))</f>
        <v/>
      </c>
      <c r="V32" s="357">
        <f t="shared" si="3"/>
        <v>5</v>
      </c>
      <c r="W32" s="299">
        <f t="shared" si="4"/>
        <v>31.8</v>
      </c>
      <c r="X32" s="308">
        <v>7.3</v>
      </c>
      <c r="Y32" s="308">
        <v>9.9</v>
      </c>
      <c r="Z32" s="308">
        <v>5</v>
      </c>
      <c r="AA32" s="308">
        <v>4.8</v>
      </c>
      <c r="AB32" s="308">
        <v>4.8</v>
      </c>
      <c r="AC32" s="309"/>
      <c r="AD32" s="301"/>
      <c r="AE32" s="301"/>
      <c r="AF32" s="301"/>
      <c r="AG32" s="302">
        <f t="shared" si="19"/>
        <v>14.600000000000001</v>
      </c>
      <c r="AH32" s="302" t="str">
        <f t="shared" si="5"/>
        <v/>
      </c>
      <c r="AI32" s="302" t="str">
        <f t="shared" si="6"/>
        <v/>
      </c>
      <c r="AJ32" s="302" t="str">
        <f t="shared" si="7"/>
        <v/>
      </c>
      <c r="AK32" s="326">
        <f t="shared" si="1"/>
        <v>31.298939857288481</v>
      </c>
      <c r="AL32" s="354">
        <v>6.1342609582059122</v>
      </c>
      <c r="AM32" s="354">
        <v>11.11834862385321</v>
      </c>
      <c r="AN32" s="308">
        <v>4.6821100917431187</v>
      </c>
      <c r="AO32" s="308">
        <v>4.6821100917431187</v>
      </c>
      <c r="AP32" s="308">
        <v>4.6821100917431187</v>
      </c>
      <c r="AQ32" s="309"/>
      <c r="AR32" s="300"/>
      <c r="AS32" s="301"/>
      <c r="AT32" s="301"/>
      <c r="AU32" s="331">
        <f t="shared" si="8"/>
        <v>14.046330275229355</v>
      </c>
      <c r="AV32" s="331" t="str">
        <f t="shared" si="9"/>
        <v/>
      </c>
      <c r="AW32" s="302"/>
      <c r="AX32" s="302"/>
      <c r="AY32" s="349">
        <f t="shared" si="34"/>
        <v>-1.5756608261368547E-2</v>
      </c>
      <c r="AZ32" s="392">
        <f t="shared" si="35"/>
        <v>-0.15969027969782024</v>
      </c>
      <c r="BA32" s="392">
        <f t="shared" si="36"/>
        <v>0.12306551756093027</v>
      </c>
      <c r="BB32" s="392" t="str">
        <f t="shared" si="36"/>
        <v/>
      </c>
      <c r="BC32" s="392" t="str">
        <f t="shared" si="36"/>
        <v/>
      </c>
      <c r="BD32" s="392" t="str">
        <f t="shared" si="36"/>
        <v/>
      </c>
      <c r="BE32" s="349" t="str">
        <f t="shared" si="37"/>
        <v/>
      </c>
      <c r="BF32" s="349">
        <f t="shared" si="38"/>
        <v>-6.3577981651376264E-2</v>
      </c>
      <c r="BG32" s="349">
        <f t="shared" si="38"/>
        <v>-2.4560397553516911E-2</v>
      </c>
      <c r="BH32" s="349">
        <f t="shared" si="38"/>
        <v>-2.4560397553516911E-2</v>
      </c>
      <c r="BI32" s="349" t="str">
        <f t="shared" si="38"/>
        <v/>
      </c>
      <c r="BJ32" s="392">
        <f t="shared" si="39"/>
        <v>-3.7922583888400432E-2</v>
      </c>
      <c r="BK32" s="392" t="str">
        <f t="shared" si="40"/>
        <v/>
      </c>
      <c r="BL32" s="288" t="str">
        <f t="shared" si="2"/>
        <v/>
      </c>
      <c r="BM32" s="136" t="str">
        <f t="shared" si="2"/>
        <v/>
      </c>
      <c r="BN32" s="334">
        <v>41.752600000000001</v>
      </c>
      <c r="BO32" s="398"/>
      <c r="BP32" s="94"/>
      <c r="BQ32" s="76"/>
      <c r="BR32" s="76"/>
      <c r="BS32" s="76"/>
      <c r="BT32" s="76"/>
      <c r="BU32" s="76"/>
      <c r="BV32" s="76"/>
      <c r="BW32" s="76"/>
      <c r="BX32" s="76"/>
      <c r="BY32" s="76"/>
      <c r="BZ32" s="76"/>
      <c r="CA32" s="76"/>
    </row>
    <row r="33" spans="1:79" s="89" customFormat="1" ht="11.25">
      <c r="A33" s="359" t="s">
        <v>231</v>
      </c>
      <c r="B33" s="358" t="s">
        <v>267</v>
      </c>
      <c r="C33" s="370"/>
      <c r="D33" s="367">
        <v>0.64027777777777783</v>
      </c>
      <c r="E33" s="371">
        <v>77.201999999999998</v>
      </c>
      <c r="F33" s="358"/>
      <c r="G33" s="358"/>
      <c r="H33" s="358"/>
      <c r="I33" s="365" t="s">
        <v>94</v>
      </c>
      <c r="J33" s="358">
        <f>IF(ISERROR(VLOOKUP(I33,Max_Load_France!$B$2:$C$102,2,FALSE)/1000),"",VLOOKUP(I33,Max_Load_France!$B$2:$C$102,2,FALSE)/1000)</f>
        <v>40</v>
      </c>
      <c r="K33" s="296"/>
      <c r="L33" s="297">
        <f t="shared" si="0"/>
        <v>0.36</v>
      </c>
      <c r="M33" s="358">
        <f>IF(VLOOKUP($I33,Max_Load_France!$B$2:$M$102,3,FALSE)="","",VLOOKUP($I33,Max_Load_France!$B$2:$M$102,3,FALSE))</f>
        <v>0</v>
      </c>
      <c r="N33" s="358">
        <f>IF(VLOOKUP($I33,Max_Load_France!$B$2:$M$102,4,FALSE)="","",VLOOKUP($I33,Max_Load_France!$B$2:$M$102,4,FALSE))</f>
        <v>0</v>
      </c>
      <c r="O33" s="358">
        <f>IF(VLOOKUP($I33,Max_Load_France!$B$2:$M$102,5,FALSE)="","",VLOOKUP($I33,Max_Load_France!$B$2:$M$102,5,FALSE))</f>
        <v>1</v>
      </c>
      <c r="P33" s="358">
        <f>IF(VLOOKUP($I33,Max_Load_France!$B$2:$M$102,6,FALSE)="","",VLOOKUP($I33,Max_Load_France!$B$2:$M$102,6,FALSE))</f>
        <v>1</v>
      </c>
      <c r="Q33" s="358">
        <f>IF(VLOOKUP($I33,Max_Load_France!$B$2:$M$102,7,FALSE)="","",VLOOKUP($I33,Max_Load_France!$B$2:$M$102,7,FALSE))</f>
        <v>1</v>
      </c>
      <c r="R33" s="358" t="str">
        <f>IF(VLOOKUP($I33,Max_Load_France!$B$2:$M$102,8,FALSE)="","",VLOOKUP($I33,Max_Load_France!$B$2:$M$102,8,FALSE))</f>
        <v/>
      </c>
      <c r="S33" s="358" t="str">
        <f>IF(VLOOKUP($I33,Max_Load_France!$B$2:$M$102,9,FALSE)="","",VLOOKUP($I33,Max_Load_France!$B$2:$M$102,9,FALSE))</f>
        <v/>
      </c>
      <c r="T33" s="358" t="str">
        <f>IF(VLOOKUP($I33,Max_Load_France!$B$2:$M$102,10,FALSE)="","",VLOOKUP($I33,Max_Load_France!$B$2:$M$102,10,FALSE))</f>
        <v/>
      </c>
      <c r="U33" s="358" t="str">
        <f>IF(VLOOKUP($I33,Max_Load_France!$B$2:$M$102,11,FALSE)="","",VLOOKUP($I33,Max_Load_France!$B$2:$M$102,11,FALSE))</f>
        <v/>
      </c>
      <c r="V33" s="357">
        <f t="shared" si="3"/>
        <v>5</v>
      </c>
      <c r="W33" s="299">
        <f t="shared" si="4"/>
        <v>14.399999999999999</v>
      </c>
      <c r="X33" s="308">
        <v>5.9</v>
      </c>
      <c r="Y33" s="308">
        <v>3.4</v>
      </c>
      <c r="Z33" s="308">
        <v>1.7</v>
      </c>
      <c r="AA33" s="308">
        <v>1.7</v>
      </c>
      <c r="AB33" s="308">
        <v>1.7</v>
      </c>
      <c r="AC33" s="309"/>
      <c r="AD33" s="301"/>
      <c r="AE33" s="301"/>
      <c r="AF33" s="301"/>
      <c r="AG33" s="302">
        <f t="shared" si="19"/>
        <v>5.0999999999999996</v>
      </c>
      <c r="AH33" s="302" t="str">
        <f t="shared" si="5"/>
        <v/>
      </c>
      <c r="AI33" s="302" t="str">
        <f t="shared" si="6"/>
        <v/>
      </c>
      <c r="AJ33" s="302" t="str">
        <f t="shared" si="7"/>
        <v/>
      </c>
      <c r="AK33" s="326">
        <f t="shared" si="1"/>
        <v>14.780988786952092</v>
      </c>
      <c r="AL33" s="354">
        <v>6.8967686034658513</v>
      </c>
      <c r="AM33" s="354">
        <v>3.1715290519877675</v>
      </c>
      <c r="AN33" s="308">
        <v>1.5708970438328236</v>
      </c>
      <c r="AO33" s="308">
        <v>1.5708970438328236</v>
      </c>
      <c r="AP33" s="308">
        <v>1.5708970438328236</v>
      </c>
      <c r="AQ33" s="309"/>
      <c r="AR33" s="300"/>
      <c r="AS33" s="301"/>
      <c r="AT33" s="301"/>
      <c r="AU33" s="331">
        <f t="shared" si="8"/>
        <v>4.7126911314984703</v>
      </c>
      <c r="AV33" s="331" t="str">
        <f t="shared" si="9"/>
        <v/>
      </c>
      <c r="AW33" s="302"/>
      <c r="AX33" s="302"/>
      <c r="AY33" s="349" t="str">
        <f t="shared" si="34"/>
        <v/>
      </c>
      <c r="AZ33" s="392" t="str">
        <f t="shared" si="35"/>
        <v/>
      </c>
      <c r="BA33" s="392" t="str">
        <f t="shared" si="36"/>
        <v/>
      </c>
      <c r="BB33" s="392" t="str">
        <f t="shared" si="36"/>
        <v/>
      </c>
      <c r="BC33" s="392" t="str">
        <f t="shared" si="36"/>
        <v/>
      </c>
      <c r="BD33" s="392" t="str">
        <f t="shared" si="36"/>
        <v/>
      </c>
      <c r="BE33" s="349" t="str">
        <f t="shared" si="37"/>
        <v/>
      </c>
      <c r="BF33" s="349" t="str">
        <f t="shared" si="38"/>
        <v/>
      </c>
      <c r="BG33" s="349" t="str">
        <f t="shared" si="38"/>
        <v/>
      </c>
      <c r="BH33" s="349" t="str">
        <f t="shared" si="38"/>
        <v/>
      </c>
      <c r="BI33" s="349" t="str">
        <f t="shared" si="38"/>
        <v/>
      </c>
      <c r="BJ33" s="392" t="str">
        <f t="shared" si="39"/>
        <v/>
      </c>
      <c r="BK33" s="392" t="str">
        <f t="shared" si="40"/>
        <v/>
      </c>
      <c r="BL33" s="288" t="str">
        <f t="shared" si="2"/>
        <v/>
      </c>
      <c r="BM33" s="136" t="str">
        <f t="shared" si="2"/>
        <v/>
      </c>
      <c r="BN33" s="334">
        <v>14.703200000000001</v>
      </c>
      <c r="BO33" s="398"/>
      <c r="BP33" s="94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</row>
    <row r="34" spans="1:79" s="89" customFormat="1" ht="11.25">
      <c r="A34" s="359" t="s">
        <v>232</v>
      </c>
      <c r="B34" s="358" t="s">
        <v>268</v>
      </c>
      <c r="C34" s="370"/>
      <c r="D34" s="367">
        <v>0.64444444444444449</v>
      </c>
      <c r="E34" s="371">
        <v>63.833760000000005</v>
      </c>
      <c r="F34" s="358"/>
      <c r="G34" s="358"/>
      <c r="H34" s="358"/>
      <c r="I34" s="365" t="s">
        <v>94</v>
      </c>
      <c r="J34" s="358">
        <f>IF(ISERROR(VLOOKUP(I34,Max_Load_France!$B$2:$C$102,2,FALSE)/1000),"",VLOOKUP(I34,Max_Load_France!$B$2:$C$102,2,FALSE)/1000)</f>
        <v>40</v>
      </c>
      <c r="K34" s="296"/>
      <c r="L34" s="297">
        <f t="shared" si="0"/>
        <v>0.91249999999999998</v>
      </c>
      <c r="M34" s="358">
        <f>IF(VLOOKUP($I34,Max_Load_France!$B$2:$M$102,3,FALSE)="","",VLOOKUP($I34,Max_Load_France!$B$2:$M$102,3,FALSE))</f>
        <v>0</v>
      </c>
      <c r="N34" s="358">
        <f>IF(VLOOKUP($I34,Max_Load_France!$B$2:$M$102,4,FALSE)="","",VLOOKUP($I34,Max_Load_France!$B$2:$M$102,4,FALSE))</f>
        <v>0</v>
      </c>
      <c r="O34" s="358">
        <f>IF(VLOOKUP($I34,Max_Load_France!$B$2:$M$102,5,FALSE)="","",VLOOKUP($I34,Max_Load_France!$B$2:$M$102,5,FALSE))</f>
        <v>1</v>
      </c>
      <c r="P34" s="358">
        <f>IF(VLOOKUP($I34,Max_Load_France!$B$2:$M$102,6,FALSE)="","",VLOOKUP($I34,Max_Load_France!$B$2:$M$102,6,FALSE))</f>
        <v>1</v>
      </c>
      <c r="Q34" s="358">
        <f>IF(VLOOKUP($I34,Max_Load_France!$B$2:$M$102,7,FALSE)="","",VLOOKUP($I34,Max_Load_France!$B$2:$M$102,7,FALSE))</f>
        <v>1</v>
      </c>
      <c r="R34" s="358" t="str">
        <f>IF(VLOOKUP($I34,Max_Load_France!$B$2:$M$102,8,FALSE)="","",VLOOKUP($I34,Max_Load_France!$B$2:$M$102,8,FALSE))</f>
        <v/>
      </c>
      <c r="S34" s="358" t="str">
        <f>IF(VLOOKUP($I34,Max_Load_France!$B$2:$M$102,9,FALSE)="","",VLOOKUP($I34,Max_Load_France!$B$2:$M$102,9,FALSE))</f>
        <v/>
      </c>
      <c r="T34" s="358" t="str">
        <f>IF(VLOOKUP($I34,Max_Load_France!$B$2:$M$102,10,FALSE)="","",VLOOKUP($I34,Max_Load_France!$B$2:$M$102,10,FALSE))</f>
        <v/>
      </c>
      <c r="U34" s="358" t="str">
        <f>IF(VLOOKUP($I34,Max_Load_France!$B$2:$M$102,11,FALSE)="","",VLOOKUP($I34,Max_Load_France!$B$2:$M$102,11,FALSE))</f>
        <v/>
      </c>
      <c r="V34" s="357">
        <f t="shared" si="3"/>
        <v>5</v>
      </c>
      <c r="W34" s="299">
        <f t="shared" si="4"/>
        <v>36.5</v>
      </c>
      <c r="X34" s="308">
        <v>6</v>
      </c>
      <c r="Y34" s="308">
        <v>10.7</v>
      </c>
      <c r="Z34" s="308">
        <v>6.6</v>
      </c>
      <c r="AA34" s="308">
        <v>6.6</v>
      </c>
      <c r="AB34" s="308">
        <v>6.6</v>
      </c>
      <c r="AC34" s="309"/>
      <c r="AD34" s="301"/>
      <c r="AE34" s="301"/>
      <c r="AF34" s="301"/>
      <c r="AG34" s="302">
        <f t="shared" si="19"/>
        <v>19.799999999999997</v>
      </c>
      <c r="AH34" s="302" t="str">
        <f t="shared" si="5"/>
        <v/>
      </c>
      <c r="AI34" s="302" t="str">
        <f t="shared" si="6"/>
        <v/>
      </c>
      <c r="AJ34" s="302" t="str">
        <f t="shared" si="7"/>
        <v/>
      </c>
      <c r="AK34" s="326">
        <f t="shared" si="1"/>
        <v>35.370163098878692</v>
      </c>
      <c r="AL34" s="354">
        <v>4.6876146788990827</v>
      </c>
      <c r="AM34" s="354">
        <v>11.34750254841998</v>
      </c>
      <c r="AN34" s="308">
        <v>6.4450152905198772</v>
      </c>
      <c r="AO34" s="308">
        <v>6.4450152905198772</v>
      </c>
      <c r="AP34" s="308">
        <v>6.4450152905198772</v>
      </c>
      <c r="AQ34" s="309"/>
      <c r="AR34" s="300"/>
      <c r="AS34" s="301"/>
      <c r="AT34" s="301"/>
      <c r="AU34" s="331">
        <f t="shared" si="8"/>
        <v>19.335045871559633</v>
      </c>
      <c r="AV34" s="331" t="str">
        <f t="shared" si="9"/>
        <v/>
      </c>
      <c r="AW34" s="302"/>
      <c r="AX34" s="302"/>
      <c r="AY34" s="349">
        <f t="shared" si="34"/>
        <v>-3.0954435647159131E-2</v>
      </c>
      <c r="AZ34" s="392">
        <f t="shared" si="35"/>
        <v>-0.21873088685015288</v>
      </c>
      <c r="BA34" s="392">
        <f t="shared" si="36"/>
        <v>6.0514256861680452E-2</v>
      </c>
      <c r="BB34" s="392" t="str">
        <f t="shared" si="36"/>
        <v/>
      </c>
      <c r="BC34" s="392" t="str">
        <f t="shared" si="36"/>
        <v/>
      </c>
      <c r="BD34" s="392" t="str">
        <f t="shared" si="36"/>
        <v/>
      </c>
      <c r="BE34" s="349" t="str">
        <f t="shared" si="37"/>
        <v/>
      </c>
      <c r="BF34" s="349">
        <f t="shared" si="38"/>
        <v>-2.3482531739412491E-2</v>
      </c>
      <c r="BG34" s="349">
        <f t="shared" si="38"/>
        <v>-2.3482531739412491E-2</v>
      </c>
      <c r="BH34" s="349">
        <f t="shared" si="38"/>
        <v>-2.3482531739412491E-2</v>
      </c>
      <c r="BI34" s="349" t="str">
        <f t="shared" si="38"/>
        <v/>
      </c>
      <c r="BJ34" s="392">
        <f t="shared" si="39"/>
        <v>-2.3482531739412359E-2</v>
      </c>
      <c r="BK34" s="392" t="str">
        <f t="shared" si="40"/>
        <v/>
      </c>
      <c r="BL34" s="288" t="str">
        <f t="shared" si="2"/>
        <v/>
      </c>
      <c r="BM34" s="136" t="str">
        <f t="shared" si="2"/>
        <v/>
      </c>
      <c r="BN34" s="334">
        <v>83.456199999999995</v>
      </c>
      <c r="BO34" s="398"/>
      <c r="BP34" s="94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</row>
    <row r="35" spans="1:79" s="89" customFormat="1" ht="11.25">
      <c r="A35" s="359" t="s">
        <v>233</v>
      </c>
      <c r="B35" s="358" t="s">
        <v>269</v>
      </c>
      <c r="C35" s="370"/>
      <c r="D35" s="367">
        <v>0.64652777777777781</v>
      </c>
      <c r="E35" s="371">
        <v>71.580600000000004</v>
      </c>
      <c r="F35" s="358"/>
      <c r="G35" s="358"/>
      <c r="H35" s="358"/>
      <c r="I35" s="365" t="s">
        <v>94</v>
      </c>
      <c r="J35" s="358">
        <f>IF(ISERROR(VLOOKUP(I35,Max_Load_France!$B$2:$C$102,2,FALSE)/1000),"",VLOOKUP(I35,Max_Load_France!$B$2:$C$102,2,FALSE)/1000)</f>
        <v>40</v>
      </c>
      <c r="K35" s="296"/>
      <c r="L35" s="297">
        <f t="shared" si="0"/>
        <v>0.72</v>
      </c>
      <c r="M35" s="358">
        <f>IF(VLOOKUP($I35,Max_Load_France!$B$2:$M$102,3,FALSE)="","",VLOOKUP($I35,Max_Load_France!$B$2:$M$102,3,FALSE))</f>
        <v>0</v>
      </c>
      <c r="N35" s="358">
        <f>IF(VLOOKUP($I35,Max_Load_France!$B$2:$M$102,4,FALSE)="","",VLOOKUP($I35,Max_Load_France!$B$2:$M$102,4,FALSE))</f>
        <v>0</v>
      </c>
      <c r="O35" s="358">
        <f>IF(VLOOKUP($I35,Max_Load_France!$B$2:$M$102,5,FALSE)="","",VLOOKUP($I35,Max_Load_France!$B$2:$M$102,5,FALSE))</f>
        <v>1</v>
      </c>
      <c r="P35" s="358">
        <f>IF(VLOOKUP($I35,Max_Load_France!$B$2:$M$102,6,FALSE)="","",VLOOKUP($I35,Max_Load_France!$B$2:$M$102,6,FALSE))</f>
        <v>1</v>
      </c>
      <c r="Q35" s="358">
        <f>IF(VLOOKUP($I35,Max_Load_France!$B$2:$M$102,7,FALSE)="","",VLOOKUP($I35,Max_Load_France!$B$2:$M$102,7,FALSE))</f>
        <v>1</v>
      </c>
      <c r="R35" s="358" t="str">
        <f>IF(VLOOKUP($I35,Max_Load_France!$B$2:$M$102,8,FALSE)="","",VLOOKUP($I35,Max_Load_France!$B$2:$M$102,8,FALSE))</f>
        <v/>
      </c>
      <c r="S35" s="358" t="str">
        <f>IF(VLOOKUP($I35,Max_Load_France!$B$2:$M$102,9,FALSE)="","",VLOOKUP($I35,Max_Load_France!$B$2:$M$102,9,FALSE))</f>
        <v/>
      </c>
      <c r="T35" s="358" t="str">
        <f>IF(VLOOKUP($I35,Max_Load_France!$B$2:$M$102,10,FALSE)="","",VLOOKUP($I35,Max_Load_France!$B$2:$M$102,10,FALSE))</f>
        <v/>
      </c>
      <c r="U35" s="358" t="str">
        <f>IF(VLOOKUP($I35,Max_Load_France!$B$2:$M$102,11,FALSE)="","",VLOOKUP($I35,Max_Load_France!$B$2:$M$102,11,FALSE))</f>
        <v/>
      </c>
      <c r="V35" s="357">
        <f t="shared" si="3"/>
        <v>5</v>
      </c>
      <c r="W35" s="299">
        <f t="shared" si="4"/>
        <v>28.8</v>
      </c>
      <c r="X35" s="308">
        <v>7.3</v>
      </c>
      <c r="Y35" s="308">
        <v>11.7</v>
      </c>
      <c r="Z35" s="308">
        <v>3.3</v>
      </c>
      <c r="AA35" s="308">
        <v>3.3</v>
      </c>
      <c r="AB35" s="308">
        <v>3.2</v>
      </c>
      <c r="AC35" s="309"/>
      <c r="AD35" s="301"/>
      <c r="AE35" s="301"/>
      <c r="AF35" s="301"/>
      <c r="AG35" s="302">
        <f t="shared" si="19"/>
        <v>9.8000000000000007</v>
      </c>
      <c r="AH35" s="302" t="str">
        <f t="shared" si="5"/>
        <v/>
      </c>
      <c r="AI35" s="302" t="str">
        <f t="shared" si="6"/>
        <v/>
      </c>
      <c r="AJ35" s="302" t="str">
        <f t="shared" si="7"/>
        <v/>
      </c>
      <c r="AK35" s="326">
        <f t="shared" si="1"/>
        <v>30.803323139653408</v>
      </c>
      <c r="AL35" s="354">
        <v>7.8418960244648312</v>
      </c>
      <c r="AM35" s="354">
        <v>12.662589194699287</v>
      </c>
      <c r="AN35" s="308">
        <v>3.432945973496432</v>
      </c>
      <c r="AO35" s="308">
        <v>3.432945973496432</v>
      </c>
      <c r="AP35" s="308">
        <v>3.432945973496432</v>
      </c>
      <c r="AQ35" s="309"/>
      <c r="AR35" s="300"/>
      <c r="AS35" s="301"/>
      <c r="AT35" s="301"/>
      <c r="AU35" s="331">
        <f t="shared" si="8"/>
        <v>10.298837920489296</v>
      </c>
      <c r="AV35" s="331" t="str">
        <f t="shared" si="9"/>
        <v/>
      </c>
      <c r="AW35" s="302"/>
      <c r="AX35" s="302"/>
      <c r="AY35" s="349">
        <f t="shared" si="34"/>
        <v>6.9559831237965525E-2</v>
      </c>
      <c r="AZ35" s="392">
        <f t="shared" si="35"/>
        <v>7.4232332118470065E-2</v>
      </c>
      <c r="BA35" s="392">
        <f t="shared" si="36"/>
        <v>8.2272580743528834E-2</v>
      </c>
      <c r="BB35" s="392" t="str">
        <f t="shared" si="36"/>
        <v/>
      </c>
      <c r="BC35" s="392" t="str">
        <f t="shared" si="36"/>
        <v/>
      </c>
      <c r="BD35" s="392" t="str">
        <f t="shared" si="36"/>
        <v/>
      </c>
      <c r="BE35" s="349" t="str">
        <f t="shared" si="37"/>
        <v/>
      </c>
      <c r="BF35" s="349">
        <f t="shared" si="38"/>
        <v>4.0286658635282496E-2</v>
      </c>
      <c r="BG35" s="349">
        <f t="shared" si="38"/>
        <v>4.0286658635282496E-2</v>
      </c>
      <c r="BH35" s="349">
        <f t="shared" si="38"/>
        <v>7.2795616717634959E-2</v>
      </c>
      <c r="BI35" s="349" t="str">
        <f t="shared" si="38"/>
        <v/>
      </c>
      <c r="BJ35" s="392">
        <f t="shared" si="39"/>
        <v>5.0901828621356671E-2</v>
      </c>
      <c r="BK35" s="392" t="str">
        <f t="shared" si="40"/>
        <v/>
      </c>
      <c r="BL35" s="288" t="str">
        <f t="shared" si="2"/>
        <v/>
      </c>
      <c r="BM35" s="136" t="str">
        <f t="shared" si="2"/>
        <v/>
      </c>
      <c r="BN35" s="334">
        <v>70.857399999999998</v>
      </c>
      <c r="BO35" s="398"/>
      <c r="BP35" s="94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</row>
    <row r="36" spans="1:79" s="89" customFormat="1" ht="11.25">
      <c r="A36" s="359" t="s">
        <v>234</v>
      </c>
      <c r="B36" s="358" t="s">
        <v>270</v>
      </c>
      <c r="C36" s="370"/>
      <c r="D36" s="367">
        <v>0.64930555555555558</v>
      </c>
      <c r="E36" s="371">
        <v>78.853320000000011</v>
      </c>
      <c r="F36" s="358"/>
      <c r="G36" s="358"/>
      <c r="H36" s="358"/>
      <c r="I36" s="365" t="s">
        <v>94</v>
      </c>
      <c r="J36" s="358">
        <f>IF(ISERROR(VLOOKUP(I36,Max_Load_France!$B$2:$C$102,2,FALSE)/1000),"",VLOOKUP(I36,Max_Load_France!$B$2:$C$102,2,FALSE)/1000)</f>
        <v>40</v>
      </c>
      <c r="K36" s="296"/>
      <c r="L36" s="297">
        <f>W36/J36</f>
        <v>0.66</v>
      </c>
      <c r="M36" s="358">
        <f>IF(VLOOKUP($I36,Max_Load_France!$B$2:$M$102,3,FALSE)="","",VLOOKUP($I36,Max_Load_France!$B$2:$M$102,3,FALSE))</f>
        <v>0</v>
      </c>
      <c r="N36" s="358">
        <f>IF(VLOOKUP($I36,Max_Load_France!$B$2:$M$102,4,FALSE)="","",VLOOKUP($I36,Max_Load_France!$B$2:$M$102,4,FALSE))</f>
        <v>0</v>
      </c>
      <c r="O36" s="358">
        <f>IF(VLOOKUP($I36,Max_Load_France!$B$2:$M$102,5,FALSE)="","",VLOOKUP($I36,Max_Load_France!$B$2:$M$102,5,FALSE))</f>
        <v>1</v>
      </c>
      <c r="P36" s="358">
        <f>IF(VLOOKUP($I36,Max_Load_France!$B$2:$M$102,6,FALSE)="","",VLOOKUP($I36,Max_Load_France!$B$2:$M$102,6,FALSE))</f>
        <v>1</v>
      </c>
      <c r="Q36" s="358">
        <f>IF(VLOOKUP($I36,Max_Load_France!$B$2:$M$102,7,FALSE)="","",VLOOKUP($I36,Max_Load_France!$B$2:$M$102,7,FALSE))</f>
        <v>1</v>
      </c>
      <c r="R36" s="358" t="str">
        <f>IF(VLOOKUP($I36,Max_Load_France!$B$2:$M$102,8,FALSE)="","",VLOOKUP($I36,Max_Load_France!$B$2:$M$102,8,FALSE))</f>
        <v/>
      </c>
      <c r="S36" s="358" t="str">
        <f>IF(VLOOKUP($I36,Max_Load_France!$B$2:$M$102,9,FALSE)="","",VLOOKUP($I36,Max_Load_France!$B$2:$M$102,9,FALSE))</f>
        <v/>
      </c>
      <c r="T36" s="358" t="str">
        <f>IF(VLOOKUP($I36,Max_Load_France!$B$2:$M$102,10,FALSE)="","",VLOOKUP($I36,Max_Load_France!$B$2:$M$102,10,FALSE))</f>
        <v/>
      </c>
      <c r="U36" s="358" t="str">
        <f>IF(VLOOKUP($I36,Max_Load_France!$B$2:$M$102,11,FALSE)="","",VLOOKUP($I36,Max_Load_France!$B$2:$M$102,11,FALSE))</f>
        <v/>
      </c>
      <c r="V36" s="357">
        <f t="shared" si="3"/>
        <v>5</v>
      </c>
      <c r="W36" s="299">
        <f t="shared" si="4"/>
        <v>26.400000000000002</v>
      </c>
      <c r="X36" s="308">
        <v>6.3</v>
      </c>
      <c r="Y36" s="308">
        <v>7</v>
      </c>
      <c r="Z36" s="308">
        <v>4.4000000000000004</v>
      </c>
      <c r="AA36" s="308">
        <v>4.4000000000000004</v>
      </c>
      <c r="AB36" s="308">
        <v>4.3</v>
      </c>
      <c r="AC36" s="309"/>
      <c r="AD36" s="301"/>
      <c r="AE36" s="301"/>
      <c r="AF36" s="301"/>
      <c r="AG36" s="302">
        <f t="shared" si="19"/>
        <v>13.100000000000001</v>
      </c>
      <c r="AH36" s="302" t="str">
        <f t="shared" si="5"/>
        <v/>
      </c>
      <c r="AI36" s="302" t="str">
        <f t="shared" si="6"/>
        <v/>
      </c>
      <c r="AJ36" s="302" t="str">
        <f t="shared" si="7"/>
        <v/>
      </c>
      <c r="AK36" s="326">
        <f t="shared" si="1"/>
        <v>25.93850152905199</v>
      </c>
      <c r="AL36" s="354">
        <v>5.4521814475025483</v>
      </c>
      <c r="AM36" s="354">
        <v>7.5196228338430169</v>
      </c>
      <c r="AN36" s="308">
        <v>4.3222324159021408</v>
      </c>
      <c r="AO36" s="308">
        <v>4.3222324159021408</v>
      </c>
      <c r="AP36" s="308">
        <v>4.3222324159021408</v>
      </c>
      <c r="AQ36" s="309"/>
      <c r="AR36" s="300"/>
      <c r="AS36" s="301"/>
      <c r="AT36" s="301"/>
      <c r="AU36" s="331">
        <f t="shared" si="8"/>
        <v>12.966697247706422</v>
      </c>
      <c r="AV36" s="331" t="str">
        <f t="shared" si="9"/>
        <v/>
      </c>
      <c r="AW36" s="302"/>
      <c r="AX36" s="302"/>
      <c r="AY36" s="349">
        <f t="shared" si="34"/>
        <v>-1.7481002687424693E-2</v>
      </c>
      <c r="AZ36" s="392">
        <f t="shared" si="35"/>
        <v>-0.13457437341229389</v>
      </c>
      <c r="BA36" s="392">
        <f t="shared" si="36"/>
        <v>7.4231833406145267E-2</v>
      </c>
      <c r="BB36" s="392" t="str">
        <f t="shared" si="36"/>
        <v/>
      </c>
      <c r="BC36" s="392" t="str">
        <f t="shared" si="36"/>
        <v/>
      </c>
      <c r="BD36" s="392" t="str">
        <f t="shared" si="36"/>
        <v/>
      </c>
      <c r="BE36" s="349" t="str">
        <f t="shared" si="37"/>
        <v/>
      </c>
      <c r="BF36" s="349">
        <f t="shared" si="38"/>
        <v>-1.7674450931331714E-2</v>
      </c>
      <c r="BG36" s="349">
        <f t="shared" si="38"/>
        <v>-1.7674450931331714E-2</v>
      </c>
      <c r="BH36" s="349">
        <f t="shared" si="38"/>
        <v>5.1703292795676698E-3</v>
      </c>
      <c r="BI36" s="349" t="str">
        <f t="shared" si="38"/>
        <v/>
      </c>
      <c r="BJ36" s="392">
        <f t="shared" si="39"/>
        <v>-1.0175782617830458E-2</v>
      </c>
      <c r="BK36" s="392" t="str">
        <f t="shared" si="40"/>
        <v/>
      </c>
      <c r="BL36" s="288" t="str">
        <f t="shared" ref="BL36:BM47" si="41">IF(AI36&lt;&gt;"",(AW36-AI36)/AI36,"")</f>
        <v/>
      </c>
      <c r="BM36" s="136" t="str">
        <f t="shared" si="41"/>
        <v/>
      </c>
      <c r="BN36" s="334">
        <v>37.372</v>
      </c>
      <c r="BO36" s="398"/>
      <c r="BP36" s="94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</row>
    <row r="37" spans="1:79" s="89" customFormat="1" ht="11.25">
      <c r="A37" s="397" t="s">
        <v>235</v>
      </c>
      <c r="B37" s="358" t="s">
        <v>271</v>
      </c>
      <c r="C37" s="370"/>
      <c r="D37" s="367">
        <v>0.65138888888888891</v>
      </c>
      <c r="E37" s="371">
        <v>51.738840000000003</v>
      </c>
      <c r="F37" s="358"/>
      <c r="G37" s="358"/>
      <c r="H37" s="358"/>
      <c r="I37" s="365" t="s">
        <v>94</v>
      </c>
      <c r="J37" s="358">
        <f>IF(ISERROR(VLOOKUP(I37,Max_Load_France!$B$2:$C$102,2,FALSE)/1000),"",VLOOKUP(I37,Max_Load_France!$B$2:$C$102,2,FALSE)/1000)</f>
        <v>40</v>
      </c>
      <c r="K37" s="296"/>
      <c r="L37" s="297">
        <f>W37/J37</f>
        <v>1.0225</v>
      </c>
      <c r="M37" s="358">
        <f>IF(VLOOKUP($I37,Max_Load_France!$B$2:$M$102,3,FALSE)="","",VLOOKUP($I37,Max_Load_France!$B$2:$M$102,3,FALSE))</f>
        <v>0</v>
      </c>
      <c r="N37" s="358">
        <f>IF(VLOOKUP($I37,Max_Load_France!$B$2:$M$102,4,FALSE)="","",VLOOKUP($I37,Max_Load_France!$B$2:$M$102,4,FALSE))</f>
        <v>0</v>
      </c>
      <c r="O37" s="358">
        <f>IF(VLOOKUP($I37,Max_Load_France!$B$2:$M$102,5,FALSE)="","",VLOOKUP($I37,Max_Load_France!$B$2:$M$102,5,FALSE))</f>
        <v>1</v>
      </c>
      <c r="P37" s="358">
        <f>IF(VLOOKUP($I37,Max_Load_France!$B$2:$M$102,6,FALSE)="","",VLOOKUP($I37,Max_Load_France!$B$2:$M$102,6,FALSE))</f>
        <v>1</v>
      </c>
      <c r="Q37" s="358">
        <f>IF(VLOOKUP($I37,Max_Load_France!$B$2:$M$102,7,FALSE)="","",VLOOKUP($I37,Max_Load_France!$B$2:$M$102,7,FALSE))</f>
        <v>1</v>
      </c>
      <c r="R37" s="358" t="str">
        <f>IF(VLOOKUP($I37,Max_Load_France!$B$2:$M$102,8,FALSE)="","",VLOOKUP($I37,Max_Load_France!$B$2:$M$102,8,FALSE))</f>
        <v/>
      </c>
      <c r="S37" s="358" t="str">
        <f>IF(VLOOKUP($I37,Max_Load_France!$B$2:$M$102,9,FALSE)="","",VLOOKUP($I37,Max_Load_France!$B$2:$M$102,9,FALSE))</f>
        <v/>
      </c>
      <c r="T37" s="358" t="str">
        <f>IF(VLOOKUP($I37,Max_Load_France!$B$2:$M$102,10,FALSE)="","",VLOOKUP($I37,Max_Load_France!$B$2:$M$102,10,FALSE))</f>
        <v/>
      </c>
      <c r="U37" s="358" t="str">
        <f>IF(VLOOKUP($I37,Max_Load_France!$B$2:$M$102,11,FALSE)="","",VLOOKUP($I37,Max_Load_France!$B$2:$M$102,11,FALSE))</f>
        <v/>
      </c>
      <c r="V37" s="357">
        <f t="shared" si="3"/>
        <v>5</v>
      </c>
      <c r="W37" s="299">
        <f t="shared" si="4"/>
        <v>40.9</v>
      </c>
      <c r="X37" s="308">
        <v>6.1</v>
      </c>
      <c r="Y37" s="308">
        <v>11.2</v>
      </c>
      <c r="Z37" s="308">
        <v>8.1</v>
      </c>
      <c r="AA37" s="308">
        <v>7.9</v>
      </c>
      <c r="AB37" s="308">
        <v>7.6</v>
      </c>
      <c r="AC37" s="309"/>
      <c r="AD37" s="301"/>
      <c r="AE37" s="301"/>
      <c r="AF37" s="301"/>
      <c r="AG37" s="302">
        <f t="shared" si="19"/>
        <v>23.6</v>
      </c>
      <c r="AH37" s="302" t="str">
        <f t="shared" si="5"/>
        <v/>
      </c>
      <c r="AI37" s="302" t="str">
        <f t="shared" si="6"/>
        <v/>
      </c>
      <c r="AJ37" s="302" t="str">
        <f t="shared" si="7"/>
        <v/>
      </c>
      <c r="AK37" s="326">
        <f t="shared" si="1"/>
        <v>36.716687054026508</v>
      </c>
      <c r="AL37" s="354">
        <v>4.0254536187563712</v>
      </c>
      <c r="AM37" s="354">
        <v>10.964933741080531</v>
      </c>
      <c r="AN37" s="308">
        <v>7.2420998980632003</v>
      </c>
      <c r="AO37" s="308">
        <v>7.2420998980632003</v>
      </c>
      <c r="AP37" s="308">
        <v>7.2420998980632003</v>
      </c>
      <c r="AQ37" s="309"/>
      <c r="AR37" s="300"/>
      <c r="AS37" s="301"/>
      <c r="AT37" s="301"/>
      <c r="AU37" s="331">
        <f t="shared" si="8"/>
        <v>21.726299694189599</v>
      </c>
      <c r="AV37" s="331" t="str">
        <f t="shared" si="9"/>
        <v/>
      </c>
      <c r="AW37" s="302"/>
      <c r="AX37" s="302"/>
      <c r="AY37" s="349" t="str">
        <f>IF(AND($BO$10="Yes",$BO37="MP"),"",IF(AK37=0,"",IF($W37/$V37&lt;$BN$6,"",IF($BN37&lt;$BN$10,IF(W37&gt;0,(AK37-W37)/W37,""),""))))</f>
        <v/>
      </c>
      <c r="AZ37" s="392" t="str">
        <f>IF(AND($BO$10="Yes",$BO37="MP"),"",IF(M37=0,IF(AL37&lt;$BN$7,"",IF($W37/$V37&lt;$BN$6,"",IF($BN37&lt;$BN$10,IF(X37&gt;0,(AL37-X37)/X37,""),""))),""))</f>
        <v/>
      </c>
      <c r="BA37" s="392" t="str">
        <f>IF(N37=0,IF(AM37&lt;$BN$7,"",IF($W37/$V37&lt;$BN$6,"",IF($BN37&lt;$BN$10,IF(Y37&gt;0,(AM37-Y37)/Y37,""),""))),"")</f>
        <v/>
      </c>
      <c r="BB37" s="392" t="str">
        <f>IF(O37=0,IF(AN37&lt;$BN$7,"",IF($W37/$V37&lt;$BN$6,"",IF($BN37&lt;$BN$10,IF(Z37&gt;0,(AN37-Z37)/Z37,""),""))),"")</f>
        <v/>
      </c>
      <c r="BC37" s="392" t="str">
        <f>IF(P37=0,IF(AO37&lt;$BN$7,"",IF($W37/$V37&lt;$BN$6,"",IF($BN37&lt;$BN$10,IF(AA37&gt;0,(AO37-AA37)/AA37,""),""))),"")</f>
        <v/>
      </c>
      <c r="BD37" s="392" t="str">
        <f>IF(Q37=0,IF(AP37&lt;$BN$7,"",IF($W37/$V37&lt;$BN$6,"",IF($BN37&lt;$BN$10,IF(AB37&gt;0,(AP37-AB37)/AB37,""),""))),"")</f>
        <v/>
      </c>
      <c r="BE37" s="349" t="str">
        <f>IF(AND($BO$10="Yes",$BO37="MP"),"",IF(N37&gt;0,IF(AM37&lt;$BN$7,"",IF($W37/$V37&lt;$BN$6,"",IF($BN37&lt;$BN$10,IF(Y37&gt;0,(AM37-Y37)/Y37,""),""))),""))</f>
        <v/>
      </c>
      <c r="BF37" s="349" t="str">
        <f>IF(O37&gt;0,IF(AN37&lt;$BN$7,"",IF($W37/$V37&lt;$BN$6,"",IF($BN37&lt;$BN$10,IF(Z37&gt;0,(AN37-Z37)/Z37,""),""))),"")</f>
        <v/>
      </c>
      <c r="BG37" s="349" t="str">
        <f>IF(P37&gt;0,IF(AO37&lt;$BN$7,"",IF($W37/$V37&lt;$BN$6,"",IF($BN37&lt;$BN$10,IF(AA37&gt;0,(AO37-AA37)/AA37,""),""))),"")</f>
        <v/>
      </c>
      <c r="BH37" s="349" t="str">
        <f>IF(Q37&gt;0,IF(AP37&lt;$BN$7,"",IF($W37/$V37&lt;$BN$6,"",IF($BN37&lt;$BN$10,IF(AB37&gt;0,(AP37-AB37)/AB37,""),""))),"")</f>
        <v/>
      </c>
      <c r="BI37" s="349" t="str">
        <f>IF(R37&gt;0,IF(AQ37&lt;$BN$7,"",IF($W37/$V37&lt;$BN$6,"",IF($BN37&lt;$BN$10,IF(AC37&gt;0,(AQ37-AC37)/AC37,""),""))),"")</f>
        <v/>
      </c>
      <c r="BJ37" s="392" t="str">
        <f>IF(AND($BO$10="Yes",$BO37="MP"),"",IF(AG37&lt;$BN$6*COUNTIF(M37:R37,1),"",IF($BN37&lt;$BN$10,IF($BN37&lt;$BN$10,IF(AG37&lt;&gt;"",(AU37-AG37)/AG37,""),""))))</f>
        <v/>
      </c>
      <c r="BK37" s="392" t="str">
        <f>IF(AND($BO$10="Yes",$BO37="MP"),"",IF(AH37&lt;$BN$6*COUNTIF(M37:R37,2),"",IF($BN37&lt;$BN$10,IF(AH37&lt;&gt;"",(AV37-AH37)/AH37,""),"")))</f>
        <v/>
      </c>
      <c r="BL37" s="288" t="str">
        <f t="shared" si="41"/>
        <v/>
      </c>
      <c r="BM37" s="136" t="str">
        <f t="shared" si="41"/>
        <v/>
      </c>
      <c r="BN37" s="334">
        <v>379.10700000000003</v>
      </c>
      <c r="BO37" s="398" t="s">
        <v>380</v>
      </c>
      <c r="BP37" s="94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</row>
    <row r="38" spans="1:79" s="89" customFormat="1" ht="11.25">
      <c r="A38" s="359" t="s">
        <v>236</v>
      </c>
      <c r="B38" s="358" t="s">
        <v>272</v>
      </c>
      <c r="C38" s="370"/>
      <c r="D38" s="367">
        <v>0.65694444444444444</v>
      </c>
      <c r="E38" s="371">
        <v>62.217719999999993</v>
      </c>
      <c r="F38" s="358"/>
      <c r="G38" s="358"/>
      <c r="H38" s="358"/>
      <c r="I38" s="365" t="s">
        <v>94</v>
      </c>
      <c r="J38" s="358">
        <f>IF(ISERROR(VLOOKUP(I38,Max_Load_France!$B$2:$C$102,2,FALSE)/1000),"",VLOOKUP(I38,Max_Load_France!$B$2:$C$102,2,FALSE)/1000)</f>
        <v>40</v>
      </c>
      <c r="K38" s="296"/>
      <c r="L38" s="297">
        <f>W38/J38</f>
        <v>0.68500000000000005</v>
      </c>
      <c r="M38" s="358">
        <f>IF(VLOOKUP($I38,Max_Load_France!$B$2:$M$102,3,FALSE)="","",VLOOKUP($I38,Max_Load_France!$B$2:$M$102,3,FALSE))</f>
        <v>0</v>
      </c>
      <c r="N38" s="358">
        <f>IF(VLOOKUP($I38,Max_Load_France!$B$2:$M$102,4,FALSE)="","",VLOOKUP($I38,Max_Load_France!$B$2:$M$102,4,FALSE))</f>
        <v>0</v>
      </c>
      <c r="O38" s="358">
        <f>IF(VLOOKUP($I38,Max_Load_France!$B$2:$M$102,5,FALSE)="","",VLOOKUP($I38,Max_Load_France!$B$2:$M$102,5,FALSE))</f>
        <v>1</v>
      </c>
      <c r="P38" s="358">
        <f>IF(VLOOKUP($I38,Max_Load_France!$B$2:$M$102,6,FALSE)="","",VLOOKUP($I38,Max_Load_France!$B$2:$M$102,6,FALSE))</f>
        <v>1</v>
      </c>
      <c r="Q38" s="358">
        <f>IF(VLOOKUP($I38,Max_Load_France!$B$2:$M$102,7,FALSE)="","",VLOOKUP($I38,Max_Load_France!$B$2:$M$102,7,FALSE))</f>
        <v>1</v>
      </c>
      <c r="R38" s="358" t="str">
        <f>IF(VLOOKUP($I38,Max_Load_France!$B$2:$M$102,8,FALSE)="","",VLOOKUP($I38,Max_Load_France!$B$2:$M$102,8,FALSE))</f>
        <v/>
      </c>
      <c r="S38" s="358" t="str">
        <f>IF(VLOOKUP($I38,Max_Load_France!$B$2:$M$102,9,FALSE)="","",VLOOKUP($I38,Max_Load_France!$B$2:$M$102,9,FALSE))</f>
        <v/>
      </c>
      <c r="T38" s="358" t="str">
        <f>IF(VLOOKUP($I38,Max_Load_France!$B$2:$M$102,10,FALSE)="","",VLOOKUP($I38,Max_Load_France!$B$2:$M$102,10,FALSE))</f>
        <v/>
      </c>
      <c r="U38" s="358" t="str">
        <f>IF(VLOOKUP($I38,Max_Load_France!$B$2:$M$102,11,FALSE)="","",VLOOKUP($I38,Max_Load_France!$B$2:$M$102,11,FALSE))</f>
        <v/>
      </c>
      <c r="V38" s="357">
        <f t="shared" si="3"/>
        <v>5</v>
      </c>
      <c r="W38" s="299">
        <f t="shared" si="4"/>
        <v>27.400000000000002</v>
      </c>
      <c r="X38" s="308">
        <v>6.5</v>
      </c>
      <c r="Y38" s="308">
        <v>6.5</v>
      </c>
      <c r="Z38" s="308">
        <v>4.8</v>
      </c>
      <c r="AA38" s="308">
        <v>4.8</v>
      </c>
      <c r="AB38" s="308">
        <v>4.8</v>
      </c>
      <c r="AC38" s="309"/>
      <c r="AD38" s="301"/>
      <c r="AE38" s="301"/>
      <c r="AF38" s="301"/>
      <c r="AG38" s="302">
        <f t="shared" si="19"/>
        <v>14.399999999999999</v>
      </c>
      <c r="AH38" s="302" t="str">
        <f t="shared" si="5"/>
        <v/>
      </c>
      <c r="AI38" s="302" t="str">
        <f t="shared" si="6"/>
        <v/>
      </c>
      <c r="AJ38" s="302" t="str">
        <f t="shared" si="7"/>
        <v/>
      </c>
      <c r="AK38" s="326">
        <f t="shared" si="1"/>
        <v>26.380193679918449</v>
      </c>
      <c r="AL38" s="354">
        <v>5.9466462793068295</v>
      </c>
      <c r="AM38" s="354">
        <v>7.0920795107033641</v>
      </c>
      <c r="AN38" s="308">
        <v>4.4471559633027526</v>
      </c>
      <c r="AO38" s="308">
        <v>4.4471559633027526</v>
      </c>
      <c r="AP38" s="308">
        <v>4.4471559633027526</v>
      </c>
      <c r="AQ38" s="309"/>
      <c r="AR38" s="300"/>
      <c r="AS38" s="301"/>
      <c r="AT38" s="301"/>
      <c r="AU38" s="331">
        <f t="shared" si="8"/>
        <v>13.341467889908259</v>
      </c>
      <c r="AV38" s="331" t="str">
        <f t="shared" si="9"/>
        <v/>
      </c>
      <c r="AW38" s="302"/>
      <c r="AX38" s="302"/>
      <c r="AY38" s="349">
        <f t="shared" ref="AY38:AY42" si="42">IF(AND($BO$10="Yes",$BO38="MP"),"",IF(AK38=0,"",IF($W38/$V38&lt;$BN$6,"",IF($BN38&lt;$BN$10,IF(W38&gt;0,(AK38-W38)/W38,""),""))))</f>
        <v>-3.7219208762100484E-2</v>
      </c>
      <c r="AZ38" s="392">
        <f t="shared" ref="AZ38:AZ42" si="43">IF(AND($BO$10="Yes",$BO38="MP"),"",IF(M38=0,IF(AL38&lt;$BN$7,"",IF($W38/$V38&lt;$BN$6,"",IF($BN38&lt;$BN$10,IF(X38&gt;0,(AL38-X38)/X38,""),""))),""))</f>
        <v>-8.5131341645103151E-2</v>
      </c>
      <c r="BA38" s="392">
        <f t="shared" ref="BA38:BD42" si="44">IF(N38=0,IF(AM38&lt;$BN$7,"",IF($W38/$V38&lt;$BN$6,"",IF($BN38&lt;$BN$10,IF(Y38&gt;0,(AM38-Y38)/Y38,""),""))),"")</f>
        <v>9.1089155492825244E-2</v>
      </c>
      <c r="BB38" s="392" t="str">
        <f t="shared" si="44"/>
        <v/>
      </c>
      <c r="BC38" s="392" t="str">
        <f t="shared" si="44"/>
        <v/>
      </c>
      <c r="BD38" s="392" t="str">
        <f t="shared" si="44"/>
        <v/>
      </c>
      <c r="BE38" s="349" t="str">
        <f t="shared" ref="BE38:BE42" si="45">IF(AND($BO$10="Yes",$BO38="MP"),"",IF(N38&gt;0,IF(AM38&lt;$BN$7,"",IF($W38/$V38&lt;$BN$6,"",IF($BN38&lt;$BN$10,IF(Y38&gt;0,(AM38-Y38)/Y38,""),""))),""))</f>
        <v/>
      </c>
      <c r="BF38" s="349">
        <f t="shared" ref="BF38:BI42" si="46">IF(O38&gt;0,IF(AN38&lt;$BN$7,"",IF($W38/$V38&lt;$BN$6,"",IF($BN38&lt;$BN$10,IF(Z38&gt;0,(AN38-Z38)/Z38,""),""))),"")</f>
        <v>-7.3509174311926495E-2</v>
      </c>
      <c r="BG38" s="349">
        <f t="shared" si="46"/>
        <v>-7.3509174311926495E-2</v>
      </c>
      <c r="BH38" s="349">
        <f t="shared" si="46"/>
        <v>-7.3509174311926495E-2</v>
      </c>
      <c r="BI38" s="349" t="str">
        <f t="shared" si="46"/>
        <v/>
      </c>
      <c r="BJ38" s="392">
        <f t="shared" ref="BJ38:BJ42" si="47">IF(AND($BO$10="Yes",$BO38="MP"),"",IF(AG38&lt;$BN$6*COUNTIF(M38:R38,1),"",IF($BN38&lt;$BN$10,IF($BN38&lt;$BN$10,IF(AG38&lt;&gt;"",(AU38-AG38)/AG38,""),""))))</f>
        <v>-7.3509174311926384E-2</v>
      </c>
      <c r="BK38" s="392" t="str">
        <f t="shared" ref="BK38:BK42" si="48">IF(AND($BO$10="Yes",$BO38="MP"),"",IF(AH38&lt;$BN$6*COUNTIF(M38:R38,2),"",IF($BN38&lt;$BN$10,IF(AH38&lt;&gt;"",(AV38-AH38)/AH38,""),"")))</f>
        <v/>
      </c>
      <c r="BL38" s="288" t="str">
        <f t="shared" si="41"/>
        <v/>
      </c>
      <c r="BM38" s="136" t="str">
        <f t="shared" si="41"/>
        <v/>
      </c>
      <c r="BN38" s="334">
        <v>38.749600000000001</v>
      </c>
      <c r="BO38" s="398"/>
      <c r="BP38" s="94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</row>
    <row r="39" spans="1:79" s="89" customFormat="1" ht="11.25">
      <c r="A39" s="359" t="s">
        <v>237</v>
      </c>
      <c r="B39" s="358" t="s">
        <v>273</v>
      </c>
      <c r="C39" s="370"/>
      <c r="D39" s="367">
        <v>0.65833333333333333</v>
      </c>
      <c r="E39" s="371">
        <v>64.391400000000004</v>
      </c>
      <c r="F39" s="358"/>
      <c r="G39" s="358"/>
      <c r="H39" s="358"/>
      <c r="I39" s="365" t="s">
        <v>94</v>
      </c>
      <c r="J39" s="358">
        <f>IF(ISERROR(VLOOKUP(I39,Max_Load_France!$B$2:$C$102,2,FALSE)/1000),"",VLOOKUP(I39,Max_Load_France!$B$2:$C$102,2,FALSE)/1000)</f>
        <v>40</v>
      </c>
      <c r="K39" s="296"/>
      <c r="L39" s="297">
        <f>W39/J39</f>
        <v>0.97499999999999998</v>
      </c>
      <c r="M39" s="358">
        <f>IF(VLOOKUP($I39,Max_Load_France!$B$2:$M$102,3,FALSE)="","",VLOOKUP($I39,Max_Load_France!$B$2:$M$102,3,FALSE))</f>
        <v>0</v>
      </c>
      <c r="N39" s="358">
        <f>IF(VLOOKUP($I39,Max_Load_France!$B$2:$M$102,4,FALSE)="","",VLOOKUP($I39,Max_Load_France!$B$2:$M$102,4,FALSE))</f>
        <v>0</v>
      </c>
      <c r="O39" s="358">
        <f>IF(VLOOKUP($I39,Max_Load_France!$B$2:$M$102,5,FALSE)="","",VLOOKUP($I39,Max_Load_France!$B$2:$M$102,5,FALSE))</f>
        <v>1</v>
      </c>
      <c r="P39" s="358">
        <f>IF(VLOOKUP($I39,Max_Load_France!$B$2:$M$102,6,FALSE)="","",VLOOKUP($I39,Max_Load_France!$B$2:$M$102,6,FALSE))</f>
        <v>1</v>
      </c>
      <c r="Q39" s="358">
        <f>IF(VLOOKUP($I39,Max_Load_France!$B$2:$M$102,7,FALSE)="","",VLOOKUP($I39,Max_Load_France!$B$2:$M$102,7,FALSE))</f>
        <v>1</v>
      </c>
      <c r="R39" s="358" t="str">
        <f>IF(VLOOKUP($I39,Max_Load_France!$B$2:$M$102,8,FALSE)="","",VLOOKUP($I39,Max_Load_France!$B$2:$M$102,8,FALSE))</f>
        <v/>
      </c>
      <c r="S39" s="358" t="str">
        <f>IF(VLOOKUP($I39,Max_Load_France!$B$2:$M$102,9,FALSE)="","",VLOOKUP($I39,Max_Load_France!$B$2:$M$102,9,FALSE))</f>
        <v/>
      </c>
      <c r="T39" s="358" t="str">
        <f>IF(VLOOKUP($I39,Max_Load_France!$B$2:$M$102,10,FALSE)="","",VLOOKUP($I39,Max_Load_France!$B$2:$M$102,10,FALSE))</f>
        <v/>
      </c>
      <c r="U39" s="358" t="str">
        <f>IF(VLOOKUP($I39,Max_Load_France!$B$2:$M$102,11,FALSE)="","",VLOOKUP($I39,Max_Load_France!$B$2:$M$102,11,FALSE))</f>
        <v/>
      </c>
      <c r="V39" s="357">
        <f t="shared" si="3"/>
        <v>5</v>
      </c>
      <c r="W39" s="299">
        <f t="shared" si="4"/>
        <v>39</v>
      </c>
      <c r="X39" s="308">
        <v>7</v>
      </c>
      <c r="Y39" s="308">
        <v>11.2</v>
      </c>
      <c r="Z39" s="308">
        <v>6.8</v>
      </c>
      <c r="AA39" s="308">
        <v>7</v>
      </c>
      <c r="AB39" s="308">
        <v>7</v>
      </c>
      <c r="AC39" s="309"/>
      <c r="AD39" s="301"/>
      <c r="AE39" s="301"/>
      <c r="AF39" s="301"/>
      <c r="AG39" s="302">
        <f t="shared" si="19"/>
        <v>20.8</v>
      </c>
      <c r="AH39" s="302" t="str">
        <f t="shared" si="5"/>
        <v/>
      </c>
      <c r="AI39" s="302" t="str">
        <f t="shared" si="6"/>
        <v/>
      </c>
      <c r="AJ39" s="302" t="str">
        <f t="shared" si="7"/>
        <v/>
      </c>
      <c r="AK39" s="326">
        <f t="shared" si="1"/>
        <v>37.207940876656473</v>
      </c>
      <c r="AL39" s="354">
        <v>4.8838124362895003</v>
      </c>
      <c r="AM39" s="354">
        <v>12.714373088685013</v>
      </c>
      <c r="AN39" s="308">
        <v>6.5365851172273191</v>
      </c>
      <c r="AO39" s="308">
        <v>6.5365851172273191</v>
      </c>
      <c r="AP39" s="308">
        <v>6.5365851172273191</v>
      </c>
      <c r="AQ39" s="309"/>
      <c r="AR39" s="300"/>
      <c r="AS39" s="301"/>
      <c r="AT39" s="301"/>
      <c r="AU39" s="331">
        <f t="shared" si="8"/>
        <v>19.609755351681958</v>
      </c>
      <c r="AV39" s="331" t="str">
        <f t="shared" si="9"/>
        <v/>
      </c>
      <c r="AW39" s="302"/>
      <c r="AX39" s="302"/>
      <c r="AY39" s="349">
        <f t="shared" si="42"/>
        <v>-4.5950233931885319E-2</v>
      </c>
      <c r="AZ39" s="392">
        <f t="shared" si="43"/>
        <v>-0.30231250910149993</v>
      </c>
      <c r="BA39" s="392">
        <f t="shared" si="44"/>
        <v>0.13521188291830483</v>
      </c>
      <c r="BB39" s="392" t="str">
        <f t="shared" si="44"/>
        <v/>
      </c>
      <c r="BC39" s="392" t="str">
        <f t="shared" si="44"/>
        <v/>
      </c>
      <c r="BD39" s="392" t="str">
        <f t="shared" si="44"/>
        <v/>
      </c>
      <c r="BE39" s="349" t="str">
        <f t="shared" si="45"/>
        <v/>
      </c>
      <c r="BF39" s="349">
        <f t="shared" si="46"/>
        <v>-3.8737482760688349E-2</v>
      </c>
      <c r="BG39" s="349">
        <f t="shared" si="46"/>
        <v>-6.6202126110382994E-2</v>
      </c>
      <c r="BH39" s="349">
        <f t="shared" si="46"/>
        <v>-6.6202126110382994E-2</v>
      </c>
      <c r="BI39" s="349" t="str">
        <f t="shared" si="46"/>
        <v/>
      </c>
      <c r="BJ39" s="392">
        <f t="shared" si="47"/>
        <v>-5.7223300399905898E-2</v>
      </c>
      <c r="BK39" s="392" t="str">
        <f t="shared" si="48"/>
        <v/>
      </c>
      <c r="BL39" s="288" t="str">
        <f t="shared" si="41"/>
        <v/>
      </c>
      <c r="BM39" s="136" t="str">
        <f t="shared" si="41"/>
        <v/>
      </c>
      <c r="BN39" s="334">
        <v>107.056</v>
      </c>
      <c r="BO39" s="398"/>
      <c r="BP39" s="94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</row>
    <row r="40" spans="1:79" s="89" customFormat="1" ht="11.25">
      <c r="A40" s="359" t="s">
        <v>238</v>
      </c>
      <c r="B40" s="358" t="s">
        <v>274</v>
      </c>
      <c r="C40" s="370"/>
      <c r="D40" s="367">
        <v>0.66180555555555554</v>
      </c>
      <c r="E40" s="371">
        <v>56.932920000000003</v>
      </c>
      <c r="F40" s="358"/>
      <c r="G40" s="358"/>
      <c r="H40" s="358"/>
      <c r="I40" s="365" t="s">
        <v>94</v>
      </c>
      <c r="J40" s="358">
        <f>IF(ISERROR(VLOOKUP(I40,Max_Load_France!$B$2:$C$102,2,FALSE)/1000),"",VLOOKUP(I40,Max_Load_France!$B$2:$C$102,2,FALSE)/1000)</f>
        <v>40</v>
      </c>
      <c r="K40" s="296"/>
      <c r="L40" s="297">
        <f t="shared" ref="L40:L47" si="49">W40/J40</f>
        <v>0.86250000000000004</v>
      </c>
      <c r="M40" s="358">
        <f>IF(VLOOKUP($I40,Max_Load_France!$B$2:$M$102,3,FALSE)="","",VLOOKUP($I40,Max_Load_France!$B$2:$M$102,3,FALSE))</f>
        <v>0</v>
      </c>
      <c r="N40" s="358">
        <f>IF(VLOOKUP($I40,Max_Load_France!$B$2:$M$102,4,FALSE)="","",VLOOKUP($I40,Max_Load_France!$B$2:$M$102,4,FALSE))</f>
        <v>0</v>
      </c>
      <c r="O40" s="358">
        <f>IF(VLOOKUP($I40,Max_Load_France!$B$2:$M$102,5,FALSE)="","",VLOOKUP($I40,Max_Load_France!$B$2:$M$102,5,FALSE))</f>
        <v>1</v>
      </c>
      <c r="P40" s="358">
        <f>IF(VLOOKUP($I40,Max_Load_France!$B$2:$M$102,6,FALSE)="","",VLOOKUP($I40,Max_Load_France!$B$2:$M$102,6,FALSE))</f>
        <v>1</v>
      </c>
      <c r="Q40" s="358">
        <f>IF(VLOOKUP($I40,Max_Load_France!$B$2:$M$102,7,FALSE)="","",VLOOKUP($I40,Max_Load_France!$B$2:$M$102,7,FALSE))</f>
        <v>1</v>
      </c>
      <c r="R40" s="358" t="str">
        <f>IF(VLOOKUP($I40,Max_Load_France!$B$2:$M$102,8,FALSE)="","",VLOOKUP($I40,Max_Load_France!$B$2:$M$102,8,FALSE))</f>
        <v/>
      </c>
      <c r="S40" s="358" t="str">
        <f>IF(VLOOKUP($I40,Max_Load_France!$B$2:$M$102,9,FALSE)="","",VLOOKUP($I40,Max_Load_France!$B$2:$M$102,9,FALSE))</f>
        <v/>
      </c>
      <c r="T40" s="358" t="str">
        <f>IF(VLOOKUP($I40,Max_Load_France!$B$2:$M$102,10,FALSE)="","",VLOOKUP($I40,Max_Load_France!$B$2:$M$102,10,FALSE))</f>
        <v/>
      </c>
      <c r="U40" s="358" t="str">
        <f>IF(VLOOKUP($I40,Max_Load_France!$B$2:$M$102,11,FALSE)="","",VLOOKUP($I40,Max_Load_France!$B$2:$M$102,11,FALSE))</f>
        <v/>
      </c>
      <c r="V40" s="357">
        <f t="shared" si="3"/>
        <v>5</v>
      </c>
      <c r="W40" s="299">
        <f t="shared" si="4"/>
        <v>34.5</v>
      </c>
      <c r="X40" s="308">
        <v>8.5</v>
      </c>
      <c r="Y40" s="308">
        <v>12.1</v>
      </c>
      <c r="Z40" s="308">
        <v>4.7</v>
      </c>
      <c r="AA40" s="308">
        <v>4.8</v>
      </c>
      <c r="AB40" s="308">
        <v>4.4000000000000004</v>
      </c>
      <c r="AC40" s="309"/>
      <c r="AD40" s="301"/>
      <c r="AE40" s="301"/>
      <c r="AF40" s="301"/>
      <c r="AG40" s="302">
        <f t="shared" si="19"/>
        <v>13.9</v>
      </c>
      <c r="AH40" s="302" t="str">
        <f t="shared" si="5"/>
        <v/>
      </c>
      <c r="AI40" s="302" t="str">
        <f t="shared" si="6"/>
        <v/>
      </c>
      <c r="AJ40" s="302" t="str">
        <f t="shared" si="7"/>
        <v/>
      </c>
      <c r="AK40" s="326">
        <f t="shared" si="1"/>
        <v>35.20522935779816</v>
      </c>
      <c r="AL40" s="354">
        <v>6.4471661569826697</v>
      </c>
      <c r="AM40" s="354">
        <v>12.322528032619775</v>
      </c>
      <c r="AN40" s="308">
        <v>5.4785117227319056</v>
      </c>
      <c r="AO40" s="308">
        <v>5.4785117227319056</v>
      </c>
      <c r="AP40" s="308">
        <v>5.4785117227319056</v>
      </c>
      <c r="AQ40" s="309"/>
      <c r="AR40" s="300"/>
      <c r="AS40" s="301"/>
      <c r="AT40" s="301"/>
      <c r="AU40" s="331">
        <f t="shared" si="8"/>
        <v>16.435535168195717</v>
      </c>
      <c r="AV40" s="331" t="str">
        <f t="shared" si="9"/>
        <v/>
      </c>
      <c r="AW40" s="302"/>
      <c r="AX40" s="302"/>
      <c r="AY40" s="349" t="str">
        <f t="shared" si="42"/>
        <v/>
      </c>
      <c r="AZ40" s="392" t="str">
        <f t="shared" si="43"/>
        <v/>
      </c>
      <c r="BA40" s="392" t="str">
        <f t="shared" si="44"/>
        <v/>
      </c>
      <c r="BB40" s="392" t="str">
        <f t="shared" si="44"/>
        <v/>
      </c>
      <c r="BC40" s="392" t="str">
        <f t="shared" si="44"/>
        <v/>
      </c>
      <c r="BD40" s="392" t="str">
        <f t="shared" si="44"/>
        <v/>
      </c>
      <c r="BE40" s="349" t="str">
        <f t="shared" si="45"/>
        <v/>
      </c>
      <c r="BF40" s="349" t="str">
        <f t="shared" si="46"/>
        <v/>
      </c>
      <c r="BG40" s="349" t="str">
        <f t="shared" si="46"/>
        <v/>
      </c>
      <c r="BH40" s="349" t="str">
        <f t="shared" si="46"/>
        <v/>
      </c>
      <c r="BI40" s="349" t="str">
        <f t="shared" si="46"/>
        <v/>
      </c>
      <c r="BJ40" s="392" t="b">
        <f t="shared" si="47"/>
        <v>0</v>
      </c>
      <c r="BK40" s="392" t="str">
        <f t="shared" si="48"/>
        <v/>
      </c>
      <c r="BL40" s="288" t="str">
        <f t="shared" si="41"/>
        <v/>
      </c>
      <c r="BM40" s="136" t="str">
        <f t="shared" si="41"/>
        <v/>
      </c>
      <c r="BN40" s="334">
        <v>150.48699999999999</v>
      </c>
      <c r="BO40" s="398"/>
      <c r="BP40" s="94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</row>
    <row r="41" spans="1:79" s="89" customFormat="1" ht="11.25">
      <c r="A41" s="359" t="s">
        <v>239</v>
      </c>
      <c r="B41" s="358" t="s">
        <v>275</v>
      </c>
      <c r="C41" s="370"/>
      <c r="D41" s="367">
        <v>0.66527777777777775</v>
      </c>
      <c r="E41" s="371">
        <v>54.613440000000004</v>
      </c>
      <c r="F41" s="358"/>
      <c r="G41" s="358"/>
      <c r="H41" s="358"/>
      <c r="I41" s="365" t="s">
        <v>94</v>
      </c>
      <c r="J41" s="358">
        <f>IF(ISERROR(VLOOKUP(I41,Max_Load_France!$B$2:$C$102,2,FALSE)/1000),"",VLOOKUP(I41,Max_Load_France!$B$2:$C$102,2,FALSE)/1000)</f>
        <v>40</v>
      </c>
      <c r="K41" s="296"/>
      <c r="L41" s="297">
        <f t="shared" si="49"/>
        <v>1.0250000000000001</v>
      </c>
      <c r="M41" s="358">
        <f>IF(VLOOKUP($I41,Max_Load_France!$B$2:$M$102,3,FALSE)="","",VLOOKUP($I41,Max_Load_France!$B$2:$M$102,3,FALSE))</f>
        <v>0</v>
      </c>
      <c r="N41" s="358">
        <f>IF(VLOOKUP($I41,Max_Load_France!$B$2:$M$102,4,FALSE)="","",VLOOKUP($I41,Max_Load_France!$B$2:$M$102,4,FALSE))</f>
        <v>0</v>
      </c>
      <c r="O41" s="358">
        <f>IF(VLOOKUP($I41,Max_Load_France!$B$2:$M$102,5,FALSE)="","",VLOOKUP($I41,Max_Load_France!$B$2:$M$102,5,FALSE))</f>
        <v>1</v>
      </c>
      <c r="P41" s="358">
        <f>IF(VLOOKUP($I41,Max_Load_France!$B$2:$M$102,6,FALSE)="","",VLOOKUP($I41,Max_Load_France!$B$2:$M$102,6,FALSE))</f>
        <v>1</v>
      </c>
      <c r="Q41" s="358">
        <f>IF(VLOOKUP($I41,Max_Load_France!$B$2:$M$102,7,FALSE)="","",VLOOKUP($I41,Max_Load_France!$B$2:$M$102,7,FALSE))</f>
        <v>1</v>
      </c>
      <c r="R41" s="358" t="str">
        <f>IF(VLOOKUP($I41,Max_Load_France!$B$2:$M$102,8,FALSE)="","",VLOOKUP($I41,Max_Load_France!$B$2:$M$102,8,FALSE))</f>
        <v/>
      </c>
      <c r="S41" s="358" t="str">
        <f>IF(VLOOKUP($I41,Max_Load_France!$B$2:$M$102,9,FALSE)="","",VLOOKUP($I41,Max_Load_France!$B$2:$M$102,9,FALSE))</f>
        <v/>
      </c>
      <c r="T41" s="358" t="str">
        <f>IF(VLOOKUP($I41,Max_Load_France!$B$2:$M$102,10,FALSE)="","",VLOOKUP($I41,Max_Load_France!$B$2:$M$102,10,FALSE))</f>
        <v/>
      </c>
      <c r="U41" s="358" t="str">
        <f>IF(VLOOKUP($I41,Max_Load_France!$B$2:$M$102,11,FALSE)="","",VLOOKUP($I41,Max_Load_France!$B$2:$M$102,11,FALSE))</f>
        <v/>
      </c>
      <c r="V41" s="357">
        <f t="shared" si="3"/>
        <v>5</v>
      </c>
      <c r="W41" s="299">
        <f t="shared" si="4"/>
        <v>41.000000000000007</v>
      </c>
      <c r="X41" s="308">
        <v>6.7</v>
      </c>
      <c r="Y41" s="308">
        <v>12.4</v>
      </c>
      <c r="Z41" s="308">
        <v>7.5</v>
      </c>
      <c r="AA41" s="308">
        <v>7.2</v>
      </c>
      <c r="AB41" s="308">
        <v>7.2</v>
      </c>
      <c r="AC41" s="309"/>
      <c r="AD41" s="301"/>
      <c r="AE41" s="301"/>
      <c r="AF41" s="301"/>
      <c r="AG41" s="302">
        <f t="shared" si="19"/>
        <v>21.9</v>
      </c>
      <c r="AH41" s="302" t="str">
        <f t="shared" si="5"/>
        <v/>
      </c>
      <c r="AI41" s="302"/>
      <c r="AJ41" s="302"/>
      <c r="AK41" s="326">
        <f t="shared" si="1"/>
        <v>42.772945973496427</v>
      </c>
      <c r="AL41" s="354">
        <v>5.0217431192660547</v>
      </c>
      <c r="AM41" s="354">
        <v>14.923649337410806</v>
      </c>
      <c r="AN41" s="308">
        <v>7.6091845056065237</v>
      </c>
      <c r="AO41" s="308">
        <v>7.6091845056065237</v>
      </c>
      <c r="AP41" s="308">
        <v>7.6091845056065237</v>
      </c>
      <c r="AQ41" s="309"/>
      <c r="AR41" s="300"/>
      <c r="AS41" s="301"/>
      <c r="AT41" s="301"/>
      <c r="AU41" s="331">
        <f t="shared" si="8"/>
        <v>22.82755351681957</v>
      </c>
      <c r="AV41" s="331" t="str">
        <f t="shared" si="9"/>
        <v/>
      </c>
      <c r="AW41" s="302"/>
      <c r="AX41" s="302"/>
      <c r="AY41" s="349">
        <f t="shared" si="42"/>
        <v>4.3242584719424861E-2</v>
      </c>
      <c r="AZ41" s="392">
        <f t="shared" si="43"/>
        <v>-0.2504861016020814</v>
      </c>
      <c r="BA41" s="392">
        <f t="shared" si="44"/>
        <v>0.20352010785571015</v>
      </c>
      <c r="BB41" s="392" t="str">
        <f t="shared" si="44"/>
        <v/>
      </c>
      <c r="BC41" s="392" t="str">
        <f t="shared" si="44"/>
        <v/>
      </c>
      <c r="BD41" s="392" t="str">
        <f t="shared" si="44"/>
        <v/>
      </c>
      <c r="BE41" s="349" t="str">
        <f t="shared" si="45"/>
        <v/>
      </c>
      <c r="BF41" s="349">
        <f t="shared" si="46"/>
        <v>1.4557934080869828E-2</v>
      </c>
      <c r="BG41" s="349">
        <f t="shared" si="46"/>
        <v>5.6831181334239381E-2</v>
      </c>
      <c r="BH41" s="349">
        <f t="shared" si="46"/>
        <v>5.6831181334239381E-2</v>
      </c>
      <c r="BI41" s="349" t="str">
        <f t="shared" si="46"/>
        <v/>
      </c>
      <c r="BJ41" s="392">
        <f t="shared" si="47"/>
        <v>4.2354041863907385E-2</v>
      </c>
      <c r="BK41" s="392" t="str">
        <f t="shared" si="48"/>
        <v/>
      </c>
      <c r="BL41" s="288" t="str">
        <f t="shared" si="41"/>
        <v/>
      </c>
      <c r="BM41" s="136" t="str">
        <f t="shared" si="41"/>
        <v/>
      </c>
      <c r="BN41" s="334">
        <v>118.712</v>
      </c>
      <c r="BO41" s="398"/>
      <c r="BP41" s="94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</row>
    <row r="42" spans="1:79" s="89" customFormat="1" ht="11.25">
      <c r="A42" s="359" t="s">
        <v>240</v>
      </c>
      <c r="B42" s="358" t="s">
        <v>276</v>
      </c>
      <c r="C42" s="370"/>
      <c r="D42" s="367">
        <v>0.66736111111111107</v>
      </c>
      <c r="E42" s="371">
        <v>66.722039999999993</v>
      </c>
      <c r="F42" s="358"/>
      <c r="G42" s="358"/>
      <c r="H42" s="358"/>
      <c r="I42" s="365" t="s">
        <v>108</v>
      </c>
      <c r="J42" s="358">
        <f>IF(ISERROR(VLOOKUP(I42,Max_Load_France!$B$2:$C$102,2,FALSE)/1000),"",VLOOKUP(I42,Max_Load_France!$B$2:$C$102,2,FALSE)/1000)</f>
        <v>26</v>
      </c>
      <c r="K42" s="296"/>
      <c r="L42" s="297">
        <f t="shared" si="49"/>
        <v>0.73076923076923073</v>
      </c>
      <c r="M42" s="358">
        <f>IF(VLOOKUP($I42,Max_Load_France!$B$2:$M$102,3,FALSE)="","",VLOOKUP($I42,Max_Load_France!$B$2:$M$102,3,FALSE))</f>
        <v>0</v>
      </c>
      <c r="N42" s="358">
        <f>IF(VLOOKUP($I42,Max_Load_France!$B$2:$M$102,4,FALSE)="","",VLOOKUP($I42,Max_Load_France!$B$2:$M$102,4,FALSE))</f>
        <v>1</v>
      </c>
      <c r="O42" s="358">
        <f>IF(VLOOKUP($I42,Max_Load_France!$B$2:$M$102,5,FALSE)="","",VLOOKUP($I42,Max_Load_France!$B$2:$M$102,5,FALSE))</f>
        <v>1</v>
      </c>
      <c r="P42" s="358" t="str">
        <f>IF(VLOOKUP($I42,Max_Load_France!$B$2:$M$102,6,FALSE)="","",VLOOKUP($I42,Max_Load_France!$B$2:$M$102,6,FALSE))</f>
        <v/>
      </c>
      <c r="Q42" s="358" t="str">
        <f>IF(VLOOKUP($I42,Max_Load_France!$B$2:$M$102,7,FALSE)="","",VLOOKUP($I42,Max_Load_France!$B$2:$M$102,7,FALSE))</f>
        <v/>
      </c>
      <c r="R42" s="358" t="str">
        <f>IF(VLOOKUP($I42,Max_Load_France!$B$2:$M$102,8,FALSE)="","",VLOOKUP($I42,Max_Load_France!$B$2:$M$102,8,FALSE))</f>
        <v/>
      </c>
      <c r="S42" s="358" t="str">
        <f>IF(VLOOKUP($I42,Max_Load_France!$B$2:$M$102,9,FALSE)="","",VLOOKUP($I42,Max_Load_France!$B$2:$M$102,9,FALSE))</f>
        <v/>
      </c>
      <c r="T42" s="358" t="str">
        <f>IF(VLOOKUP($I42,Max_Load_France!$B$2:$M$102,10,FALSE)="","",VLOOKUP($I42,Max_Load_France!$B$2:$M$102,10,FALSE))</f>
        <v/>
      </c>
      <c r="U42" s="358" t="str">
        <f>IF(VLOOKUP($I42,Max_Load_France!$B$2:$M$102,11,FALSE)="","",VLOOKUP($I42,Max_Load_France!$B$2:$M$102,11,FALSE))</f>
        <v/>
      </c>
      <c r="V42" s="357">
        <f t="shared" si="3"/>
        <v>3</v>
      </c>
      <c r="W42" s="299">
        <f t="shared" si="4"/>
        <v>19</v>
      </c>
      <c r="X42" s="308">
        <v>7.5</v>
      </c>
      <c r="Y42" s="308">
        <f>IF(X51="Yes",5.75,7.4)</f>
        <v>5.75</v>
      </c>
      <c r="Z42" s="308">
        <f>IF(X51="Yes",5.75,4.1)</f>
        <v>5.75</v>
      </c>
      <c r="AA42" s="308"/>
      <c r="AB42" s="308"/>
      <c r="AC42" s="309"/>
      <c r="AD42" s="301"/>
      <c r="AE42" s="301"/>
      <c r="AF42" s="301"/>
      <c r="AG42" s="302">
        <f t="shared" si="19"/>
        <v>11.5</v>
      </c>
      <c r="AH42" s="302" t="str">
        <f t="shared" si="5"/>
        <v/>
      </c>
      <c r="AI42" s="302"/>
      <c r="AJ42" s="302"/>
      <c r="AK42" s="326">
        <f t="shared" si="1"/>
        <v>19.809082568807337</v>
      </c>
      <c r="AL42" s="354">
        <v>8.759724770642201</v>
      </c>
      <c r="AM42" s="354">
        <v>5.5246788990825682</v>
      </c>
      <c r="AN42" s="308">
        <v>5.5246788990825682</v>
      </c>
      <c r="AO42" s="308"/>
      <c r="AP42" s="308"/>
      <c r="AQ42" s="309"/>
      <c r="AR42" s="300"/>
      <c r="AS42" s="301"/>
      <c r="AT42" s="301"/>
      <c r="AU42" s="331">
        <f t="shared" si="8"/>
        <v>11.049357798165136</v>
      </c>
      <c r="AV42" s="331" t="str">
        <f t="shared" si="9"/>
        <v/>
      </c>
      <c r="AW42" s="302"/>
      <c r="AX42" s="302"/>
      <c r="AY42" s="349">
        <f t="shared" si="42"/>
        <v>4.2583293095123015E-2</v>
      </c>
      <c r="AZ42" s="392">
        <f t="shared" si="43"/>
        <v>0.16796330275229346</v>
      </c>
      <c r="BA42" s="392" t="str">
        <f t="shared" si="44"/>
        <v/>
      </c>
      <c r="BB42" s="392" t="str">
        <f t="shared" si="44"/>
        <v/>
      </c>
      <c r="BC42" s="392" t="str">
        <f t="shared" si="44"/>
        <v/>
      </c>
      <c r="BD42" s="392" t="str">
        <f t="shared" si="44"/>
        <v/>
      </c>
      <c r="BE42" s="349">
        <f t="shared" si="45"/>
        <v>-3.9186278420422931E-2</v>
      </c>
      <c r="BF42" s="349">
        <f t="shared" si="46"/>
        <v>-3.9186278420422931E-2</v>
      </c>
      <c r="BG42" s="349" t="str">
        <f t="shared" si="46"/>
        <v/>
      </c>
      <c r="BH42" s="349" t="str">
        <f t="shared" si="46"/>
        <v/>
      </c>
      <c r="BI42" s="349" t="str">
        <f t="shared" si="46"/>
        <v/>
      </c>
      <c r="BJ42" s="392">
        <f t="shared" si="47"/>
        <v>-3.9186278420422931E-2</v>
      </c>
      <c r="BK42" s="392" t="str">
        <f t="shared" si="48"/>
        <v/>
      </c>
      <c r="BL42" s="288" t="str">
        <f t="shared" si="41"/>
        <v/>
      </c>
      <c r="BM42" s="136" t="str">
        <f t="shared" si="41"/>
        <v/>
      </c>
      <c r="BN42" s="334">
        <v>46.543599999999998</v>
      </c>
      <c r="BO42" s="398"/>
      <c r="BP42" s="94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</row>
    <row r="43" spans="1:79" s="89" customFormat="1" ht="11.25">
      <c r="A43" s="359" t="s">
        <v>241</v>
      </c>
      <c r="B43" s="358" t="s">
        <v>278</v>
      </c>
      <c r="C43" s="370"/>
      <c r="D43" s="367">
        <v>0.67569444444444438</v>
      </c>
      <c r="E43" s="371">
        <v>79.705799999999996</v>
      </c>
      <c r="F43" s="358"/>
      <c r="G43" s="358"/>
      <c r="H43" s="358"/>
      <c r="I43" s="365" t="s">
        <v>94</v>
      </c>
      <c r="J43" s="358">
        <f>IF(ISERROR(VLOOKUP(I43,Max_Load_France!$B$2:$C$102,2,FALSE)/1000),"",VLOOKUP(I43,Max_Load_France!$B$2:$C$102,2,FALSE)/1000)</f>
        <v>40</v>
      </c>
      <c r="K43" s="296"/>
      <c r="L43" s="297">
        <f t="shared" si="49"/>
        <v>0.75249999999999984</v>
      </c>
      <c r="M43" s="358">
        <f>IF(VLOOKUP($I43,Max_Load_France!$B$2:$M$102,3,FALSE)="","",VLOOKUP($I43,Max_Load_France!$B$2:$M$102,3,FALSE))</f>
        <v>0</v>
      </c>
      <c r="N43" s="358">
        <f>IF(VLOOKUP($I43,Max_Load_France!$B$2:$M$102,4,FALSE)="","",VLOOKUP($I43,Max_Load_France!$B$2:$M$102,4,FALSE))</f>
        <v>0</v>
      </c>
      <c r="O43" s="358">
        <f>IF(VLOOKUP($I43,Max_Load_France!$B$2:$M$102,5,FALSE)="","",VLOOKUP($I43,Max_Load_France!$B$2:$M$102,5,FALSE))</f>
        <v>1</v>
      </c>
      <c r="P43" s="358">
        <f>IF(VLOOKUP($I43,Max_Load_France!$B$2:$M$102,6,FALSE)="","",VLOOKUP($I43,Max_Load_France!$B$2:$M$102,6,FALSE))</f>
        <v>1</v>
      </c>
      <c r="Q43" s="358">
        <f>IF(VLOOKUP($I43,Max_Load_France!$B$2:$M$102,7,FALSE)="","",VLOOKUP($I43,Max_Load_France!$B$2:$M$102,7,FALSE))</f>
        <v>1</v>
      </c>
      <c r="R43" s="358" t="str">
        <f>IF(VLOOKUP($I43,Max_Load_France!$B$2:$M$102,8,FALSE)="","",VLOOKUP($I43,Max_Load_France!$B$2:$M$102,8,FALSE))</f>
        <v/>
      </c>
      <c r="S43" s="358" t="str">
        <f>IF(VLOOKUP($I43,Max_Load_France!$B$2:$M$102,9,FALSE)="","",VLOOKUP($I43,Max_Load_France!$B$2:$M$102,9,FALSE))</f>
        <v/>
      </c>
      <c r="T43" s="358" t="str">
        <f>IF(VLOOKUP($I43,Max_Load_France!$B$2:$M$102,10,FALSE)="","",VLOOKUP($I43,Max_Load_France!$B$2:$M$102,10,FALSE))</f>
        <v/>
      </c>
      <c r="U43" s="358" t="str">
        <f>IF(VLOOKUP($I43,Max_Load_France!$B$2:$M$102,11,FALSE)="","",VLOOKUP($I43,Max_Load_France!$B$2:$M$102,11,FALSE))</f>
        <v/>
      </c>
      <c r="V43" s="357">
        <f t="shared" si="3"/>
        <v>5</v>
      </c>
      <c r="W43" s="299">
        <f t="shared" si="4"/>
        <v>30.099999999999994</v>
      </c>
      <c r="X43" s="308">
        <v>7</v>
      </c>
      <c r="Y43" s="308">
        <v>9.9</v>
      </c>
      <c r="Z43" s="308">
        <v>4.4000000000000004</v>
      </c>
      <c r="AA43" s="308">
        <v>4.4000000000000004</v>
      </c>
      <c r="AB43" s="308">
        <v>4.4000000000000004</v>
      </c>
      <c r="AC43" s="309"/>
      <c r="AD43" s="301"/>
      <c r="AE43" s="301"/>
      <c r="AF43" s="301"/>
      <c r="AG43" s="302">
        <f t="shared" si="19"/>
        <v>13.200000000000001</v>
      </c>
      <c r="AH43" s="302" t="str">
        <f t="shared" si="5"/>
        <v/>
      </c>
      <c r="AI43" s="302"/>
      <c r="AJ43" s="302"/>
      <c r="AK43" s="326">
        <f t="shared" si="1"/>
        <v>29.287614678899075</v>
      </c>
      <c r="AL43" s="354">
        <v>7.4214373088685006</v>
      </c>
      <c r="AM43" s="354">
        <v>9.4723547400611618</v>
      </c>
      <c r="AN43" s="308">
        <v>4.1312742099898063</v>
      </c>
      <c r="AO43" s="308">
        <v>4.1312742099898063</v>
      </c>
      <c r="AP43" s="308">
        <v>4.1312742099898063</v>
      </c>
      <c r="AQ43" s="309"/>
      <c r="AR43" s="300"/>
      <c r="AS43" s="301"/>
      <c r="AT43" s="301"/>
      <c r="AU43" s="331">
        <f t="shared" si="8"/>
        <v>12.393822629969419</v>
      </c>
      <c r="AV43" s="331" t="str">
        <f t="shared" si="9"/>
        <v/>
      </c>
      <c r="AW43" s="302"/>
      <c r="AX43" s="302"/>
      <c r="AY43" s="349">
        <f>IF(AND($BO$10="Yes",$BO43="MP"),"",IF(AK43=0,"",IF($W43/$V43&lt;$BN$6,"",IF($BN43&lt;$BN$10,IF(W43&gt;0,(AK43-W43)/W43,""),""))))</f>
        <v>-2.6989545551525558E-2</v>
      </c>
      <c r="AZ43" s="392">
        <f>IF(AND($BO$10="Yes",$BO43="MP"),"",IF(M43=0,IF(AL43&lt;$BN$7,"",IF($W43/$V43&lt;$BN$6,"",IF($BN43&lt;$BN$10,IF(X43&gt;0,(AL43-X43)/X43,""),""))),""))</f>
        <v>6.0205329838357233E-2</v>
      </c>
      <c r="BA43" s="392">
        <f>IF(N43=0,IF(AM43&lt;$BN$7,"",IF($W43/$V43&lt;$BN$6,"",IF($BN43&lt;$BN$10,IF(Y43&gt;0,(AM43-Y43)/Y43,""),""))),"")</f>
        <v>-4.3196490902912978E-2</v>
      </c>
      <c r="BB43" s="392" t="str">
        <f>IF(O43=0,IF(AN43&lt;$BN$7,"",IF($W43/$V43&lt;$BN$6,"",IF($BN43&lt;$BN$10,IF(Z43&gt;0,(AN43-Z43)/Z43,""),""))),"")</f>
        <v/>
      </c>
      <c r="BC43" s="392" t="str">
        <f>IF(P43=0,IF(AO43&lt;$BN$7,"",IF($W43/$V43&lt;$BN$6,"",IF($BN43&lt;$BN$10,IF(AA43&gt;0,(AO43-AA43)/AA43,""),""))),"")</f>
        <v/>
      </c>
      <c r="BD43" s="392" t="str">
        <f>IF(Q43=0,IF(AP43&lt;$BN$7,"",IF($W43/$V43&lt;$BN$6,"",IF($BN43&lt;$BN$10,IF(AB43&gt;0,(AP43-AB43)/AB43,""),""))),"")</f>
        <v/>
      </c>
      <c r="BE43" s="349" t="str">
        <f>IF(AND($BO$10="Yes",$BO43="MP"),"",IF(N43&gt;0,IF(AM43&lt;$BN$7,"",IF($W43/$V43&lt;$BN$6,"",IF($BN43&lt;$BN$10,IF(Y43&gt;0,(AM43-Y43)/Y43,""),""))),""))</f>
        <v/>
      </c>
      <c r="BF43" s="349">
        <f>IF(O43&gt;0,IF(AN43&lt;$BN$7,"",IF($W43/$V43&lt;$BN$6,"",IF($BN43&lt;$BN$10,IF(Z43&gt;0,(AN43-Z43)/Z43,""),""))),"")</f>
        <v>-6.1074043184135E-2</v>
      </c>
      <c r="BG43" s="349">
        <f>IF(P43&gt;0,IF(AO43&lt;$BN$7,"",IF($W43/$V43&lt;$BN$6,"",IF($BN43&lt;$BN$10,IF(AA43&gt;0,(AO43-AA43)/AA43,""),""))),"")</f>
        <v>-6.1074043184135E-2</v>
      </c>
      <c r="BH43" s="349">
        <f>IF(Q43&gt;0,IF(AP43&lt;$BN$7,"",IF($W43/$V43&lt;$BN$6,"",IF($BN43&lt;$BN$10,IF(AB43&gt;0,(AP43-AB43)/AB43,""),""))),"")</f>
        <v>-6.1074043184135E-2</v>
      </c>
      <c r="BI43" s="349" t="str">
        <f>IF(R43&gt;0,IF(AQ43&lt;$BN$7,"",IF($W43/$V43&lt;$BN$6,"",IF($BN43&lt;$BN$10,IF(AC43&gt;0,(AQ43-AC43)/AC43,""),""))),"")</f>
        <v/>
      </c>
      <c r="BJ43" s="392">
        <f>IF(AND($BO$10="Yes",$BO43="MP"),"",IF(AG43&lt;$BN$6*COUNTIF(M43:R43,1),"",IF($BN43&lt;$BN$10,IF($BN43&lt;$BN$10,IF(AG43&lt;&gt;"",(AU43-AG43)/AG43,""),""))))</f>
        <v>-6.1074043184135E-2</v>
      </c>
      <c r="BK43" s="392" t="str">
        <f>IF(AND($BO$10="Yes",$BO43="MP"),"",IF(AH43&lt;$BN$6*COUNTIF(M43:R43,2),"",IF($BN43&lt;$BN$10,IF(AH43&lt;&gt;"",(AV43-AH43)/AH43,""),"")))</f>
        <v/>
      </c>
      <c r="BL43" s="288" t="str">
        <f t="shared" si="41"/>
        <v/>
      </c>
      <c r="BM43" s="136" t="str">
        <f t="shared" si="41"/>
        <v/>
      </c>
      <c r="BN43" s="334">
        <v>43.521500000000003</v>
      </c>
      <c r="BO43" s="398"/>
      <c r="BP43" s="94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</row>
    <row r="44" spans="1:79" s="89" customFormat="1" ht="11.25">
      <c r="A44" s="359" t="s">
        <v>242</v>
      </c>
      <c r="B44" s="358" t="s">
        <v>279</v>
      </c>
      <c r="C44" s="370"/>
      <c r="D44" s="307">
        <v>0.68472222222222223</v>
      </c>
      <c r="E44" s="310">
        <v>89.36712</v>
      </c>
      <c r="F44" s="296"/>
      <c r="G44" s="296"/>
      <c r="H44" s="358"/>
      <c r="I44" s="365" t="s">
        <v>94</v>
      </c>
      <c r="J44" s="358">
        <f>IF(ISERROR(VLOOKUP(I44,Max_Load_France!$B$2:$C$102,2,FALSE)/1000),"",VLOOKUP(I44,Max_Load_France!$B$2:$C$102,2,FALSE)/1000)</f>
        <v>40</v>
      </c>
      <c r="K44" s="296"/>
      <c r="L44" s="297">
        <f t="shared" si="49"/>
        <v>0.42250000000000004</v>
      </c>
      <c r="M44" s="358">
        <f>IF(VLOOKUP($I44,Max_Load_France!$B$2:$M$102,3,FALSE)="","",VLOOKUP($I44,Max_Load_France!$B$2:$M$102,3,FALSE))</f>
        <v>0</v>
      </c>
      <c r="N44" s="358">
        <f>IF(VLOOKUP($I44,Max_Load_France!$B$2:$M$102,4,FALSE)="","",VLOOKUP($I44,Max_Load_France!$B$2:$M$102,4,FALSE))</f>
        <v>0</v>
      </c>
      <c r="O44" s="358">
        <f>IF(VLOOKUP($I44,Max_Load_France!$B$2:$M$102,5,FALSE)="","",VLOOKUP($I44,Max_Load_France!$B$2:$M$102,5,FALSE))</f>
        <v>1</v>
      </c>
      <c r="P44" s="358">
        <f>IF(VLOOKUP($I44,Max_Load_France!$B$2:$M$102,6,FALSE)="","",VLOOKUP($I44,Max_Load_France!$B$2:$M$102,6,FALSE))</f>
        <v>1</v>
      </c>
      <c r="Q44" s="358">
        <f>IF(VLOOKUP($I44,Max_Load_France!$B$2:$M$102,7,FALSE)="","",VLOOKUP($I44,Max_Load_France!$B$2:$M$102,7,FALSE))</f>
        <v>1</v>
      </c>
      <c r="R44" s="358" t="str">
        <f>IF(VLOOKUP($I44,Max_Load_France!$B$2:$M$102,8,FALSE)="","",VLOOKUP($I44,Max_Load_France!$B$2:$M$102,8,FALSE))</f>
        <v/>
      </c>
      <c r="S44" s="358" t="str">
        <f>IF(VLOOKUP($I44,Max_Load_France!$B$2:$M$102,9,FALSE)="","",VLOOKUP($I44,Max_Load_France!$B$2:$M$102,9,FALSE))</f>
        <v/>
      </c>
      <c r="T44" s="358" t="str">
        <f>IF(VLOOKUP($I44,Max_Load_France!$B$2:$M$102,10,FALSE)="","",VLOOKUP($I44,Max_Load_France!$B$2:$M$102,10,FALSE))</f>
        <v/>
      </c>
      <c r="U44" s="358" t="str">
        <f>IF(VLOOKUP($I44,Max_Load_France!$B$2:$M$102,11,FALSE)="","",VLOOKUP($I44,Max_Load_France!$B$2:$M$102,11,FALSE))</f>
        <v/>
      </c>
      <c r="V44" s="357">
        <f t="shared" si="3"/>
        <v>5</v>
      </c>
      <c r="W44" s="299">
        <f t="shared" si="4"/>
        <v>16.900000000000002</v>
      </c>
      <c r="X44" s="308">
        <v>5.7</v>
      </c>
      <c r="Y44" s="308">
        <v>4.0999999999999996</v>
      </c>
      <c r="Z44" s="308">
        <v>2.4</v>
      </c>
      <c r="AA44" s="308">
        <v>2.4</v>
      </c>
      <c r="AB44" s="308">
        <v>2.2999999999999998</v>
      </c>
      <c r="AC44" s="309"/>
      <c r="AD44" s="301"/>
      <c r="AE44" s="301"/>
      <c r="AF44" s="301"/>
      <c r="AG44" s="302">
        <f t="shared" si="19"/>
        <v>7.1</v>
      </c>
      <c r="AH44" s="302" t="str">
        <f t="shared" si="5"/>
        <v/>
      </c>
      <c r="AI44" s="302"/>
      <c r="AJ44" s="302"/>
      <c r="AK44" s="326">
        <f t="shared" si="1"/>
        <v>16.780387359836897</v>
      </c>
      <c r="AL44" s="354">
        <v>5.3882772680937814</v>
      </c>
      <c r="AM44" s="354">
        <v>5.0511009174311923</v>
      </c>
      <c r="AN44" s="308">
        <v>2.113669724770642</v>
      </c>
      <c r="AO44" s="308">
        <v>2.113669724770642</v>
      </c>
      <c r="AP44" s="308">
        <v>2.113669724770642</v>
      </c>
      <c r="AQ44" s="309"/>
      <c r="AR44" s="300"/>
      <c r="AS44" s="309"/>
      <c r="AT44" s="309"/>
      <c r="AU44" s="331">
        <f t="shared" si="8"/>
        <v>6.3410091743119263</v>
      </c>
      <c r="AV44" s="331" t="str">
        <f t="shared" si="9"/>
        <v/>
      </c>
      <c r="AW44" s="302"/>
      <c r="AX44" s="302"/>
      <c r="AY44" s="349">
        <f t="shared" ref="AY44:AY47" si="50">IF(AND($BO$10="Yes",$BO44="MP"),"",IF(AK44=0,"",IF($W44/$V44&lt;$BN$6,"",IF($BN44&lt;$BN$10,IF(W44&gt;0,(AK44-W44)/W44,""),""))))</f>
        <v>-7.0776710155683303E-3</v>
      </c>
      <c r="AZ44" s="392">
        <f t="shared" ref="AZ44:AZ47" si="51">IF(AND($BO$10="Yes",$BO44="MP"),"",IF(M44=0,IF(AL44&lt;$BN$7,"",IF($W44/$V44&lt;$BN$6,"",IF($BN44&lt;$BN$10,IF(X44&gt;0,(AL44-X44)/X44,""),""))),""))</f>
        <v>-5.4688198580038386E-2</v>
      </c>
      <c r="BA44" s="392">
        <f t="shared" ref="BA44:BD47" si="52">IF(N44=0,IF(AM44&lt;$BN$7,"",IF($W44/$V44&lt;$BN$6,"",IF($BN44&lt;$BN$10,IF(Y44&gt;0,(AM44-Y44)/Y44,""),""))),"")</f>
        <v>0.23197583351980311</v>
      </c>
      <c r="BB44" s="392" t="str">
        <f t="shared" si="52"/>
        <v/>
      </c>
      <c r="BC44" s="392" t="str">
        <f t="shared" si="52"/>
        <v/>
      </c>
      <c r="BD44" s="392" t="str">
        <f t="shared" si="52"/>
        <v/>
      </c>
      <c r="BE44" s="349" t="str">
        <f t="shared" ref="BE44:BE47" si="53">IF(AND($BO$10="Yes",$BO44="MP"),"",IF(N44&gt;0,IF(AM44&lt;$BN$7,"",IF($W44/$V44&lt;$BN$6,"",IF($BN44&lt;$BN$10,IF(Y44&gt;0,(AM44-Y44)/Y44,""),""))),""))</f>
        <v/>
      </c>
      <c r="BF44" s="349" t="str">
        <f t="shared" ref="BF44:BI47" si="54">IF(O44&gt;0,IF(AN44&lt;$BN$7,"",IF($W44/$V44&lt;$BN$6,"",IF($BN44&lt;$BN$10,IF(Z44&gt;0,(AN44-Z44)/Z44,""),""))),"")</f>
        <v/>
      </c>
      <c r="BG44" s="349" t="str">
        <f t="shared" si="54"/>
        <v/>
      </c>
      <c r="BH44" s="349" t="str">
        <f t="shared" si="54"/>
        <v/>
      </c>
      <c r="BI44" s="349" t="str">
        <f t="shared" si="54"/>
        <v/>
      </c>
      <c r="BJ44" s="392" t="str">
        <f t="shared" ref="BJ44:BJ47" si="55">IF(AND($BO$10="Yes",$BO44="MP"),"",IF(AG44&lt;$BN$6*COUNTIF(M44:R44,1),"",IF($BN44&lt;$BN$10,IF($BN44&lt;$BN$10,IF(AG44&lt;&gt;"",(AU44-AG44)/AG44,""),""))))</f>
        <v/>
      </c>
      <c r="BK44" s="392" t="str">
        <f t="shared" ref="BK44:BK47" si="56">IF(AND($BO$10="Yes",$BO44="MP"),"",IF(AH44&lt;$BN$6*COUNTIF(M44:R44,2),"",IF($BN44&lt;$BN$10,IF(AH44&lt;&gt;"",(AV44-AH44)/AH44,""),"")))</f>
        <v/>
      </c>
      <c r="BL44" s="288" t="str">
        <f t="shared" si="41"/>
        <v/>
      </c>
      <c r="BM44" s="136" t="str">
        <f t="shared" si="41"/>
        <v/>
      </c>
      <c r="BN44" s="334">
        <v>21.467199999999998</v>
      </c>
      <c r="BO44" s="398"/>
      <c r="BP44" s="94"/>
      <c r="BQ44" s="76"/>
      <c r="BR44" s="76"/>
      <c r="BS44" s="76"/>
      <c r="BT44" s="76"/>
      <c r="BU44" s="76"/>
      <c r="BV44" s="76"/>
      <c r="BW44" s="76"/>
      <c r="BX44" s="76"/>
      <c r="BY44" s="76"/>
      <c r="BZ44" s="76"/>
      <c r="CA44" s="76"/>
    </row>
    <row r="45" spans="1:79" s="89" customFormat="1">
      <c r="A45" s="359" t="s">
        <v>243</v>
      </c>
      <c r="B45" s="358" t="s">
        <v>281</v>
      </c>
      <c r="C45" s="370"/>
      <c r="D45" s="367">
        <v>0.68819444444444444</v>
      </c>
      <c r="E45" s="310">
        <v>62.217719999999993</v>
      </c>
      <c r="F45" s="358"/>
      <c r="G45" s="358"/>
      <c r="H45" s="358"/>
      <c r="I45" s="365" t="s">
        <v>130</v>
      </c>
      <c r="J45" s="358">
        <f>IF(ISERROR(VLOOKUP(I45,Max_Load_France!$B$2:$C$102,2,FALSE)/1000),"",VLOOKUP(I45,Max_Load_France!$B$2:$C$102,2,FALSE)/1000)</f>
        <v>40</v>
      </c>
      <c r="K45" s="298"/>
      <c r="L45" s="297">
        <f t="shared" si="49"/>
        <v>0.64250000000000007</v>
      </c>
      <c r="M45" s="358">
        <f>IF(VLOOKUP($I45,Max_Load_France!$B$2:$M$102,3,FALSE)="","",VLOOKUP($I45,Max_Load_France!$B$2:$M$102,3,FALSE))</f>
        <v>0</v>
      </c>
      <c r="N45" s="358">
        <f>IF(VLOOKUP($I45,Max_Load_France!$B$2:$M$102,4,FALSE)="","",VLOOKUP($I45,Max_Load_France!$B$2:$M$102,4,FALSE))</f>
        <v>1</v>
      </c>
      <c r="O45" s="358">
        <f>IF(VLOOKUP($I45,Max_Load_France!$B$2:$M$102,5,FALSE)="","",VLOOKUP($I45,Max_Load_France!$B$2:$M$102,5,FALSE))</f>
        <v>1</v>
      </c>
      <c r="P45" s="358">
        <f>IF(VLOOKUP($I45,Max_Load_France!$B$2:$M$102,6,FALSE)="","",VLOOKUP($I45,Max_Load_France!$B$2:$M$102,6,FALSE))</f>
        <v>2</v>
      </c>
      <c r="Q45" s="358">
        <f>IF(VLOOKUP($I45,Max_Load_France!$B$2:$M$102,7,FALSE)="","",VLOOKUP($I45,Max_Load_France!$B$2:$M$102,7,FALSE))</f>
        <v>2</v>
      </c>
      <c r="R45" s="358" t="str">
        <f>IF(VLOOKUP($I45,Max_Load_France!$B$2:$M$102,8,FALSE)="","",VLOOKUP($I45,Max_Load_France!$B$2:$M$102,8,FALSE))</f>
        <v/>
      </c>
      <c r="S45" s="358" t="str">
        <f>IF(VLOOKUP($I45,Max_Load_France!$B$2:$M$102,9,FALSE)="","",VLOOKUP($I45,Max_Load_France!$B$2:$M$102,9,FALSE))</f>
        <v/>
      </c>
      <c r="T45" s="358" t="str">
        <f>IF(VLOOKUP($I45,Max_Load_France!$B$2:$M$102,10,FALSE)="","",VLOOKUP($I45,Max_Load_France!$B$2:$M$102,10,FALSE))</f>
        <v/>
      </c>
      <c r="U45" s="358" t="str">
        <f>IF(VLOOKUP($I45,Max_Load_France!$B$2:$M$102,11,FALSE)="","",VLOOKUP($I45,Max_Load_France!$B$2:$M$102,11,FALSE))</f>
        <v/>
      </c>
      <c r="V45" s="357">
        <f t="shared" si="3"/>
        <v>5</v>
      </c>
      <c r="W45" s="299">
        <f t="shared" si="4"/>
        <v>25.700000000000003</v>
      </c>
      <c r="X45" s="308">
        <v>5.7</v>
      </c>
      <c r="Y45" s="308">
        <f>IF(X51="Yes",5.55,8.5)</f>
        <v>5.55</v>
      </c>
      <c r="Z45" s="308">
        <f>IF(X51="Yes",5.55,2.6)</f>
        <v>5.55</v>
      </c>
      <c r="AA45" s="308">
        <v>4.5</v>
      </c>
      <c r="AB45" s="308">
        <v>4.4000000000000004</v>
      </c>
      <c r="AC45" s="309"/>
      <c r="AD45" s="301"/>
      <c r="AE45" s="301"/>
      <c r="AF45" s="301"/>
      <c r="AG45" s="302">
        <f t="shared" si="19"/>
        <v>11.1</v>
      </c>
      <c r="AH45" s="302">
        <f t="shared" si="5"/>
        <v>8.9</v>
      </c>
      <c r="AI45" s="302"/>
      <c r="AJ45" s="302"/>
      <c r="AK45" s="326">
        <f t="shared" si="1"/>
        <v>25.947125382262996</v>
      </c>
      <c r="AL45" s="354">
        <v>6.076687054026503</v>
      </c>
      <c r="AM45" s="354">
        <v>5.5487461773700302</v>
      </c>
      <c r="AN45" s="308">
        <v>5.5487461773700302</v>
      </c>
      <c r="AO45" s="308">
        <v>4.386472986748216</v>
      </c>
      <c r="AP45" s="308">
        <v>4.386472986748216</v>
      </c>
      <c r="AQ45" s="309"/>
      <c r="AR45" s="300"/>
      <c r="AS45" s="311"/>
      <c r="AT45" s="311"/>
      <c r="AU45" s="331">
        <f t="shared" si="8"/>
        <v>11.09749235474006</v>
      </c>
      <c r="AV45" s="331">
        <f t="shared" si="9"/>
        <v>8.7729459734964319</v>
      </c>
      <c r="AW45" s="302"/>
      <c r="AX45" s="302"/>
      <c r="AY45" s="349">
        <f t="shared" si="50"/>
        <v>9.6157736289102444E-3</v>
      </c>
      <c r="AZ45" s="392">
        <f t="shared" si="51"/>
        <v>6.6085448074825054E-2</v>
      </c>
      <c r="BA45" s="392" t="str">
        <f t="shared" si="52"/>
        <v/>
      </c>
      <c r="BB45" s="392" t="str">
        <f t="shared" si="52"/>
        <v/>
      </c>
      <c r="BC45" s="392" t="str">
        <f t="shared" si="52"/>
        <v/>
      </c>
      <c r="BD45" s="392" t="str">
        <f t="shared" si="52"/>
        <v/>
      </c>
      <c r="BE45" s="349">
        <f t="shared" si="53"/>
        <v>-2.2591398738191847E-4</v>
      </c>
      <c r="BF45" s="349">
        <f t="shared" si="54"/>
        <v>-2.2591398738191847E-4</v>
      </c>
      <c r="BG45" s="349">
        <f t="shared" si="54"/>
        <v>-2.522822516706312E-2</v>
      </c>
      <c r="BH45" s="349">
        <f t="shared" si="54"/>
        <v>-3.0743211935873641E-3</v>
      </c>
      <c r="BI45" s="349" t="str">
        <f t="shared" si="54"/>
        <v/>
      </c>
      <c r="BJ45" s="392">
        <f t="shared" si="55"/>
        <v>-2.2591398738191847E-4</v>
      </c>
      <c r="BK45" s="392">
        <f t="shared" si="56"/>
        <v>-1.4275733315007691E-2</v>
      </c>
      <c r="BL45" s="288" t="str">
        <f t="shared" si="41"/>
        <v/>
      </c>
      <c r="BM45" s="136" t="str">
        <f t="shared" si="41"/>
        <v/>
      </c>
      <c r="BN45" s="334">
        <v>132.667</v>
      </c>
      <c r="BO45" s="398"/>
      <c r="BP45" s="94"/>
      <c r="BQ45" s="76"/>
      <c r="BR45" s="76"/>
      <c r="BS45" s="76"/>
      <c r="BT45" s="76"/>
      <c r="BU45" s="76"/>
      <c r="BV45" s="76"/>
      <c r="BW45" s="76"/>
      <c r="BX45" s="76"/>
      <c r="BY45" s="76"/>
      <c r="BZ45" s="76"/>
      <c r="CA45" s="76"/>
    </row>
    <row r="46" spans="1:79" s="89" customFormat="1">
      <c r="A46" s="359" t="s">
        <v>244</v>
      </c>
      <c r="B46" s="358" t="s">
        <v>280</v>
      </c>
      <c r="C46" s="370"/>
      <c r="D46" s="367">
        <v>0.68680555555555556</v>
      </c>
      <c r="E46" s="371">
        <v>60.932159999999996</v>
      </c>
      <c r="F46" s="358"/>
      <c r="G46" s="358"/>
      <c r="H46" s="358"/>
      <c r="I46" s="365" t="s">
        <v>94</v>
      </c>
      <c r="J46" s="358">
        <f>IF(ISERROR(VLOOKUP(I46,Max_Load_France!$B$2:$C$102,2,FALSE)/1000),"",VLOOKUP(I46,Max_Load_France!$B$2:$C$102,2,FALSE)/1000)</f>
        <v>40</v>
      </c>
      <c r="K46" s="298"/>
      <c r="L46" s="297">
        <f t="shared" si="49"/>
        <v>0.95749999999999991</v>
      </c>
      <c r="M46" s="358">
        <f>IF(VLOOKUP($I46,Max_Load_France!$B$2:$M$102,3,FALSE)="","",VLOOKUP($I46,Max_Load_France!$B$2:$M$102,3,FALSE))</f>
        <v>0</v>
      </c>
      <c r="N46" s="358">
        <f>IF(VLOOKUP($I46,Max_Load_France!$B$2:$M$102,4,FALSE)="","",VLOOKUP($I46,Max_Load_France!$B$2:$M$102,4,FALSE))</f>
        <v>0</v>
      </c>
      <c r="O46" s="358">
        <f>IF(VLOOKUP($I46,Max_Load_France!$B$2:$M$102,5,FALSE)="","",VLOOKUP($I46,Max_Load_France!$B$2:$M$102,5,FALSE))</f>
        <v>1</v>
      </c>
      <c r="P46" s="358">
        <f>IF(VLOOKUP($I46,Max_Load_France!$B$2:$M$102,6,FALSE)="","",VLOOKUP($I46,Max_Load_France!$B$2:$M$102,6,FALSE))</f>
        <v>1</v>
      </c>
      <c r="Q46" s="358">
        <f>IF(VLOOKUP($I46,Max_Load_France!$B$2:$M$102,7,FALSE)="","",VLOOKUP($I46,Max_Load_France!$B$2:$M$102,7,FALSE))</f>
        <v>1</v>
      </c>
      <c r="R46" s="358" t="str">
        <f>IF(VLOOKUP($I46,Max_Load_France!$B$2:$M$102,8,FALSE)="","",VLOOKUP($I46,Max_Load_France!$B$2:$M$102,8,FALSE))</f>
        <v/>
      </c>
      <c r="S46" s="358" t="str">
        <f>IF(VLOOKUP($I46,Max_Load_France!$B$2:$M$102,9,FALSE)="","",VLOOKUP($I46,Max_Load_France!$B$2:$M$102,9,FALSE))</f>
        <v/>
      </c>
      <c r="T46" s="358" t="str">
        <f>IF(VLOOKUP($I46,Max_Load_France!$B$2:$M$102,10,FALSE)="","",VLOOKUP($I46,Max_Load_France!$B$2:$M$102,10,FALSE))</f>
        <v/>
      </c>
      <c r="U46" s="358" t="str">
        <f>IF(VLOOKUP($I46,Max_Load_France!$B$2:$M$102,11,FALSE)="","",VLOOKUP($I46,Max_Load_France!$B$2:$M$102,11,FALSE))</f>
        <v/>
      </c>
      <c r="V46" s="357">
        <f t="shared" si="3"/>
        <v>5</v>
      </c>
      <c r="W46" s="299">
        <f t="shared" si="4"/>
        <v>38.299999999999997</v>
      </c>
      <c r="X46" s="308">
        <v>6.5</v>
      </c>
      <c r="Y46" s="308">
        <v>10.5</v>
      </c>
      <c r="Z46" s="308">
        <v>7</v>
      </c>
      <c r="AA46" s="308">
        <v>7.2</v>
      </c>
      <c r="AB46" s="308">
        <v>7.1</v>
      </c>
      <c r="AC46" s="309"/>
      <c r="AD46" s="301"/>
      <c r="AE46" s="301"/>
      <c r="AF46" s="301"/>
      <c r="AG46" s="302">
        <f t="shared" si="19"/>
        <v>21.299999999999997</v>
      </c>
      <c r="AH46" s="302" t="str">
        <f t="shared" si="5"/>
        <v/>
      </c>
      <c r="AI46" s="302"/>
      <c r="AJ46" s="302"/>
      <c r="AK46" s="326">
        <f t="shared" si="1"/>
        <v>38.866248725790008</v>
      </c>
      <c r="AL46" s="354">
        <v>6.8122120285423033</v>
      </c>
      <c r="AM46" s="354">
        <v>10.889908256880734</v>
      </c>
      <c r="AN46" s="308">
        <v>7.054709480122324</v>
      </c>
      <c r="AO46" s="308">
        <v>7.054709480122324</v>
      </c>
      <c r="AP46" s="308">
        <v>7.054709480122324</v>
      </c>
      <c r="AQ46" s="309"/>
      <c r="AR46" s="300"/>
      <c r="AS46" s="311"/>
      <c r="AT46" s="311"/>
      <c r="AU46" s="331">
        <f t="shared" si="8"/>
        <v>21.164128440366973</v>
      </c>
      <c r="AV46" s="331" t="str">
        <f t="shared" si="9"/>
        <v/>
      </c>
      <c r="AW46" s="302"/>
      <c r="AX46" s="302"/>
      <c r="AY46" s="349">
        <f t="shared" si="50"/>
        <v>1.4784562031070786E-2</v>
      </c>
      <c r="AZ46" s="392">
        <f t="shared" si="51"/>
        <v>4.8032619775738979E-2</v>
      </c>
      <c r="BA46" s="392">
        <f t="shared" si="52"/>
        <v>3.7134119702927022E-2</v>
      </c>
      <c r="BB46" s="392" t="str">
        <f t="shared" si="52"/>
        <v/>
      </c>
      <c r="BC46" s="392" t="str">
        <f t="shared" si="52"/>
        <v/>
      </c>
      <c r="BD46" s="392" t="str">
        <f t="shared" si="52"/>
        <v/>
      </c>
      <c r="BE46" s="349" t="str">
        <f t="shared" si="53"/>
        <v/>
      </c>
      <c r="BF46" s="349">
        <f t="shared" si="54"/>
        <v>7.8156400174748588E-3</v>
      </c>
      <c r="BG46" s="349">
        <f t="shared" si="54"/>
        <v>-2.0179238871899468E-2</v>
      </c>
      <c r="BH46" s="349">
        <f t="shared" si="54"/>
        <v>-6.3789464616444552E-3</v>
      </c>
      <c r="BI46" s="349" t="str">
        <f t="shared" si="54"/>
        <v/>
      </c>
      <c r="BJ46" s="392">
        <f t="shared" si="55"/>
        <v>-6.3789464616443303E-3</v>
      </c>
      <c r="BK46" s="392" t="str">
        <f t="shared" si="56"/>
        <v/>
      </c>
      <c r="BL46" s="288" t="str">
        <f t="shared" si="41"/>
        <v/>
      </c>
      <c r="BM46" s="136" t="str">
        <f t="shared" si="41"/>
        <v/>
      </c>
      <c r="BN46" s="334">
        <v>71.094300000000004</v>
      </c>
      <c r="BO46" s="398"/>
      <c r="BP46" s="94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</row>
    <row r="47" spans="1:79" s="89" customFormat="1">
      <c r="A47" s="359" t="s">
        <v>245</v>
      </c>
      <c r="B47" s="358" t="s">
        <v>277</v>
      </c>
      <c r="C47" s="370"/>
      <c r="D47" s="367">
        <v>0.67083333333333339</v>
      </c>
      <c r="E47" s="371">
        <v>53.620200000000004</v>
      </c>
      <c r="F47" s="358"/>
      <c r="G47" s="358"/>
      <c r="H47" s="358"/>
      <c r="I47" s="365" t="s">
        <v>94</v>
      </c>
      <c r="J47" s="358">
        <f>IF(ISERROR(VLOOKUP(I47,Max_Load_France!$B$2:$C$102,2,FALSE)/1000),"",VLOOKUP(I47,Max_Load_France!$B$2:$C$102,2,FALSE)/1000)</f>
        <v>40</v>
      </c>
      <c r="K47" s="298"/>
      <c r="L47" s="297">
        <f t="shared" si="49"/>
        <v>0.80500000000000005</v>
      </c>
      <c r="M47" s="358">
        <f>IF(VLOOKUP($I47,Max_Load_France!$B$2:$M$102,3,FALSE)="","",VLOOKUP($I47,Max_Load_France!$B$2:$M$102,3,FALSE))</f>
        <v>0</v>
      </c>
      <c r="N47" s="358">
        <f>IF(VLOOKUP($I47,Max_Load_France!$B$2:$M$102,4,FALSE)="","",VLOOKUP($I47,Max_Load_France!$B$2:$M$102,4,FALSE))</f>
        <v>0</v>
      </c>
      <c r="O47" s="358">
        <f>IF(VLOOKUP($I47,Max_Load_France!$B$2:$M$102,5,FALSE)="","",VLOOKUP($I47,Max_Load_France!$B$2:$M$102,5,FALSE))</f>
        <v>1</v>
      </c>
      <c r="P47" s="358">
        <f>IF(VLOOKUP($I47,Max_Load_France!$B$2:$M$102,6,FALSE)="","",VLOOKUP($I47,Max_Load_France!$B$2:$M$102,6,FALSE))</f>
        <v>1</v>
      </c>
      <c r="Q47" s="358">
        <f>IF(VLOOKUP($I47,Max_Load_France!$B$2:$M$102,7,FALSE)="","",VLOOKUP($I47,Max_Load_France!$B$2:$M$102,7,FALSE))</f>
        <v>1</v>
      </c>
      <c r="R47" s="358" t="str">
        <f>IF(VLOOKUP($I47,Max_Load_France!$B$2:$M$102,8,FALSE)="","",VLOOKUP($I47,Max_Load_France!$B$2:$M$102,8,FALSE))</f>
        <v/>
      </c>
      <c r="S47" s="358" t="str">
        <f>IF(VLOOKUP($I47,Max_Load_France!$B$2:$M$102,9,FALSE)="","",VLOOKUP($I47,Max_Load_France!$B$2:$M$102,9,FALSE))</f>
        <v/>
      </c>
      <c r="T47" s="358" t="str">
        <f>IF(VLOOKUP($I47,Max_Load_France!$B$2:$M$102,10,FALSE)="","",VLOOKUP($I47,Max_Load_France!$B$2:$M$102,10,FALSE))</f>
        <v/>
      </c>
      <c r="U47" s="358" t="str">
        <f>IF(VLOOKUP($I47,Max_Load_France!$B$2:$M$102,11,FALSE)="","",VLOOKUP($I47,Max_Load_France!$B$2:$M$102,11,FALSE))</f>
        <v/>
      </c>
      <c r="V47" s="357">
        <f t="shared" si="3"/>
        <v>5</v>
      </c>
      <c r="W47" s="299">
        <f t="shared" si="4"/>
        <v>32.200000000000003</v>
      </c>
      <c r="X47" s="308">
        <v>7.2</v>
      </c>
      <c r="Y47" s="308">
        <v>9.6999999999999993</v>
      </c>
      <c r="Z47" s="308">
        <v>5.5</v>
      </c>
      <c r="AA47" s="308">
        <v>5.0999999999999996</v>
      </c>
      <c r="AB47" s="308">
        <v>4.7</v>
      </c>
      <c r="AC47" s="309"/>
      <c r="AD47" s="301"/>
      <c r="AE47" s="301"/>
      <c r="AF47" s="301"/>
      <c r="AG47" s="302">
        <f>IF(SUMIF($M47:$U47,"=1",$X47:$AF47)=0,"",SUMIF($M47:$U47,"=1",$X47:$AF47))</f>
        <v>15.3</v>
      </c>
      <c r="AH47" s="302" t="str">
        <f t="shared" si="5"/>
        <v/>
      </c>
      <c r="AI47" s="302"/>
      <c r="AJ47" s="302"/>
      <c r="AK47" s="326">
        <f t="shared" si="1"/>
        <v>37.335912334352699</v>
      </c>
      <c r="AL47" s="308">
        <v>6.3173802242609582</v>
      </c>
      <c r="AM47" s="308">
        <v>11.762996941896024</v>
      </c>
      <c r="AN47" s="308">
        <v>6.418511722731906</v>
      </c>
      <c r="AO47" s="308">
        <v>6.418511722731906</v>
      </c>
      <c r="AP47" s="308">
        <v>6.418511722731906</v>
      </c>
      <c r="AQ47" s="309"/>
      <c r="AR47" s="300"/>
      <c r="AS47" s="311"/>
      <c r="AT47" s="311"/>
      <c r="AU47" s="331">
        <f t="shared" si="8"/>
        <v>19.255535168195717</v>
      </c>
      <c r="AV47" s="331" t="str">
        <f t="shared" si="9"/>
        <v/>
      </c>
      <c r="AW47" s="302"/>
      <c r="AX47" s="302"/>
      <c r="AY47" s="349">
        <f t="shared" si="50"/>
        <v>0.15950038305443154</v>
      </c>
      <c r="AZ47" s="392">
        <f t="shared" si="51"/>
        <v>-0.12258607996375583</v>
      </c>
      <c r="BA47" s="392">
        <f t="shared" si="52"/>
        <v>0.21268009710268293</v>
      </c>
      <c r="BB47" s="392" t="str">
        <f t="shared" si="52"/>
        <v/>
      </c>
      <c r="BC47" s="392" t="str">
        <f t="shared" si="52"/>
        <v/>
      </c>
      <c r="BD47" s="392" t="str">
        <f t="shared" si="52"/>
        <v/>
      </c>
      <c r="BE47" s="349" t="str">
        <f t="shared" si="53"/>
        <v/>
      </c>
      <c r="BF47" s="349">
        <f t="shared" si="54"/>
        <v>0.16700213140580109</v>
      </c>
      <c r="BG47" s="349">
        <f t="shared" si="54"/>
        <v>0.25853171033958949</v>
      </c>
      <c r="BH47" s="349">
        <f t="shared" si="54"/>
        <v>0.36564079207061823</v>
      </c>
      <c r="BI47" s="349" t="str">
        <f t="shared" si="54"/>
        <v/>
      </c>
      <c r="BJ47" s="392">
        <f t="shared" si="55"/>
        <v>0.25853171033958927</v>
      </c>
      <c r="BK47" s="392" t="str">
        <f t="shared" si="56"/>
        <v/>
      </c>
      <c r="BL47" s="288" t="str">
        <f t="shared" si="41"/>
        <v/>
      </c>
      <c r="BM47" s="136" t="str">
        <f t="shared" si="41"/>
        <v/>
      </c>
      <c r="BN47" s="76">
        <v>97.234999999999999</v>
      </c>
      <c r="BO47" s="398"/>
      <c r="BP47" s="70"/>
      <c r="BQ47" s="76"/>
      <c r="BR47" s="76"/>
      <c r="BS47" s="76"/>
      <c r="BT47" s="76"/>
      <c r="BU47" s="76"/>
      <c r="BV47" s="76"/>
      <c r="BW47" s="76"/>
      <c r="BX47" s="76"/>
      <c r="BY47" s="76"/>
      <c r="BZ47" s="76"/>
      <c r="CA47" s="76"/>
    </row>
    <row r="48" spans="1:79" s="77" customFormat="1">
      <c r="A48" s="359"/>
      <c r="B48" s="358"/>
      <c r="C48" s="370"/>
      <c r="D48" s="367"/>
      <c r="E48" s="371"/>
      <c r="F48" s="358"/>
      <c r="G48" s="358"/>
      <c r="H48" s="358"/>
      <c r="I48" s="365"/>
      <c r="J48" s="358"/>
      <c r="K48" s="298"/>
      <c r="L48" s="297"/>
      <c r="M48" s="358"/>
      <c r="N48" s="358"/>
      <c r="O48" s="358"/>
      <c r="P48" s="358"/>
      <c r="Q48" s="358"/>
      <c r="R48" s="358"/>
      <c r="S48" s="358"/>
      <c r="T48" s="358"/>
      <c r="U48" s="358"/>
      <c r="V48" s="357">
        <f t="shared" si="3"/>
        <v>0</v>
      </c>
      <c r="W48" s="299">
        <f t="shared" si="4"/>
        <v>0</v>
      </c>
      <c r="X48" s="308"/>
      <c r="Y48" s="308"/>
      <c r="Z48" s="308"/>
      <c r="AA48" s="308"/>
      <c r="AB48" s="308"/>
      <c r="AC48" s="309"/>
      <c r="AD48" s="301"/>
      <c r="AE48" s="301"/>
      <c r="AF48" s="301"/>
      <c r="AG48" s="302" t="str">
        <f>IF(SUMIF($M48:$U48,"=1",$X48:$AF48)=0,"",SUMIF($M48:$U48,"=1",$X48:$AF48))</f>
        <v/>
      </c>
      <c r="AH48" s="302" t="str">
        <f>IF(SUMIF(N48:S48,2,Y48:AD48)&gt;0,SUMIF(N48:S48,2,Y48:AD48),"")</f>
        <v/>
      </c>
      <c r="AI48" s="302"/>
      <c r="AJ48" s="302"/>
      <c r="AK48" s="326">
        <f t="shared" si="1"/>
        <v>0</v>
      </c>
      <c r="AL48" s="308"/>
      <c r="AM48" s="308"/>
      <c r="AN48" s="308"/>
      <c r="AO48" s="308"/>
      <c r="AP48" s="308"/>
      <c r="AQ48" s="309"/>
      <c r="AR48" s="300"/>
      <c r="AS48" s="311"/>
      <c r="AT48" s="311"/>
      <c r="AU48" s="331" t="str">
        <f t="shared" si="8"/>
        <v/>
      </c>
      <c r="AV48" s="331" t="str">
        <f t="shared" si="9"/>
        <v/>
      </c>
      <c r="AW48" s="302"/>
      <c r="AX48" s="302"/>
      <c r="AY48" s="349" t="str">
        <f>IF(AK48=0,"",IF($W48/$V48&lt;$BN$6,"",IF($BN48&lt;$BN$10,IF(W48&gt;0,(AK48-W48)/W48,""),"")))</f>
        <v/>
      </c>
      <c r="AZ48" s="392" t="str">
        <f>IF(M48=0,IF(AL48&lt;$BN$7,"",IF($W48/$V48&lt;$BN$6,"",IF($BN48&lt;$BN$10,IF(X48&gt;0,(AL48-X48)/X48,""),""))),"")</f>
        <v/>
      </c>
      <c r="BA48" s="392" t="str">
        <f>IF(N48=0,IF(AM48&lt;$BN$7,"",IF($W48/$V48&lt;$BN$6,"",IF($BN48&lt;$BN$10,IF(Y48&gt;0,(AM48-Y48)/Y48,""),""))),"")</f>
        <v/>
      </c>
      <c r="BB48" s="392" t="str">
        <f>IF(O48=0,IF(AN48&lt;$BN$7,"",IF($W48/$V48&lt;$BN$6,"",IF($BN48&lt;$BN$10,IF(Z48&gt;0,(AN48-Z48)/Z48,""),""))),"")</f>
        <v/>
      </c>
      <c r="BC48" s="392" t="str">
        <f>IF(P48=0,IF(AO48&lt;$BN$7,"",IF($W48/$V48&lt;$BN$6,"",IF($BN48&lt;$BN$10,IF(AA48&gt;0,(AO48-AA48)/AA48,""),""))),"")</f>
        <v/>
      </c>
      <c r="BD48" s="392" t="str">
        <f>IF(Q48=0,IF(AP48&lt;$BN$7,"",IF($W48/$V48&lt;$BN$6,"",IF($BN48&lt;$BN$10,IF(AB48&gt;0,(AP48-AB48)/AB48,""),""))),"")</f>
        <v/>
      </c>
      <c r="BE48" s="349" t="str">
        <f>IF(N48&gt;0,IF(AM48&lt;$BN$7,"",IF($W48/$V48&lt;$BN$6,"",IF($BN48&lt;$BN$10,IF(Y48&gt;0,(AM48-Y48)/Y48,""),""))),"")</f>
        <v/>
      </c>
      <c r="BF48" s="349" t="str">
        <f>IF(O48&gt;0,IF(AN48&lt;$BN$7,"",IF($W48/$V48&lt;$BN$6,"",IF($BN48&lt;$BN$10,IF(Z48&gt;0,(AN48-Z48)/Z48,""),""))),"")</f>
        <v/>
      </c>
      <c r="BG48" s="349" t="str">
        <f>IF(P48&gt;0,IF(AO48&lt;$BN$7,"",IF($W48/$V48&lt;$BN$6,"",IF($BN48&lt;$BN$10,IF(AA48&gt;0,(AO48-AA48)/AA48,""),""))),"")</f>
        <v/>
      </c>
      <c r="BH48" s="349" t="str">
        <f>IF(Q48&gt;0,IF(AP48&lt;$BN$7,"",IF($W48/$V48&lt;$BN$6,"",IF($BN48&lt;$BN$10,IF(AB48&gt;0,(AP48-AB48)/AB48,""),""))),"")</f>
        <v/>
      </c>
      <c r="BI48" s="349" t="str">
        <f>IF(R48&gt;0,IF(AQ48&lt;$BN$7,"",IF($W48/$V48&lt;$BN$6,"",IF($BN48&lt;$BN$10,IF(AC48&gt;0,(AQ48-AC48)/AC48,""),""))),"")</f>
        <v/>
      </c>
      <c r="BJ48" s="392" t="str">
        <f>IF(AG48&lt;$BN$6*COUNTIF(M48:R48,1),"",IF($BN48&lt;$BN$10,IF($BN48&lt;$BN$10,IF(AG48&lt;&gt;"",(AU48-AG48)/AG48,""),"")))</f>
        <v/>
      </c>
      <c r="BK48" s="392" t="str">
        <f>IF(AH48&lt;$BN$6*COUNTIF(M48:R48,2),"",IF($BN48&lt;$BN$10,IF(AH48&lt;&gt;"",(AV48-AH48)/AH48,""),""))</f>
        <v/>
      </c>
      <c r="BL48" s="288"/>
      <c r="BM48" s="136"/>
      <c r="BN48" s="76"/>
      <c r="BO48" s="398"/>
    </row>
    <row r="49" spans="18:67">
      <c r="BO49" s="334"/>
    </row>
    <row r="50" spans="18:67">
      <c r="AU50" s="341"/>
      <c r="AV50" s="342" t="s">
        <v>358</v>
      </c>
      <c r="AW50" s="341"/>
      <c r="AX50" s="341"/>
      <c r="AY50" s="342" t="s">
        <v>368</v>
      </c>
      <c r="AZ50" s="342" t="s">
        <v>369</v>
      </c>
      <c r="BA50" s="342"/>
      <c r="BB50" s="342"/>
      <c r="BC50" s="342"/>
      <c r="BD50" s="342"/>
      <c r="BE50" s="342" t="s">
        <v>370</v>
      </c>
      <c r="BF50" s="342"/>
      <c r="BG50" s="342"/>
      <c r="BH50" s="342"/>
      <c r="BI50" s="342"/>
      <c r="BJ50" s="342" t="s">
        <v>371</v>
      </c>
      <c r="BK50" s="341"/>
    </row>
    <row r="51" spans="18:67">
      <c r="R51" s="343"/>
      <c r="S51" s="343"/>
      <c r="T51" s="343"/>
      <c r="U51" s="343"/>
      <c r="V51" s="343"/>
      <c r="W51" s="344" t="s">
        <v>372</v>
      </c>
      <c r="X51" s="387" t="s">
        <v>373</v>
      </c>
      <c r="AU51" s="343"/>
      <c r="AV51" s="344" t="s">
        <v>361</v>
      </c>
      <c r="AW51" s="343"/>
      <c r="AX51" s="343"/>
      <c r="AY51" s="343">
        <f>COUNTIF($AY$12:$AY$48,$AV51)</f>
        <v>10</v>
      </c>
      <c r="AZ51" s="343">
        <f>COUNTIF($AZ$12:$BD$48,$AV51)</f>
        <v>134</v>
      </c>
      <c r="BA51" s="343"/>
      <c r="BB51" s="343"/>
      <c r="BC51" s="343"/>
      <c r="BD51" s="343"/>
      <c r="BE51" s="343">
        <f>COUNTIF($BE$12:$BI$48,$AV51)</f>
        <v>102</v>
      </c>
      <c r="BF51" s="343"/>
      <c r="BG51" s="343"/>
      <c r="BH51" s="343"/>
      <c r="BI51" s="343"/>
      <c r="BJ51" s="343">
        <f>COUNTIF($BJ$12:$BK$48,$AV51)</f>
        <v>43</v>
      </c>
      <c r="BK51" s="343"/>
    </row>
    <row r="52" spans="18:67">
      <c r="AL52" s="343">
        <f>+AL12*(1-$AZ$9)</f>
        <v>8.0772550097297753</v>
      </c>
      <c r="AM52" s="399">
        <f>+AM12-(AL52-AL12)</f>
        <v>9.2317460096382149</v>
      </c>
      <c r="AU52" s="343"/>
      <c r="AV52" s="344" t="s">
        <v>360</v>
      </c>
      <c r="AW52" s="343"/>
      <c r="AX52" s="343"/>
      <c r="AY52" s="343">
        <f>COUNTIF($AY$12:$AY$48,$AV52)</f>
        <v>10</v>
      </c>
      <c r="AZ52" s="343">
        <f>COUNTIF($AZ$12:$BD$48,$AV52)</f>
        <v>134</v>
      </c>
      <c r="BA52" s="343"/>
      <c r="BB52" s="343"/>
      <c r="BC52" s="343"/>
      <c r="BD52" s="343"/>
      <c r="BE52" s="343">
        <f>COUNTIF($BE$12:$BI$48,$AV52)</f>
        <v>102</v>
      </c>
      <c r="BF52" s="343"/>
      <c r="BG52" s="343"/>
      <c r="BH52" s="343"/>
      <c r="BI52" s="343"/>
      <c r="BJ52" s="343">
        <f>COUNTIF($BJ$12:$BK$48,$AV52)</f>
        <v>43</v>
      </c>
      <c r="BK52" s="343"/>
    </row>
    <row r="53" spans="18:67">
      <c r="AL53" s="343">
        <f t="shared" ref="AL53:AL87" si="57">+AL13*(1-$AZ$9)</f>
        <v>5.9691671643489697</v>
      </c>
      <c r="AM53" s="399">
        <f t="shared" ref="AM53:AM87" si="58">+AM13-(AL53-AL13)</f>
        <v>2.6344923667417532</v>
      </c>
      <c r="AU53" s="341"/>
      <c r="AV53" s="342" t="s">
        <v>359</v>
      </c>
      <c r="AW53" s="341"/>
      <c r="AX53" s="341"/>
      <c r="AY53" s="341">
        <f>COUNTIF($AY$12:$AY$48,$AV53)</f>
        <v>0</v>
      </c>
      <c r="AZ53" s="341">
        <f>COUNTIF($AZ$12:$BD$48,$AV53)</f>
        <v>0</v>
      </c>
      <c r="BA53" s="341"/>
      <c r="BB53" s="341"/>
      <c r="BC53" s="341"/>
      <c r="BD53" s="341"/>
      <c r="BE53" s="341">
        <f>COUNTIF($BE$12:$BI$48,$AV53)</f>
        <v>0</v>
      </c>
      <c r="BF53" s="341"/>
      <c r="BG53" s="341"/>
      <c r="BH53" s="341"/>
      <c r="BI53" s="341"/>
      <c r="BJ53" s="341">
        <f>COUNTIF($BJ$12:$BK$48,$AV53)</f>
        <v>0</v>
      </c>
      <c r="BK53" s="341"/>
    </row>
    <row r="54" spans="18:67">
      <c r="AL54" s="343">
        <f t="shared" si="57"/>
        <v>7.100657905599328</v>
      </c>
      <c r="AM54" s="399">
        <f t="shared" si="58"/>
        <v>13.585315590832883</v>
      </c>
      <c r="AU54" s="343"/>
      <c r="AV54" s="343"/>
      <c r="AW54" s="343"/>
      <c r="AX54" s="343"/>
      <c r="AY54" s="343">
        <f>COUNT(AY12:AY48)</f>
        <v>27</v>
      </c>
      <c r="AZ54" s="343">
        <f>COUNT(AZ12:BD48)</f>
        <v>51</v>
      </c>
      <c r="BA54" s="343"/>
      <c r="BB54" s="343"/>
      <c r="BC54" s="343"/>
      <c r="BD54" s="343"/>
      <c r="BE54" s="343">
        <f>COUNT(BE12:BI48)</f>
        <v>83</v>
      </c>
      <c r="BF54" s="343"/>
      <c r="BG54" s="343"/>
      <c r="BH54" s="343"/>
      <c r="BI54" s="343"/>
      <c r="BJ54" s="343">
        <f>COUNT(BJ12:BK48)</f>
        <v>29</v>
      </c>
      <c r="BK54" s="343"/>
    </row>
    <row r="55" spans="18:67">
      <c r="AL55" s="343">
        <f t="shared" si="57"/>
        <v>6.6103127831856678</v>
      </c>
      <c r="AM55" s="399">
        <f t="shared" si="58"/>
        <v>8.1821948620742688</v>
      </c>
      <c r="AU55" s="341"/>
      <c r="AV55" s="341"/>
      <c r="AW55" s="341"/>
      <c r="AX55" s="341"/>
      <c r="AY55" s="341"/>
      <c r="AZ55" s="341"/>
      <c r="BA55" s="341"/>
      <c r="BB55" s="341"/>
      <c r="BC55" s="341"/>
      <c r="BD55" s="341"/>
      <c r="BE55" s="341"/>
      <c r="BF55" s="341"/>
      <c r="BG55" s="341"/>
      <c r="BH55" s="341"/>
      <c r="BI55" s="341"/>
      <c r="BJ55" s="341"/>
      <c r="BK55" s="341"/>
    </row>
    <row r="56" spans="18:67">
      <c r="AL56" s="343">
        <f t="shared" si="57"/>
        <v>6.9711877065511727</v>
      </c>
      <c r="AM56" s="399">
        <f t="shared" si="58"/>
        <v>2.9620844647026496</v>
      </c>
      <c r="AU56" s="343"/>
      <c r="AV56" s="344" t="s">
        <v>361</v>
      </c>
      <c r="AW56" s="343"/>
      <c r="AX56" s="343"/>
      <c r="AY56" s="345">
        <f t="shared" ref="AY56:AZ58" si="59">+AY51/AY$54</f>
        <v>0.37037037037037035</v>
      </c>
      <c r="AZ56" s="345">
        <f t="shared" si="59"/>
        <v>2.6274509803921569</v>
      </c>
      <c r="BA56" s="345"/>
      <c r="BB56" s="345"/>
      <c r="BC56" s="345"/>
      <c r="BD56" s="345"/>
      <c r="BE56" s="345">
        <f>+BE51/BE$54</f>
        <v>1.2289156626506024</v>
      </c>
      <c r="BF56" s="345"/>
      <c r="BG56" s="345"/>
      <c r="BH56" s="345"/>
      <c r="BI56" s="345"/>
      <c r="BJ56" s="345">
        <f>+BJ51/BJ$54</f>
        <v>1.4827586206896552</v>
      </c>
      <c r="BK56" s="345"/>
    </row>
    <row r="57" spans="18:67">
      <c r="AL57" s="343">
        <f t="shared" si="57"/>
        <v>6.138222630511005</v>
      </c>
      <c r="AM57" s="399">
        <f t="shared" si="58"/>
        <v>13.159065850630686</v>
      </c>
      <c r="AU57" s="343"/>
      <c r="AV57" s="344" t="s">
        <v>360</v>
      </c>
      <c r="AW57" s="343"/>
      <c r="AX57" s="343"/>
      <c r="AY57" s="345">
        <f t="shared" si="59"/>
        <v>0.37037037037037035</v>
      </c>
      <c r="AZ57" s="345">
        <f t="shared" si="59"/>
        <v>2.6274509803921569</v>
      </c>
      <c r="BA57" s="345"/>
      <c r="BB57" s="345"/>
      <c r="BC57" s="345"/>
      <c r="BD57" s="345"/>
      <c r="BE57" s="345">
        <f>+BE52/BE$54</f>
        <v>1.2289156626506024</v>
      </c>
      <c r="BF57" s="345"/>
      <c r="BG57" s="345"/>
      <c r="BH57" s="345"/>
      <c r="BI57" s="345"/>
      <c r="BJ57" s="345">
        <f>+BJ52/BJ$54</f>
        <v>1.4827586206896552</v>
      </c>
      <c r="BK57" s="345"/>
    </row>
    <row r="58" spans="18:67">
      <c r="AL58" s="343">
        <f t="shared" si="57"/>
        <v>4.9867039548347689</v>
      </c>
      <c r="AM58" s="399">
        <f t="shared" si="58"/>
        <v>5.6201563917503483</v>
      </c>
      <c r="AU58" s="341"/>
      <c r="AV58" s="342" t="s">
        <v>359</v>
      </c>
      <c r="AW58" s="341"/>
      <c r="AX58" s="341"/>
      <c r="AY58" s="346">
        <f t="shared" si="59"/>
        <v>0</v>
      </c>
      <c r="AZ58" s="346">
        <f t="shared" si="59"/>
        <v>0</v>
      </c>
      <c r="BA58" s="346"/>
      <c r="BB58" s="346"/>
      <c r="BC58" s="346"/>
      <c r="BD58" s="346"/>
      <c r="BE58" s="346">
        <f>+BE53/BE$54</f>
        <v>0</v>
      </c>
      <c r="BF58" s="346"/>
      <c r="BG58" s="346"/>
      <c r="BH58" s="346"/>
      <c r="BI58" s="346"/>
      <c r="BJ58" s="346">
        <f>+BJ53/BJ$54</f>
        <v>0</v>
      </c>
      <c r="BK58" s="346"/>
    </row>
    <row r="59" spans="18:67">
      <c r="AL59" s="343">
        <f t="shared" si="57"/>
        <v>5.8482225177148885</v>
      </c>
      <c r="AM59" s="399">
        <f t="shared" si="58"/>
        <v>15.037669429277976</v>
      </c>
    </row>
    <row r="60" spans="18:67">
      <c r="AL60" s="343">
        <f t="shared" si="57"/>
        <v>6.9743724764516806</v>
      </c>
      <c r="AM60" s="399">
        <f t="shared" si="58"/>
        <v>15.432406320694088</v>
      </c>
    </row>
    <row r="61" spans="18:67">
      <c r="AL61" s="343">
        <f t="shared" si="57"/>
        <v>7.7116850132119765</v>
      </c>
      <c r="AM61" s="399">
        <f t="shared" si="58"/>
        <v>10.181740063240621</v>
      </c>
    </row>
    <row r="62" spans="18:67">
      <c r="AL62" s="343">
        <f t="shared" si="57"/>
        <v>9.143474384359406</v>
      </c>
      <c r="AM62" s="399">
        <f t="shared" si="58"/>
        <v>10.743385962225709</v>
      </c>
    </row>
    <row r="63" spans="18:67">
      <c r="AL63" s="343">
        <f t="shared" si="57"/>
        <v>8.1972912855674913</v>
      </c>
      <c r="AM63" s="399">
        <f t="shared" si="58"/>
        <v>12.654655707296932</v>
      </c>
    </row>
    <row r="64" spans="18:67">
      <c r="AL64" s="343">
        <f t="shared" si="57"/>
        <v>4.7897078785146654</v>
      </c>
      <c r="AM64" s="399">
        <f t="shared" si="58"/>
        <v>13.319537789171367</v>
      </c>
    </row>
    <row r="65" spans="38:39">
      <c r="AL65" s="343">
        <f t="shared" si="57"/>
        <v>6.9623447715696924</v>
      </c>
      <c r="AM65" s="399">
        <f t="shared" si="58"/>
        <v>9.6882464618655781</v>
      </c>
    </row>
    <row r="66" spans="38:39">
      <c r="AL66" s="343">
        <f t="shared" si="57"/>
        <v>6.7132104003835362</v>
      </c>
      <c r="AM66" s="399">
        <f t="shared" si="58"/>
        <v>6.5999088656715088</v>
      </c>
    </row>
    <row r="67" spans="38:39">
      <c r="AL67" s="343">
        <f t="shared" si="57"/>
        <v>5.8097754501530821</v>
      </c>
      <c r="AM67" s="399">
        <f t="shared" si="58"/>
        <v>11.398919758817357</v>
      </c>
    </row>
    <row r="68" spans="38:39">
      <c r="AL68" s="343">
        <f t="shared" si="57"/>
        <v>6.10543372803017</v>
      </c>
      <c r="AM68" s="399">
        <f t="shared" si="58"/>
        <v>10.928592775537616</v>
      </c>
    </row>
    <row r="69" spans="38:39">
      <c r="AL69" s="343">
        <f t="shared" si="57"/>
        <v>6.3525324730943531</v>
      </c>
      <c r="AM69" s="399">
        <f t="shared" si="58"/>
        <v>9.9483441833786337</v>
      </c>
    </row>
    <row r="70" spans="38:39">
      <c r="AL70" s="343">
        <f t="shared" si="57"/>
        <v>7.2375373459624139</v>
      </c>
      <c r="AM70" s="399">
        <f t="shared" si="58"/>
        <v>12.250138495016179</v>
      </c>
    </row>
    <row r="71" spans="38:39">
      <c r="AL71" s="343">
        <f t="shared" si="57"/>
        <v>6.9454359416855498</v>
      </c>
      <c r="AM71" s="399">
        <f t="shared" si="58"/>
        <v>10.450190969629432</v>
      </c>
    </row>
    <row r="72" spans="38:39">
      <c r="AL72" s="343">
        <f t="shared" si="57"/>
        <v>6.5859181024013633</v>
      </c>
      <c r="AM72" s="399">
        <f t="shared" si="58"/>
        <v>10.666691479657759</v>
      </c>
    </row>
    <row r="73" spans="38:39">
      <c r="AL73" s="343">
        <f t="shared" si="57"/>
        <v>7.4045681302289363</v>
      </c>
      <c r="AM73" s="399">
        <f t="shared" si="58"/>
        <v>2.6637295252246824</v>
      </c>
    </row>
    <row r="74" spans="38:39">
      <c r="AL74" s="343">
        <f t="shared" si="57"/>
        <v>5.0327572597878243</v>
      </c>
      <c r="AM74" s="399">
        <f t="shared" si="58"/>
        <v>11.002359967531238</v>
      </c>
    </row>
    <row r="75" spans="38:39">
      <c r="AL75" s="343">
        <f t="shared" si="57"/>
        <v>8.419283975127323</v>
      </c>
      <c r="AM75" s="399">
        <f t="shared" si="58"/>
        <v>12.085201244036796</v>
      </c>
    </row>
    <row r="76" spans="38:39">
      <c r="AL76" s="343">
        <f t="shared" si="57"/>
        <v>5.8536180213607674</v>
      </c>
      <c r="AM76" s="399">
        <f t="shared" si="58"/>
        <v>7.1181862599847978</v>
      </c>
    </row>
    <row r="77" spans="38:39">
      <c r="AL77" s="343">
        <f t="shared" si="57"/>
        <v>4.3218421972544228</v>
      </c>
      <c r="AM77" s="399">
        <f t="shared" si="58"/>
        <v>10.668545162582479</v>
      </c>
    </row>
    <row r="78" spans="38:39">
      <c r="AL78" s="343">
        <f t="shared" si="57"/>
        <v>6.3844896143640577</v>
      </c>
      <c r="AM78" s="399">
        <f t="shared" si="58"/>
        <v>6.6542361756461359</v>
      </c>
    </row>
    <row r="79" spans="38:39">
      <c r="AL79" s="343">
        <f t="shared" si="57"/>
        <v>5.2434007865063252</v>
      </c>
      <c r="AM79" s="399">
        <f t="shared" si="58"/>
        <v>12.354784738468188</v>
      </c>
    </row>
    <row r="80" spans="38:39">
      <c r="AL80" s="343">
        <f t="shared" si="57"/>
        <v>6.9218620778859101</v>
      </c>
      <c r="AM80" s="399">
        <f t="shared" si="58"/>
        <v>11.847832111716535</v>
      </c>
    </row>
    <row r="81" spans="38:39">
      <c r="AL81" s="343">
        <f t="shared" si="57"/>
        <v>5.3914871147667309</v>
      </c>
      <c r="AM81" s="399">
        <f t="shared" si="58"/>
        <v>14.553905341910131</v>
      </c>
    </row>
    <row r="82" spans="38:39">
      <c r="AL82" s="343">
        <f t="shared" si="57"/>
        <v>9.4046911815598637</v>
      </c>
      <c r="AM82" s="399">
        <f t="shared" si="58"/>
        <v>4.8797124881649054</v>
      </c>
    </row>
    <row r="83" spans="38:39">
      <c r="AL83" s="343">
        <f t="shared" si="57"/>
        <v>7.9678674662398068</v>
      </c>
      <c r="AM83" s="399">
        <f t="shared" si="58"/>
        <v>8.9259245826898557</v>
      </c>
    </row>
    <row r="84" spans="38:39">
      <c r="AL84" s="343">
        <f>+AL44*(1-$AZ$9)</f>
        <v>5.7850086656690607</v>
      </c>
      <c r="AM84" s="399">
        <f t="shared" si="58"/>
        <v>4.654369519855913</v>
      </c>
    </row>
    <row r="85" spans="38:39">
      <c r="AL85" s="343">
        <f t="shared" si="57"/>
        <v>6.5241051113426991</v>
      </c>
      <c r="AM85" s="399">
        <f t="shared" si="58"/>
        <v>5.1013281200538341</v>
      </c>
    </row>
    <row r="86" spans="38:39">
      <c r="AL86" s="343">
        <f t="shared" si="57"/>
        <v>7.3137857717247554</v>
      </c>
      <c r="AM86" s="399">
        <f t="shared" si="58"/>
        <v>10.388334513698283</v>
      </c>
    </row>
    <row r="87" spans="38:39">
      <c r="AL87" s="343">
        <f t="shared" si="57"/>
        <v>6.7825201865688252</v>
      </c>
      <c r="AM87" s="399">
        <f t="shared" si="58"/>
        <v>11.297856979588158</v>
      </c>
    </row>
  </sheetData>
  <dataConsolidate/>
  <mergeCells count="28">
    <mergeCell ref="C3:H3"/>
    <mergeCell ref="Z3:AK3"/>
    <mergeCell ref="AQ3:BB3"/>
    <mergeCell ref="C4:H4"/>
    <mergeCell ref="Z4:AG4"/>
    <mergeCell ref="AQ4:AX4"/>
    <mergeCell ref="C5:H5"/>
    <mergeCell ref="Z5:AG5"/>
    <mergeCell ref="AQ5:AX5"/>
    <mergeCell ref="C6:H6"/>
    <mergeCell ref="Z6:AG6"/>
    <mergeCell ref="AQ6:AX6"/>
    <mergeCell ref="AY10:BM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</mergeCells>
  <conditionalFormatting sqref="AZ12:BI48">
    <cfRule type="dataBar" priority="3">
      <dataBar>
        <cfvo type="num" val="-0.3"/>
        <cfvo type="num" val="0.3"/>
        <color rgb="FF638EC6"/>
      </dataBar>
      <extLst>
        <ext xmlns:x14="http://schemas.microsoft.com/office/spreadsheetml/2009/9/main" uri="{B025F937-C7B1-47D3-B67F-A62EFF666E3E}">
          <x14:id>{74FAD329-4DA8-4BB0-9602-15FBC3BB1C2D}</x14:id>
        </ext>
      </extLst>
    </cfRule>
  </conditionalFormatting>
  <conditionalFormatting sqref="AY12:AY4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{5226433D-DEFC-4740-A354-7C9EA6B0CEB7}</x14:id>
        </ext>
      </extLst>
    </cfRule>
  </conditionalFormatting>
  <conditionalFormatting sqref="BN12:BN48">
    <cfRule type="expression" dxfId="2" priority="5">
      <formula>$BN12&gt;=BN$10</formula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{AF9FE20B-B757-494B-A451-D7DDC36B848D}</x14:id>
        </ext>
      </extLst>
    </cfRule>
  </conditionalFormatting>
  <conditionalFormatting sqref="BO12:BO49">
    <cfRule type="expression" dxfId="1" priority="1">
      <formula>$BO12&gt;BO$10</formula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{34D18C01-018A-4E1F-B44F-06B3E7884A10}</x14:id>
        </ext>
      </extLst>
    </cfRule>
  </conditionalFormatting>
  <dataValidations disablePrompts="1" count="1">
    <dataValidation type="list" allowBlank="1" showInputMessage="1" showErrorMessage="1" sqref="X51 BO10">
      <formula1>YesNo</formula1>
    </dataValidation>
  </dataValidations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FAD329-4DA8-4BB0-9602-15FBC3BB1C2D}">
            <x14:dataBar minLength="0" maxLength="100" border="1" negativeBarBorderColorSameAsPositive="0">
              <x14:cfvo type="num">
                <xm:f>-0.3</xm:f>
              </x14:cfvo>
              <x14:cfvo type="num">
                <xm:f>0.3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AZ12:BI48</xm:sqref>
        </x14:conditionalFormatting>
        <x14:conditionalFormatting xmlns:xm="http://schemas.microsoft.com/office/excel/2006/main">
          <x14:cfRule type="dataBar" id="{5226433D-DEFC-4740-A354-7C9EA6B0CEB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AY12:AY48</xm:sqref>
        </x14:conditionalFormatting>
        <x14:conditionalFormatting xmlns:xm="http://schemas.microsoft.com/office/excel/2006/main">
          <x14:cfRule type="dataBar" id="{AF9FE20B-B757-494B-A451-D7DDC36B84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BN12:BN48</xm:sqref>
        </x14:conditionalFormatting>
        <x14:conditionalFormatting xmlns:xm="http://schemas.microsoft.com/office/excel/2006/main">
          <x14:cfRule type="dataBar" id="{34D18C01-018A-4E1F-B44F-06B3E7884A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BO12:BO49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I12:I48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tabColor rgb="FF00B0F0"/>
    <pageSetUpPr fitToPage="1"/>
  </sheetPr>
  <dimension ref="A1:W57"/>
  <sheetViews>
    <sheetView showGridLines="0" topLeftCell="A11" zoomScaleNormal="100" workbookViewId="0">
      <selection activeCell="E17" sqref="E17"/>
    </sheetView>
  </sheetViews>
  <sheetFormatPr baseColWidth="10" defaultColWidth="11.5703125" defaultRowHeight="12.75"/>
  <cols>
    <col min="1" max="1" width="15.28515625" style="193" customWidth="1"/>
    <col min="2" max="2" width="9.42578125" style="193" customWidth="1"/>
    <col min="3" max="6" width="8.28515625" style="193" customWidth="1"/>
    <col min="7" max="7" width="8.85546875" style="193" customWidth="1"/>
    <col min="8" max="13" width="7" style="193" customWidth="1"/>
    <col min="14" max="14" width="6.7109375" style="193" hidden="1" customWidth="1"/>
    <col min="15" max="15" width="9.42578125" style="193" bestFit="1" customWidth="1"/>
    <col min="16" max="19" width="7.85546875" style="193" customWidth="1"/>
    <col min="20" max="256" width="11.5703125" style="193"/>
    <col min="257" max="257" width="14" style="193" bestFit="1" customWidth="1"/>
    <col min="258" max="262" width="8.28515625" style="193" customWidth="1"/>
    <col min="263" max="263" width="7.42578125" style="193" customWidth="1"/>
    <col min="264" max="269" width="7" style="193" customWidth="1"/>
    <col min="270" max="270" width="0" style="193" hidden="1" customWidth="1"/>
    <col min="271" max="271" width="9.42578125" style="193" bestFit="1" customWidth="1"/>
    <col min="272" max="275" width="7.85546875" style="193" customWidth="1"/>
    <col min="276" max="512" width="11.5703125" style="193"/>
    <col min="513" max="513" width="14" style="193" bestFit="1" customWidth="1"/>
    <col min="514" max="518" width="8.28515625" style="193" customWidth="1"/>
    <col min="519" max="519" width="7.42578125" style="193" customWidth="1"/>
    <col min="520" max="525" width="7" style="193" customWidth="1"/>
    <col min="526" max="526" width="0" style="193" hidden="1" customWidth="1"/>
    <col min="527" max="527" width="9.42578125" style="193" bestFit="1" customWidth="1"/>
    <col min="528" max="531" width="7.85546875" style="193" customWidth="1"/>
    <col min="532" max="768" width="11.5703125" style="193"/>
    <col min="769" max="769" width="14" style="193" bestFit="1" customWidth="1"/>
    <col min="770" max="774" width="8.28515625" style="193" customWidth="1"/>
    <col min="775" max="775" width="7.42578125" style="193" customWidth="1"/>
    <col min="776" max="781" width="7" style="193" customWidth="1"/>
    <col min="782" max="782" width="0" style="193" hidden="1" customWidth="1"/>
    <col min="783" max="783" width="9.42578125" style="193" bestFit="1" customWidth="1"/>
    <col min="784" max="787" width="7.85546875" style="193" customWidth="1"/>
    <col min="788" max="1024" width="11.5703125" style="193"/>
    <col min="1025" max="1025" width="14" style="193" bestFit="1" customWidth="1"/>
    <col min="1026" max="1030" width="8.28515625" style="193" customWidth="1"/>
    <col min="1031" max="1031" width="7.42578125" style="193" customWidth="1"/>
    <col min="1032" max="1037" width="7" style="193" customWidth="1"/>
    <col min="1038" max="1038" width="0" style="193" hidden="1" customWidth="1"/>
    <col min="1039" max="1039" width="9.42578125" style="193" bestFit="1" customWidth="1"/>
    <col min="1040" max="1043" width="7.85546875" style="193" customWidth="1"/>
    <col min="1044" max="1280" width="11.5703125" style="193"/>
    <col min="1281" max="1281" width="14" style="193" bestFit="1" customWidth="1"/>
    <col min="1282" max="1286" width="8.28515625" style="193" customWidth="1"/>
    <col min="1287" max="1287" width="7.42578125" style="193" customWidth="1"/>
    <col min="1288" max="1293" width="7" style="193" customWidth="1"/>
    <col min="1294" max="1294" width="0" style="193" hidden="1" customWidth="1"/>
    <col min="1295" max="1295" width="9.42578125" style="193" bestFit="1" customWidth="1"/>
    <col min="1296" max="1299" width="7.85546875" style="193" customWidth="1"/>
    <col min="1300" max="1536" width="11.5703125" style="193"/>
    <col min="1537" max="1537" width="14" style="193" bestFit="1" customWidth="1"/>
    <col min="1538" max="1542" width="8.28515625" style="193" customWidth="1"/>
    <col min="1543" max="1543" width="7.42578125" style="193" customWidth="1"/>
    <col min="1544" max="1549" width="7" style="193" customWidth="1"/>
    <col min="1550" max="1550" width="0" style="193" hidden="1" customWidth="1"/>
    <col min="1551" max="1551" width="9.42578125" style="193" bestFit="1" customWidth="1"/>
    <col min="1552" max="1555" width="7.85546875" style="193" customWidth="1"/>
    <col min="1556" max="1792" width="11.5703125" style="193"/>
    <col min="1793" max="1793" width="14" style="193" bestFit="1" customWidth="1"/>
    <col min="1794" max="1798" width="8.28515625" style="193" customWidth="1"/>
    <col min="1799" max="1799" width="7.42578125" style="193" customWidth="1"/>
    <col min="1800" max="1805" width="7" style="193" customWidth="1"/>
    <col min="1806" max="1806" width="0" style="193" hidden="1" customWidth="1"/>
    <col min="1807" max="1807" width="9.42578125" style="193" bestFit="1" customWidth="1"/>
    <col min="1808" max="1811" width="7.85546875" style="193" customWidth="1"/>
    <col min="1812" max="2048" width="11.5703125" style="193"/>
    <col min="2049" max="2049" width="14" style="193" bestFit="1" customWidth="1"/>
    <col min="2050" max="2054" width="8.28515625" style="193" customWidth="1"/>
    <col min="2055" max="2055" width="7.42578125" style="193" customWidth="1"/>
    <col min="2056" max="2061" width="7" style="193" customWidth="1"/>
    <col min="2062" max="2062" width="0" style="193" hidden="1" customWidth="1"/>
    <col min="2063" max="2063" width="9.42578125" style="193" bestFit="1" customWidth="1"/>
    <col min="2064" max="2067" width="7.85546875" style="193" customWidth="1"/>
    <col min="2068" max="2304" width="11.5703125" style="193"/>
    <col min="2305" max="2305" width="14" style="193" bestFit="1" customWidth="1"/>
    <col min="2306" max="2310" width="8.28515625" style="193" customWidth="1"/>
    <col min="2311" max="2311" width="7.42578125" style="193" customWidth="1"/>
    <col min="2312" max="2317" width="7" style="193" customWidth="1"/>
    <col min="2318" max="2318" width="0" style="193" hidden="1" customWidth="1"/>
    <col min="2319" max="2319" width="9.42578125" style="193" bestFit="1" customWidth="1"/>
    <col min="2320" max="2323" width="7.85546875" style="193" customWidth="1"/>
    <col min="2324" max="2560" width="11.5703125" style="193"/>
    <col min="2561" max="2561" width="14" style="193" bestFit="1" customWidth="1"/>
    <col min="2562" max="2566" width="8.28515625" style="193" customWidth="1"/>
    <col min="2567" max="2567" width="7.42578125" style="193" customWidth="1"/>
    <col min="2568" max="2573" width="7" style="193" customWidth="1"/>
    <col min="2574" max="2574" width="0" style="193" hidden="1" customWidth="1"/>
    <col min="2575" max="2575" width="9.42578125" style="193" bestFit="1" customWidth="1"/>
    <col min="2576" max="2579" width="7.85546875" style="193" customWidth="1"/>
    <col min="2580" max="2816" width="11.5703125" style="193"/>
    <col min="2817" max="2817" width="14" style="193" bestFit="1" customWidth="1"/>
    <col min="2818" max="2822" width="8.28515625" style="193" customWidth="1"/>
    <col min="2823" max="2823" width="7.42578125" style="193" customWidth="1"/>
    <col min="2824" max="2829" width="7" style="193" customWidth="1"/>
    <col min="2830" max="2830" width="0" style="193" hidden="1" customWidth="1"/>
    <col min="2831" max="2831" width="9.42578125" style="193" bestFit="1" customWidth="1"/>
    <col min="2832" max="2835" width="7.85546875" style="193" customWidth="1"/>
    <col min="2836" max="3072" width="11.5703125" style="193"/>
    <col min="3073" max="3073" width="14" style="193" bestFit="1" customWidth="1"/>
    <col min="3074" max="3078" width="8.28515625" style="193" customWidth="1"/>
    <col min="3079" max="3079" width="7.42578125" style="193" customWidth="1"/>
    <col min="3080" max="3085" width="7" style="193" customWidth="1"/>
    <col min="3086" max="3086" width="0" style="193" hidden="1" customWidth="1"/>
    <col min="3087" max="3087" width="9.42578125" style="193" bestFit="1" customWidth="1"/>
    <col min="3088" max="3091" width="7.85546875" style="193" customWidth="1"/>
    <col min="3092" max="3328" width="11.5703125" style="193"/>
    <col min="3329" max="3329" width="14" style="193" bestFit="1" customWidth="1"/>
    <col min="3330" max="3334" width="8.28515625" style="193" customWidth="1"/>
    <col min="3335" max="3335" width="7.42578125" style="193" customWidth="1"/>
    <col min="3336" max="3341" width="7" style="193" customWidth="1"/>
    <col min="3342" max="3342" width="0" style="193" hidden="1" customWidth="1"/>
    <col min="3343" max="3343" width="9.42578125" style="193" bestFit="1" customWidth="1"/>
    <col min="3344" max="3347" width="7.85546875" style="193" customWidth="1"/>
    <col min="3348" max="3584" width="11.5703125" style="193"/>
    <col min="3585" max="3585" width="14" style="193" bestFit="1" customWidth="1"/>
    <col min="3586" max="3590" width="8.28515625" style="193" customWidth="1"/>
    <col min="3591" max="3591" width="7.42578125" style="193" customWidth="1"/>
    <col min="3592" max="3597" width="7" style="193" customWidth="1"/>
    <col min="3598" max="3598" width="0" style="193" hidden="1" customWidth="1"/>
    <col min="3599" max="3599" width="9.42578125" style="193" bestFit="1" customWidth="1"/>
    <col min="3600" max="3603" width="7.85546875" style="193" customWidth="1"/>
    <col min="3604" max="3840" width="11.5703125" style="193"/>
    <col min="3841" max="3841" width="14" style="193" bestFit="1" customWidth="1"/>
    <col min="3842" max="3846" width="8.28515625" style="193" customWidth="1"/>
    <col min="3847" max="3847" width="7.42578125" style="193" customWidth="1"/>
    <col min="3848" max="3853" width="7" style="193" customWidth="1"/>
    <col min="3854" max="3854" width="0" style="193" hidden="1" customWidth="1"/>
    <col min="3855" max="3855" width="9.42578125" style="193" bestFit="1" customWidth="1"/>
    <col min="3856" max="3859" width="7.85546875" style="193" customWidth="1"/>
    <col min="3860" max="4096" width="11.5703125" style="193"/>
    <col min="4097" max="4097" width="14" style="193" bestFit="1" customWidth="1"/>
    <col min="4098" max="4102" width="8.28515625" style="193" customWidth="1"/>
    <col min="4103" max="4103" width="7.42578125" style="193" customWidth="1"/>
    <col min="4104" max="4109" width="7" style="193" customWidth="1"/>
    <col min="4110" max="4110" width="0" style="193" hidden="1" customWidth="1"/>
    <col min="4111" max="4111" width="9.42578125" style="193" bestFit="1" customWidth="1"/>
    <col min="4112" max="4115" width="7.85546875" style="193" customWidth="1"/>
    <col min="4116" max="4352" width="11.5703125" style="193"/>
    <col min="4353" max="4353" width="14" style="193" bestFit="1" customWidth="1"/>
    <col min="4354" max="4358" width="8.28515625" style="193" customWidth="1"/>
    <col min="4359" max="4359" width="7.42578125" style="193" customWidth="1"/>
    <col min="4360" max="4365" width="7" style="193" customWidth="1"/>
    <col min="4366" max="4366" width="0" style="193" hidden="1" customWidth="1"/>
    <col min="4367" max="4367" width="9.42578125" style="193" bestFit="1" customWidth="1"/>
    <col min="4368" max="4371" width="7.85546875" style="193" customWidth="1"/>
    <col min="4372" max="4608" width="11.5703125" style="193"/>
    <col min="4609" max="4609" width="14" style="193" bestFit="1" customWidth="1"/>
    <col min="4610" max="4614" width="8.28515625" style="193" customWidth="1"/>
    <col min="4615" max="4615" width="7.42578125" style="193" customWidth="1"/>
    <col min="4616" max="4621" width="7" style="193" customWidth="1"/>
    <col min="4622" max="4622" width="0" style="193" hidden="1" customWidth="1"/>
    <col min="4623" max="4623" width="9.42578125" style="193" bestFit="1" customWidth="1"/>
    <col min="4624" max="4627" width="7.85546875" style="193" customWidth="1"/>
    <col min="4628" max="4864" width="11.5703125" style="193"/>
    <col min="4865" max="4865" width="14" style="193" bestFit="1" customWidth="1"/>
    <col min="4866" max="4870" width="8.28515625" style="193" customWidth="1"/>
    <col min="4871" max="4871" width="7.42578125" style="193" customWidth="1"/>
    <col min="4872" max="4877" width="7" style="193" customWidth="1"/>
    <col min="4878" max="4878" width="0" style="193" hidden="1" customWidth="1"/>
    <col min="4879" max="4879" width="9.42578125" style="193" bestFit="1" customWidth="1"/>
    <col min="4880" max="4883" width="7.85546875" style="193" customWidth="1"/>
    <col min="4884" max="5120" width="11.5703125" style="193"/>
    <col min="5121" max="5121" width="14" style="193" bestFit="1" customWidth="1"/>
    <col min="5122" max="5126" width="8.28515625" style="193" customWidth="1"/>
    <col min="5127" max="5127" width="7.42578125" style="193" customWidth="1"/>
    <col min="5128" max="5133" width="7" style="193" customWidth="1"/>
    <col min="5134" max="5134" width="0" style="193" hidden="1" customWidth="1"/>
    <col min="5135" max="5135" width="9.42578125" style="193" bestFit="1" customWidth="1"/>
    <col min="5136" max="5139" width="7.85546875" style="193" customWidth="1"/>
    <col min="5140" max="5376" width="11.5703125" style="193"/>
    <col min="5377" max="5377" width="14" style="193" bestFit="1" customWidth="1"/>
    <col min="5378" max="5382" width="8.28515625" style="193" customWidth="1"/>
    <col min="5383" max="5383" width="7.42578125" style="193" customWidth="1"/>
    <col min="5384" max="5389" width="7" style="193" customWidth="1"/>
    <col min="5390" max="5390" width="0" style="193" hidden="1" customWidth="1"/>
    <col min="5391" max="5391" width="9.42578125" style="193" bestFit="1" customWidth="1"/>
    <col min="5392" max="5395" width="7.85546875" style="193" customWidth="1"/>
    <col min="5396" max="5632" width="11.5703125" style="193"/>
    <col min="5633" max="5633" width="14" style="193" bestFit="1" customWidth="1"/>
    <col min="5634" max="5638" width="8.28515625" style="193" customWidth="1"/>
    <col min="5639" max="5639" width="7.42578125" style="193" customWidth="1"/>
    <col min="5640" max="5645" width="7" style="193" customWidth="1"/>
    <col min="5646" max="5646" width="0" style="193" hidden="1" customWidth="1"/>
    <col min="5647" max="5647" width="9.42578125" style="193" bestFit="1" customWidth="1"/>
    <col min="5648" max="5651" width="7.85546875" style="193" customWidth="1"/>
    <col min="5652" max="5888" width="11.5703125" style="193"/>
    <col min="5889" max="5889" width="14" style="193" bestFit="1" customWidth="1"/>
    <col min="5890" max="5894" width="8.28515625" style="193" customWidth="1"/>
    <col min="5895" max="5895" width="7.42578125" style="193" customWidth="1"/>
    <col min="5896" max="5901" width="7" style="193" customWidth="1"/>
    <col min="5902" max="5902" width="0" style="193" hidden="1" customWidth="1"/>
    <col min="5903" max="5903" width="9.42578125" style="193" bestFit="1" customWidth="1"/>
    <col min="5904" max="5907" width="7.85546875" style="193" customWidth="1"/>
    <col min="5908" max="6144" width="11.5703125" style="193"/>
    <col min="6145" max="6145" width="14" style="193" bestFit="1" customWidth="1"/>
    <col min="6146" max="6150" width="8.28515625" style="193" customWidth="1"/>
    <col min="6151" max="6151" width="7.42578125" style="193" customWidth="1"/>
    <col min="6152" max="6157" width="7" style="193" customWidth="1"/>
    <col min="6158" max="6158" width="0" style="193" hidden="1" customWidth="1"/>
    <col min="6159" max="6159" width="9.42578125" style="193" bestFit="1" customWidth="1"/>
    <col min="6160" max="6163" width="7.85546875" style="193" customWidth="1"/>
    <col min="6164" max="6400" width="11.5703125" style="193"/>
    <col min="6401" max="6401" width="14" style="193" bestFit="1" customWidth="1"/>
    <col min="6402" max="6406" width="8.28515625" style="193" customWidth="1"/>
    <col min="6407" max="6407" width="7.42578125" style="193" customWidth="1"/>
    <col min="6408" max="6413" width="7" style="193" customWidth="1"/>
    <col min="6414" max="6414" width="0" style="193" hidden="1" customWidth="1"/>
    <col min="6415" max="6415" width="9.42578125" style="193" bestFit="1" customWidth="1"/>
    <col min="6416" max="6419" width="7.85546875" style="193" customWidth="1"/>
    <col min="6420" max="6656" width="11.5703125" style="193"/>
    <col min="6657" max="6657" width="14" style="193" bestFit="1" customWidth="1"/>
    <col min="6658" max="6662" width="8.28515625" style="193" customWidth="1"/>
    <col min="6663" max="6663" width="7.42578125" style="193" customWidth="1"/>
    <col min="6664" max="6669" width="7" style="193" customWidth="1"/>
    <col min="6670" max="6670" width="0" style="193" hidden="1" customWidth="1"/>
    <col min="6671" max="6671" width="9.42578125" style="193" bestFit="1" customWidth="1"/>
    <col min="6672" max="6675" width="7.85546875" style="193" customWidth="1"/>
    <col min="6676" max="6912" width="11.5703125" style="193"/>
    <col min="6913" max="6913" width="14" style="193" bestFit="1" customWidth="1"/>
    <col min="6914" max="6918" width="8.28515625" style="193" customWidth="1"/>
    <col min="6919" max="6919" width="7.42578125" style="193" customWidth="1"/>
    <col min="6920" max="6925" width="7" style="193" customWidth="1"/>
    <col min="6926" max="6926" width="0" style="193" hidden="1" customWidth="1"/>
    <col min="6927" max="6927" width="9.42578125" style="193" bestFit="1" customWidth="1"/>
    <col min="6928" max="6931" width="7.85546875" style="193" customWidth="1"/>
    <col min="6932" max="7168" width="11.5703125" style="193"/>
    <col min="7169" max="7169" width="14" style="193" bestFit="1" customWidth="1"/>
    <col min="7170" max="7174" width="8.28515625" style="193" customWidth="1"/>
    <col min="7175" max="7175" width="7.42578125" style="193" customWidth="1"/>
    <col min="7176" max="7181" width="7" style="193" customWidth="1"/>
    <col min="7182" max="7182" width="0" style="193" hidden="1" customWidth="1"/>
    <col min="7183" max="7183" width="9.42578125" style="193" bestFit="1" customWidth="1"/>
    <col min="7184" max="7187" width="7.85546875" style="193" customWidth="1"/>
    <col min="7188" max="7424" width="11.5703125" style="193"/>
    <col min="7425" max="7425" width="14" style="193" bestFit="1" customWidth="1"/>
    <col min="7426" max="7430" width="8.28515625" style="193" customWidth="1"/>
    <col min="7431" max="7431" width="7.42578125" style="193" customWidth="1"/>
    <col min="7432" max="7437" width="7" style="193" customWidth="1"/>
    <col min="7438" max="7438" width="0" style="193" hidden="1" customWidth="1"/>
    <col min="7439" max="7439" width="9.42578125" style="193" bestFit="1" customWidth="1"/>
    <col min="7440" max="7443" width="7.85546875" style="193" customWidth="1"/>
    <col min="7444" max="7680" width="11.5703125" style="193"/>
    <col min="7681" max="7681" width="14" style="193" bestFit="1" customWidth="1"/>
    <col min="7682" max="7686" width="8.28515625" style="193" customWidth="1"/>
    <col min="7687" max="7687" width="7.42578125" style="193" customWidth="1"/>
    <col min="7688" max="7693" width="7" style="193" customWidth="1"/>
    <col min="7694" max="7694" width="0" style="193" hidden="1" customWidth="1"/>
    <col min="7695" max="7695" width="9.42578125" style="193" bestFit="1" customWidth="1"/>
    <col min="7696" max="7699" width="7.85546875" style="193" customWidth="1"/>
    <col min="7700" max="7936" width="11.5703125" style="193"/>
    <col min="7937" max="7937" width="14" style="193" bestFit="1" customWidth="1"/>
    <col min="7938" max="7942" width="8.28515625" style="193" customWidth="1"/>
    <col min="7943" max="7943" width="7.42578125" style="193" customWidth="1"/>
    <col min="7944" max="7949" width="7" style="193" customWidth="1"/>
    <col min="7950" max="7950" width="0" style="193" hidden="1" customWidth="1"/>
    <col min="7951" max="7951" width="9.42578125" style="193" bestFit="1" customWidth="1"/>
    <col min="7952" max="7955" width="7.85546875" style="193" customWidth="1"/>
    <col min="7956" max="8192" width="11.5703125" style="193"/>
    <col min="8193" max="8193" width="14" style="193" bestFit="1" customWidth="1"/>
    <col min="8194" max="8198" width="8.28515625" style="193" customWidth="1"/>
    <col min="8199" max="8199" width="7.42578125" style="193" customWidth="1"/>
    <col min="8200" max="8205" width="7" style="193" customWidth="1"/>
    <col min="8206" max="8206" width="0" style="193" hidden="1" customWidth="1"/>
    <col min="8207" max="8207" width="9.42578125" style="193" bestFit="1" customWidth="1"/>
    <col min="8208" max="8211" width="7.85546875" style="193" customWidth="1"/>
    <col min="8212" max="8448" width="11.5703125" style="193"/>
    <col min="8449" max="8449" width="14" style="193" bestFit="1" customWidth="1"/>
    <col min="8450" max="8454" width="8.28515625" style="193" customWidth="1"/>
    <col min="8455" max="8455" width="7.42578125" style="193" customWidth="1"/>
    <col min="8456" max="8461" width="7" style="193" customWidth="1"/>
    <col min="8462" max="8462" width="0" style="193" hidden="1" customWidth="1"/>
    <col min="8463" max="8463" width="9.42578125" style="193" bestFit="1" customWidth="1"/>
    <col min="8464" max="8467" width="7.85546875" style="193" customWidth="1"/>
    <col min="8468" max="8704" width="11.5703125" style="193"/>
    <col min="8705" max="8705" width="14" style="193" bestFit="1" customWidth="1"/>
    <col min="8706" max="8710" width="8.28515625" style="193" customWidth="1"/>
    <col min="8711" max="8711" width="7.42578125" style="193" customWidth="1"/>
    <col min="8712" max="8717" width="7" style="193" customWidth="1"/>
    <col min="8718" max="8718" width="0" style="193" hidden="1" customWidth="1"/>
    <col min="8719" max="8719" width="9.42578125" style="193" bestFit="1" customWidth="1"/>
    <col min="8720" max="8723" width="7.85546875" style="193" customWidth="1"/>
    <col min="8724" max="8960" width="11.5703125" style="193"/>
    <col min="8961" max="8961" width="14" style="193" bestFit="1" customWidth="1"/>
    <col min="8962" max="8966" width="8.28515625" style="193" customWidth="1"/>
    <col min="8967" max="8967" width="7.42578125" style="193" customWidth="1"/>
    <col min="8968" max="8973" width="7" style="193" customWidth="1"/>
    <col min="8974" max="8974" width="0" style="193" hidden="1" customWidth="1"/>
    <col min="8975" max="8975" width="9.42578125" style="193" bestFit="1" customWidth="1"/>
    <col min="8976" max="8979" width="7.85546875" style="193" customWidth="1"/>
    <col min="8980" max="9216" width="11.5703125" style="193"/>
    <col min="9217" max="9217" width="14" style="193" bestFit="1" customWidth="1"/>
    <col min="9218" max="9222" width="8.28515625" style="193" customWidth="1"/>
    <col min="9223" max="9223" width="7.42578125" style="193" customWidth="1"/>
    <col min="9224" max="9229" width="7" style="193" customWidth="1"/>
    <col min="9230" max="9230" width="0" style="193" hidden="1" customWidth="1"/>
    <col min="9231" max="9231" width="9.42578125" style="193" bestFit="1" customWidth="1"/>
    <col min="9232" max="9235" width="7.85546875" style="193" customWidth="1"/>
    <col min="9236" max="9472" width="11.5703125" style="193"/>
    <col min="9473" max="9473" width="14" style="193" bestFit="1" customWidth="1"/>
    <col min="9474" max="9478" width="8.28515625" style="193" customWidth="1"/>
    <col min="9479" max="9479" width="7.42578125" style="193" customWidth="1"/>
    <col min="9480" max="9485" width="7" style="193" customWidth="1"/>
    <col min="9486" max="9486" width="0" style="193" hidden="1" customWidth="1"/>
    <col min="9487" max="9487" width="9.42578125" style="193" bestFit="1" customWidth="1"/>
    <col min="9488" max="9491" width="7.85546875" style="193" customWidth="1"/>
    <col min="9492" max="9728" width="11.5703125" style="193"/>
    <col min="9729" max="9729" width="14" style="193" bestFit="1" customWidth="1"/>
    <col min="9730" max="9734" width="8.28515625" style="193" customWidth="1"/>
    <col min="9735" max="9735" width="7.42578125" style="193" customWidth="1"/>
    <col min="9736" max="9741" width="7" style="193" customWidth="1"/>
    <col min="9742" max="9742" width="0" style="193" hidden="1" customWidth="1"/>
    <col min="9743" max="9743" width="9.42578125" style="193" bestFit="1" customWidth="1"/>
    <col min="9744" max="9747" width="7.85546875" style="193" customWidth="1"/>
    <col min="9748" max="9984" width="11.5703125" style="193"/>
    <col min="9985" max="9985" width="14" style="193" bestFit="1" customWidth="1"/>
    <col min="9986" max="9990" width="8.28515625" style="193" customWidth="1"/>
    <col min="9991" max="9991" width="7.42578125" style="193" customWidth="1"/>
    <col min="9992" max="9997" width="7" style="193" customWidth="1"/>
    <col min="9998" max="9998" width="0" style="193" hidden="1" customWidth="1"/>
    <col min="9999" max="9999" width="9.42578125" style="193" bestFit="1" customWidth="1"/>
    <col min="10000" max="10003" width="7.85546875" style="193" customWidth="1"/>
    <col min="10004" max="10240" width="11.5703125" style="193"/>
    <col min="10241" max="10241" width="14" style="193" bestFit="1" customWidth="1"/>
    <col min="10242" max="10246" width="8.28515625" style="193" customWidth="1"/>
    <col min="10247" max="10247" width="7.42578125" style="193" customWidth="1"/>
    <col min="10248" max="10253" width="7" style="193" customWidth="1"/>
    <col min="10254" max="10254" width="0" style="193" hidden="1" customWidth="1"/>
    <col min="10255" max="10255" width="9.42578125" style="193" bestFit="1" customWidth="1"/>
    <col min="10256" max="10259" width="7.85546875" style="193" customWidth="1"/>
    <col min="10260" max="10496" width="11.5703125" style="193"/>
    <col min="10497" max="10497" width="14" style="193" bestFit="1" customWidth="1"/>
    <col min="10498" max="10502" width="8.28515625" style="193" customWidth="1"/>
    <col min="10503" max="10503" width="7.42578125" style="193" customWidth="1"/>
    <col min="10504" max="10509" width="7" style="193" customWidth="1"/>
    <col min="10510" max="10510" width="0" style="193" hidden="1" customWidth="1"/>
    <col min="10511" max="10511" width="9.42578125" style="193" bestFit="1" customWidth="1"/>
    <col min="10512" max="10515" width="7.85546875" style="193" customWidth="1"/>
    <col min="10516" max="10752" width="11.5703125" style="193"/>
    <col min="10753" max="10753" width="14" style="193" bestFit="1" customWidth="1"/>
    <col min="10754" max="10758" width="8.28515625" style="193" customWidth="1"/>
    <col min="10759" max="10759" width="7.42578125" style="193" customWidth="1"/>
    <col min="10760" max="10765" width="7" style="193" customWidth="1"/>
    <col min="10766" max="10766" width="0" style="193" hidden="1" customWidth="1"/>
    <col min="10767" max="10767" width="9.42578125" style="193" bestFit="1" customWidth="1"/>
    <col min="10768" max="10771" width="7.85546875" style="193" customWidth="1"/>
    <col min="10772" max="11008" width="11.5703125" style="193"/>
    <col min="11009" max="11009" width="14" style="193" bestFit="1" customWidth="1"/>
    <col min="11010" max="11014" width="8.28515625" style="193" customWidth="1"/>
    <col min="11015" max="11015" width="7.42578125" style="193" customWidth="1"/>
    <col min="11016" max="11021" width="7" style="193" customWidth="1"/>
    <col min="11022" max="11022" width="0" style="193" hidden="1" customWidth="1"/>
    <col min="11023" max="11023" width="9.42578125" style="193" bestFit="1" customWidth="1"/>
    <col min="11024" max="11027" width="7.85546875" style="193" customWidth="1"/>
    <col min="11028" max="11264" width="11.5703125" style="193"/>
    <col min="11265" max="11265" width="14" style="193" bestFit="1" customWidth="1"/>
    <col min="11266" max="11270" width="8.28515625" style="193" customWidth="1"/>
    <col min="11271" max="11271" width="7.42578125" style="193" customWidth="1"/>
    <col min="11272" max="11277" width="7" style="193" customWidth="1"/>
    <col min="11278" max="11278" width="0" style="193" hidden="1" customWidth="1"/>
    <col min="11279" max="11279" width="9.42578125" style="193" bestFit="1" customWidth="1"/>
    <col min="11280" max="11283" width="7.85546875" style="193" customWidth="1"/>
    <col min="11284" max="11520" width="11.5703125" style="193"/>
    <col min="11521" max="11521" width="14" style="193" bestFit="1" customWidth="1"/>
    <col min="11522" max="11526" width="8.28515625" style="193" customWidth="1"/>
    <col min="11527" max="11527" width="7.42578125" style="193" customWidth="1"/>
    <col min="11528" max="11533" width="7" style="193" customWidth="1"/>
    <col min="11534" max="11534" width="0" style="193" hidden="1" customWidth="1"/>
    <col min="11535" max="11535" width="9.42578125" style="193" bestFit="1" customWidth="1"/>
    <col min="11536" max="11539" width="7.85546875" style="193" customWidth="1"/>
    <col min="11540" max="11776" width="11.5703125" style="193"/>
    <col min="11777" max="11777" width="14" style="193" bestFit="1" customWidth="1"/>
    <col min="11778" max="11782" width="8.28515625" style="193" customWidth="1"/>
    <col min="11783" max="11783" width="7.42578125" style="193" customWidth="1"/>
    <col min="11784" max="11789" width="7" style="193" customWidth="1"/>
    <col min="11790" max="11790" width="0" style="193" hidden="1" customWidth="1"/>
    <col min="11791" max="11791" width="9.42578125" style="193" bestFit="1" customWidth="1"/>
    <col min="11792" max="11795" width="7.85546875" style="193" customWidth="1"/>
    <col min="11796" max="12032" width="11.5703125" style="193"/>
    <col min="12033" max="12033" width="14" style="193" bestFit="1" customWidth="1"/>
    <col min="12034" max="12038" width="8.28515625" style="193" customWidth="1"/>
    <col min="12039" max="12039" width="7.42578125" style="193" customWidth="1"/>
    <col min="12040" max="12045" width="7" style="193" customWidth="1"/>
    <col min="12046" max="12046" width="0" style="193" hidden="1" customWidth="1"/>
    <col min="12047" max="12047" width="9.42578125" style="193" bestFit="1" customWidth="1"/>
    <col min="12048" max="12051" width="7.85546875" style="193" customWidth="1"/>
    <col min="12052" max="12288" width="11.5703125" style="193"/>
    <col min="12289" max="12289" width="14" style="193" bestFit="1" customWidth="1"/>
    <col min="12290" max="12294" width="8.28515625" style="193" customWidth="1"/>
    <col min="12295" max="12295" width="7.42578125" style="193" customWidth="1"/>
    <col min="12296" max="12301" width="7" style="193" customWidth="1"/>
    <col min="12302" max="12302" width="0" style="193" hidden="1" customWidth="1"/>
    <col min="12303" max="12303" width="9.42578125" style="193" bestFit="1" customWidth="1"/>
    <col min="12304" max="12307" width="7.85546875" style="193" customWidth="1"/>
    <col min="12308" max="12544" width="11.5703125" style="193"/>
    <col min="12545" max="12545" width="14" style="193" bestFit="1" customWidth="1"/>
    <col min="12546" max="12550" width="8.28515625" style="193" customWidth="1"/>
    <col min="12551" max="12551" width="7.42578125" style="193" customWidth="1"/>
    <col min="12552" max="12557" width="7" style="193" customWidth="1"/>
    <col min="12558" max="12558" width="0" style="193" hidden="1" customWidth="1"/>
    <col min="12559" max="12559" width="9.42578125" style="193" bestFit="1" customWidth="1"/>
    <col min="12560" max="12563" width="7.85546875" style="193" customWidth="1"/>
    <col min="12564" max="12800" width="11.5703125" style="193"/>
    <col min="12801" max="12801" width="14" style="193" bestFit="1" customWidth="1"/>
    <col min="12802" max="12806" width="8.28515625" style="193" customWidth="1"/>
    <col min="12807" max="12807" width="7.42578125" style="193" customWidth="1"/>
    <col min="12808" max="12813" width="7" style="193" customWidth="1"/>
    <col min="12814" max="12814" width="0" style="193" hidden="1" customWidth="1"/>
    <col min="12815" max="12815" width="9.42578125" style="193" bestFit="1" customWidth="1"/>
    <col min="12816" max="12819" width="7.85546875" style="193" customWidth="1"/>
    <col min="12820" max="13056" width="11.5703125" style="193"/>
    <col min="13057" max="13057" width="14" style="193" bestFit="1" customWidth="1"/>
    <col min="13058" max="13062" width="8.28515625" style="193" customWidth="1"/>
    <col min="13063" max="13063" width="7.42578125" style="193" customWidth="1"/>
    <col min="13064" max="13069" width="7" style="193" customWidth="1"/>
    <col min="13070" max="13070" width="0" style="193" hidden="1" customWidth="1"/>
    <col min="13071" max="13071" width="9.42578125" style="193" bestFit="1" customWidth="1"/>
    <col min="13072" max="13075" width="7.85546875" style="193" customWidth="1"/>
    <col min="13076" max="13312" width="11.5703125" style="193"/>
    <col min="13313" max="13313" width="14" style="193" bestFit="1" customWidth="1"/>
    <col min="13314" max="13318" width="8.28515625" style="193" customWidth="1"/>
    <col min="13319" max="13319" width="7.42578125" style="193" customWidth="1"/>
    <col min="13320" max="13325" width="7" style="193" customWidth="1"/>
    <col min="13326" max="13326" width="0" style="193" hidden="1" customWidth="1"/>
    <col min="13327" max="13327" width="9.42578125" style="193" bestFit="1" customWidth="1"/>
    <col min="13328" max="13331" width="7.85546875" style="193" customWidth="1"/>
    <col min="13332" max="13568" width="11.5703125" style="193"/>
    <col min="13569" max="13569" width="14" style="193" bestFit="1" customWidth="1"/>
    <col min="13570" max="13574" width="8.28515625" style="193" customWidth="1"/>
    <col min="13575" max="13575" width="7.42578125" style="193" customWidth="1"/>
    <col min="13576" max="13581" width="7" style="193" customWidth="1"/>
    <col min="13582" max="13582" width="0" style="193" hidden="1" customWidth="1"/>
    <col min="13583" max="13583" width="9.42578125" style="193" bestFit="1" customWidth="1"/>
    <col min="13584" max="13587" width="7.85546875" style="193" customWidth="1"/>
    <col min="13588" max="13824" width="11.5703125" style="193"/>
    <col min="13825" max="13825" width="14" style="193" bestFit="1" customWidth="1"/>
    <col min="13826" max="13830" width="8.28515625" style="193" customWidth="1"/>
    <col min="13831" max="13831" width="7.42578125" style="193" customWidth="1"/>
    <col min="13832" max="13837" width="7" style="193" customWidth="1"/>
    <col min="13838" max="13838" width="0" style="193" hidden="1" customWidth="1"/>
    <col min="13839" max="13839" width="9.42578125" style="193" bestFit="1" customWidth="1"/>
    <col min="13840" max="13843" width="7.85546875" style="193" customWidth="1"/>
    <col min="13844" max="14080" width="11.5703125" style="193"/>
    <col min="14081" max="14081" width="14" style="193" bestFit="1" customWidth="1"/>
    <col min="14082" max="14086" width="8.28515625" style="193" customWidth="1"/>
    <col min="14087" max="14087" width="7.42578125" style="193" customWidth="1"/>
    <col min="14088" max="14093" width="7" style="193" customWidth="1"/>
    <col min="14094" max="14094" width="0" style="193" hidden="1" customWidth="1"/>
    <col min="14095" max="14095" width="9.42578125" style="193" bestFit="1" customWidth="1"/>
    <col min="14096" max="14099" width="7.85546875" style="193" customWidth="1"/>
    <col min="14100" max="14336" width="11.5703125" style="193"/>
    <col min="14337" max="14337" width="14" style="193" bestFit="1" customWidth="1"/>
    <col min="14338" max="14342" width="8.28515625" style="193" customWidth="1"/>
    <col min="14343" max="14343" width="7.42578125" style="193" customWidth="1"/>
    <col min="14344" max="14349" width="7" style="193" customWidth="1"/>
    <col min="14350" max="14350" width="0" style="193" hidden="1" customWidth="1"/>
    <col min="14351" max="14351" width="9.42578125" style="193" bestFit="1" customWidth="1"/>
    <col min="14352" max="14355" width="7.85546875" style="193" customWidth="1"/>
    <col min="14356" max="14592" width="11.5703125" style="193"/>
    <col min="14593" max="14593" width="14" style="193" bestFit="1" customWidth="1"/>
    <col min="14594" max="14598" width="8.28515625" style="193" customWidth="1"/>
    <col min="14599" max="14599" width="7.42578125" style="193" customWidth="1"/>
    <col min="14600" max="14605" width="7" style="193" customWidth="1"/>
    <col min="14606" max="14606" width="0" style="193" hidden="1" customWidth="1"/>
    <col min="14607" max="14607" width="9.42578125" style="193" bestFit="1" customWidth="1"/>
    <col min="14608" max="14611" width="7.85546875" style="193" customWidth="1"/>
    <col min="14612" max="14848" width="11.5703125" style="193"/>
    <col min="14849" max="14849" width="14" style="193" bestFit="1" customWidth="1"/>
    <col min="14850" max="14854" width="8.28515625" style="193" customWidth="1"/>
    <col min="14855" max="14855" width="7.42578125" style="193" customWidth="1"/>
    <col min="14856" max="14861" width="7" style="193" customWidth="1"/>
    <col min="14862" max="14862" width="0" style="193" hidden="1" customWidth="1"/>
    <col min="14863" max="14863" width="9.42578125" style="193" bestFit="1" customWidth="1"/>
    <col min="14864" max="14867" width="7.85546875" style="193" customWidth="1"/>
    <col min="14868" max="15104" width="11.5703125" style="193"/>
    <col min="15105" max="15105" width="14" style="193" bestFit="1" customWidth="1"/>
    <col min="15106" max="15110" width="8.28515625" style="193" customWidth="1"/>
    <col min="15111" max="15111" width="7.42578125" style="193" customWidth="1"/>
    <col min="15112" max="15117" width="7" style="193" customWidth="1"/>
    <col min="15118" max="15118" width="0" style="193" hidden="1" customWidth="1"/>
    <col min="15119" max="15119" width="9.42578125" style="193" bestFit="1" customWidth="1"/>
    <col min="15120" max="15123" width="7.85546875" style="193" customWidth="1"/>
    <col min="15124" max="15360" width="11.5703125" style="193"/>
    <col min="15361" max="15361" width="14" style="193" bestFit="1" customWidth="1"/>
    <col min="15362" max="15366" width="8.28515625" style="193" customWidth="1"/>
    <col min="15367" max="15367" width="7.42578125" style="193" customWidth="1"/>
    <col min="15368" max="15373" width="7" style="193" customWidth="1"/>
    <col min="15374" max="15374" width="0" style="193" hidden="1" customWidth="1"/>
    <col min="15375" max="15375" width="9.42578125" style="193" bestFit="1" customWidth="1"/>
    <col min="15376" max="15379" width="7.85546875" style="193" customWidth="1"/>
    <col min="15380" max="15616" width="11.5703125" style="193"/>
    <col min="15617" max="15617" width="14" style="193" bestFit="1" customWidth="1"/>
    <col min="15618" max="15622" width="8.28515625" style="193" customWidth="1"/>
    <col min="15623" max="15623" width="7.42578125" style="193" customWidth="1"/>
    <col min="15624" max="15629" width="7" style="193" customWidth="1"/>
    <col min="15630" max="15630" width="0" style="193" hidden="1" customWidth="1"/>
    <col min="15631" max="15631" width="9.42578125" style="193" bestFit="1" customWidth="1"/>
    <col min="15632" max="15635" width="7.85546875" style="193" customWidth="1"/>
    <col min="15636" max="15872" width="11.5703125" style="193"/>
    <col min="15873" max="15873" width="14" style="193" bestFit="1" customWidth="1"/>
    <col min="15874" max="15878" width="8.28515625" style="193" customWidth="1"/>
    <col min="15879" max="15879" width="7.42578125" style="193" customWidth="1"/>
    <col min="15880" max="15885" width="7" style="193" customWidth="1"/>
    <col min="15886" max="15886" width="0" style="193" hidden="1" customWidth="1"/>
    <col min="15887" max="15887" width="9.42578125" style="193" bestFit="1" customWidth="1"/>
    <col min="15888" max="15891" width="7.85546875" style="193" customWidth="1"/>
    <col min="15892" max="16128" width="11.5703125" style="193"/>
    <col min="16129" max="16129" width="14" style="193" bestFit="1" customWidth="1"/>
    <col min="16130" max="16134" width="8.28515625" style="193" customWidth="1"/>
    <col min="16135" max="16135" width="7.42578125" style="193" customWidth="1"/>
    <col min="16136" max="16141" width="7" style="193" customWidth="1"/>
    <col min="16142" max="16142" width="0" style="193" hidden="1" customWidth="1"/>
    <col min="16143" max="16143" width="9.42578125" style="193" bestFit="1" customWidth="1"/>
    <col min="16144" max="16147" width="7.85546875" style="193" customWidth="1"/>
    <col min="16148" max="16384" width="11.5703125" style="193"/>
  </cols>
  <sheetData>
    <row r="1" spans="1:23" s="191" customFormat="1" ht="51" customHeight="1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6" t="str">
        <f>IF(R1="English","Appendix:","Priloga:")</f>
        <v>Appendix:</v>
      </c>
      <c r="M1" s="187" t="s">
        <v>328</v>
      </c>
      <c r="N1" s="185"/>
      <c r="O1" s="188" t="s">
        <v>329</v>
      </c>
      <c r="P1" s="185"/>
      <c r="Q1" s="189" t="s">
        <v>330</v>
      </c>
      <c r="R1" s="190" t="s">
        <v>331</v>
      </c>
      <c r="S1" s="185"/>
      <c r="T1" s="185"/>
      <c r="U1" s="185"/>
      <c r="V1" s="185"/>
      <c r="W1" s="185"/>
    </row>
    <row r="2" spans="1:23" ht="51.75" customHeight="1">
      <c r="A2" s="430" t="str">
        <f>IF(R1="English","Accuracy Calculation according to the European Specifications for WIM (COST 323)","Račun točnosti po Evropskih specifikacijah za WIM meritve (COST 323)")</f>
        <v>Accuracy Calculation according to the European Specifications for WIM (COST 323)</v>
      </c>
      <c r="B2" s="430" t="str">
        <f>IF([1]Import!$B$4="English","Site:","Lokacija:")</f>
        <v>Site:</v>
      </c>
      <c r="C2" s="430" t="str">
        <f>IF([1]Import!$B$4="English","Site:","Lokacija:")</f>
        <v>Site:</v>
      </c>
      <c r="D2" s="430" t="str">
        <f>IF([1]Import!$B$4="English","Site:","Lokacija:")</f>
        <v>Site:</v>
      </c>
      <c r="E2" s="430" t="str">
        <f>IF([1]Import!$B$4="English","Site:","Lokacija:")</f>
        <v>Site:</v>
      </c>
      <c r="F2" s="430" t="str">
        <f>IF([1]Import!$B$4="English","Site:","Lokacija:")</f>
        <v>Site:</v>
      </c>
      <c r="G2" s="430" t="str">
        <f>IF([1]Import!$B$4="English","Site:","Lokacija:")</f>
        <v>Site:</v>
      </c>
      <c r="H2" s="430" t="str">
        <f>IF([1]Import!$B$4="English","Site:","Lokacija:")</f>
        <v>Site:</v>
      </c>
      <c r="I2" s="430" t="str">
        <f>IF([1]Import!$B$4="English","Site:","Lokacija:")</f>
        <v>Site:</v>
      </c>
      <c r="J2" s="430" t="str">
        <f>IF([1]Import!$B$4="English","Site:","Lokacija:")</f>
        <v>Site:</v>
      </c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</row>
    <row r="3" spans="1:23" ht="50.25" customHeight="1">
      <c r="A3" s="192"/>
      <c r="B3" s="192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</row>
    <row r="4" spans="1:23" ht="18" customHeight="1">
      <c r="A4" s="194" t="str">
        <f>IF(R1="English","Site:","Lokacija:")</f>
        <v>Site:</v>
      </c>
      <c r="B4" s="194"/>
      <c r="C4" s="400"/>
      <c r="D4" s="431"/>
      <c r="E4" s="431"/>
      <c r="F4" s="431"/>
      <c r="G4" s="431"/>
      <c r="H4" s="194" t="str">
        <f>IF(R1="English","Road Section:","Cestni odsek:")</f>
        <v>Road Section:</v>
      </c>
      <c r="I4" s="194"/>
      <c r="J4" s="432"/>
      <c r="K4" s="432"/>
      <c r="L4" s="432"/>
      <c r="M4" s="432"/>
      <c r="N4" s="432"/>
      <c r="O4" s="432"/>
      <c r="P4" s="192"/>
      <c r="Q4" s="192"/>
      <c r="R4" s="192"/>
      <c r="S4" s="439"/>
      <c r="T4" s="439"/>
      <c r="U4" s="439"/>
      <c r="V4" s="192"/>
      <c r="W4" s="192"/>
    </row>
    <row r="5" spans="1:23" ht="18" customHeight="1">
      <c r="A5" s="194" t="str">
        <f>IF(R1="English","Lane:","Prometni pas:")</f>
        <v>Lane:</v>
      </c>
      <c r="B5" s="194"/>
      <c r="C5" s="196"/>
      <c r="D5" s="400"/>
      <c r="E5" s="194"/>
      <c r="F5" s="194"/>
      <c r="G5" s="194"/>
      <c r="H5" s="194" t="str">
        <f>IF(R1="English","Direction to:","Smer proti:")</f>
        <v>Direction to:</v>
      </c>
      <c r="I5" s="194"/>
      <c r="J5" s="431"/>
      <c r="K5" s="431"/>
      <c r="L5" s="431"/>
      <c r="M5" s="431"/>
      <c r="N5" s="431"/>
      <c r="O5" s="431"/>
      <c r="P5" s="192"/>
      <c r="Q5" s="401"/>
      <c r="R5" s="401"/>
      <c r="S5" s="401"/>
      <c r="T5" s="401"/>
      <c r="U5" s="401"/>
      <c r="V5" s="192"/>
      <c r="W5" s="192"/>
    </row>
    <row r="6" spans="1:23" ht="18" customHeight="1">
      <c r="A6" s="194" t="str">
        <f>IF(R1="English","Date(s) of measurement:","Datum(i) meritve:")</f>
        <v>Date(s) of measurement:</v>
      </c>
      <c r="B6" s="194"/>
      <c r="C6" s="198"/>
      <c r="D6" s="447">
        <v>42949</v>
      </c>
      <c r="E6" s="447"/>
      <c r="F6" s="447"/>
      <c r="G6" s="447">
        <v>42949</v>
      </c>
      <c r="H6" s="447"/>
      <c r="I6" s="447"/>
      <c r="J6" s="448"/>
      <c r="K6" s="448"/>
      <c r="L6" s="448"/>
      <c r="M6" s="199"/>
      <c r="N6" s="199"/>
      <c r="O6" s="194"/>
      <c r="P6" s="192"/>
      <c r="Q6" s="192"/>
      <c r="R6" s="192"/>
      <c r="S6" s="200"/>
      <c r="T6" s="200"/>
      <c r="U6" s="200"/>
      <c r="V6" s="192"/>
      <c r="W6" s="192"/>
    </row>
    <row r="7" spans="1:23" ht="18" customHeight="1">
      <c r="A7" s="194" t="str">
        <f>IF(R1="English","Test Conditions(1):","Pogoji testa(1):")</f>
        <v>Test Conditions(1):</v>
      </c>
      <c r="B7" s="194"/>
      <c r="C7" s="201" t="str">
        <f>VLOOKUP(D7,B42:O45,14,0)</f>
        <v>rr2</v>
      </c>
      <c r="D7" s="440" t="s">
        <v>332</v>
      </c>
      <c r="E7" s="440"/>
      <c r="F7" s="440"/>
      <c r="G7" s="440"/>
      <c r="H7" s="440"/>
      <c r="I7" s="440"/>
      <c r="J7" s="440"/>
      <c r="K7" s="440"/>
      <c r="L7" s="440"/>
      <c r="M7" s="440"/>
      <c r="N7" s="440"/>
      <c r="O7" s="440"/>
      <c r="P7" s="192"/>
      <c r="Q7" s="192"/>
      <c r="R7" s="192"/>
      <c r="S7" s="192"/>
      <c r="T7" s="192"/>
      <c r="U7" s="192"/>
      <c r="V7" s="192"/>
      <c r="W7" s="192"/>
    </row>
    <row r="8" spans="1:23" ht="18" customHeight="1">
      <c r="A8" s="194" t="str">
        <f>IF(R1="English","Environmental Conditions(2):","Pogoji okolja(2):")</f>
        <v>Environmental Conditions(2):</v>
      </c>
      <c r="B8" s="194"/>
      <c r="C8" s="201" t="str">
        <f>VLOOKUP(D8,B46:O48,14,0)</f>
        <v>I</v>
      </c>
      <c r="D8" s="440" t="s">
        <v>333</v>
      </c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192"/>
      <c r="Q8" s="192"/>
      <c r="R8" s="192"/>
      <c r="S8" s="192"/>
      <c r="T8" s="192"/>
      <c r="U8" s="192"/>
      <c r="V8" s="192"/>
      <c r="W8" s="192"/>
    </row>
    <row r="9" spans="1:23" ht="18" customHeight="1">
      <c r="A9" s="194" t="str">
        <f>IF(R1="English","Initial Calibration:","Začetna kalibracija:")</f>
        <v>Initial Calibration:</v>
      </c>
      <c r="B9" s="194"/>
      <c r="C9" s="202" t="b">
        <v>1</v>
      </c>
      <c r="D9" s="194" t="s">
        <v>334</v>
      </c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2"/>
      <c r="Q9" s="192"/>
      <c r="R9" s="192"/>
      <c r="S9" s="192"/>
      <c r="T9" s="192"/>
      <c r="U9" s="192"/>
      <c r="V9" s="192"/>
      <c r="W9" s="192"/>
    </row>
    <row r="10" spans="1:23" ht="36" customHeight="1" thickBot="1">
      <c r="A10" s="194" t="s">
        <v>335</v>
      </c>
      <c r="B10" s="203"/>
      <c r="C10" s="204"/>
      <c r="D10" s="205" t="s">
        <v>336</v>
      </c>
      <c r="E10" s="206"/>
      <c r="F10" s="207"/>
      <c r="G10" s="208"/>
      <c r="H10" s="207"/>
      <c r="I10" s="207"/>
      <c r="J10" s="207"/>
      <c r="K10" s="207"/>
      <c r="L10" s="207"/>
      <c r="M10" s="207"/>
      <c r="N10" s="207"/>
      <c r="O10" s="209"/>
      <c r="P10" s="192"/>
      <c r="Q10" s="210"/>
      <c r="R10" s="192"/>
      <c r="S10" s="192"/>
      <c r="T10" s="192"/>
      <c r="U10" s="192"/>
      <c r="V10" s="192"/>
      <c r="W10" s="192"/>
    </row>
    <row r="11" spans="1:23" ht="18" customHeight="1">
      <c r="A11" s="441" t="str">
        <f>IF(R1="English","QUANTITY","KOLIČINA")</f>
        <v>QUANTITY</v>
      </c>
      <c r="B11" s="441" t="str">
        <f>IF(R1="English","Size","Število")</f>
        <v>Size</v>
      </c>
      <c r="C11" s="211" t="s">
        <v>337</v>
      </c>
      <c r="D11" s="212" t="str">
        <f>IF(R1="English","Mean","Sr. Vred.")</f>
        <v>Mean</v>
      </c>
      <c r="E11" s="212" t="str">
        <f>IF(R1="English","St.Dev.","St.Odk..")</f>
        <v>St.Dev.</v>
      </c>
      <c r="F11" s="213" t="s">
        <v>338</v>
      </c>
      <c r="G11" s="441" t="str">
        <f>IF(R1="English","Class","Razred")</f>
        <v>Class</v>
      </c>
      <c r="H11" s="214" t="s">
        <v>339</v>
      </c>
      <c r="I11" s="212" t="s">
        <v>340</v>
      </c>
      <c r="J11" s="215" t="s">
        <v>341</v>
      </c>
      <c r="K11" s="443" t="s">
        <v>342</v>
      </c>
      <c r="L11" s="216" t="s">
        <v>343</v>
      </c>
      <c r="M11" s="213" t="s">
        <v>344</v>
      </c>
      <c r="N11" s="217" t="s">
        <v>345</v>
      </c>
      <c r="O11" s="445" t="str">
        <f>IF(R1="English","Accepted Class","Privzeti Razred")</f>
        <v>Accepted Class</v>
      </c>
      <c r="P11" s="192"/>
      <c r="Q11" s="218"/>
      <c r="R11" s="192"/>
      <c r="S11" s="192"/>
      <c r="T11" s="192"/>
      <c r="U11" s="192"/>
      <c r="V11" s="192"/>
      <c r="W11" s="192"/>
    </row>
    <row r="12" spans="1:23" ht="15.75" thickBot="1">
      <c r="A12" s="442" t="str">
        <f>IF([1]Import!$B$4="English","Site:","Lokacija:")</f>
        <v>Site:</v>
      </c>
      <c r="B12" s="442" t="str">
        <f>IF([1]Import!$B$4="English","Site:","Lokacija:")</f>
        <v>Site:</v>
      </c>
      <c r="C12" s="219" t="s">
        <v>50</v>
      </c>
      <c r="D12" s="220" t="s">
        <v>50</v>
      </c>
      <c r="E12" s="220" t="s">
        <v>50</v>
      </c>
      <c r="F12" s="404" t="s">
        <v>50</v>
      </c>
      <c r="G12" s="442" t="str">
        <f>IF([1]Import!$B$4="English","Site:","Lokacija:")</f>
        <v>Site:</v>
      </c>
      <c r="H12" s="219" t="s">
        <v>50</v>
      </c>
      <c r="I12" s="220" t="s">
        <v>50</v>
      </c>
      <c r="J12" s="220" t="s">
        <v>50</v>
      </c>
      <c r="K12" s="444"/>
      <c r="L12" s="219" t="s">
        <v>50</v>
      </c>
      <c r="M12" s="404" t="s">
        <v>50</v>
      </c>
      <c r="N12" s="222" t="s">
        <v>50</v>
      </c>
      <c r="O12" s="446" t="str">
        <f>IF([1]Import!$B$4="English","Site:","Lokacija:")</f>
        <v>Site:</v>
      </c>
      <c r="P12" s="192"/>
      <c r="Q12" s="218"/>
      <c r="R12" s="192"/>
      <c r="S12" s="192"/>
      <c r="T12" s="192"/>
      <c r="U12" s="192"/>
      <c r="V12" s="192"/>
      <c r="W12" s="192"/>
    </row>
    <row r="13" spans="1:23" ht="15" customHeight="1" thickBot="1">
      <c r="A13" s="402" t="str">
        <f>IF(R1="English","GVW","Skupna masa")</f>
        <v>GVW</v>
      </c>
      <c r="B13" s="224">
        <f>Site_PLtraf_new_2!AY5</f>
        <v>29</v>
      </c>
      <c r="C13" s="225">
        <v>1</v>
      </c>
      <c r="D13" s="226">
        <f>'Site_PLtraf_new_2 (2)'!AY6*100</f>
        <v>-1.3106478305807277E-2</v>
      </c>
      <c r="E13" s="227">
        <f>'Site_PLtraf_new_2 (2)'!AY7*100</f>
        <v>4.9481661411745268</v>
      </c>
      <c r="F13" s="228">
        <f>IF(D10&lt;&gt;"COST 323",D10*100,100*(2*NORMDIST(IF(C7="r1",2.675/IF($C$8="III",1.1,IF($C$8="II",1.05,1)),IF(C7="r2",2.36/IF($C$8="III",1.1,IF($C$8="II",1.05,1)),IF(C7="RR1",2.155/IF($C$8="III",1.1,IF($C$8="II",1.05,1)),IF(C7="RR2",2/IF($C$8="III",1.1,IF($C$8="II",1.05,1)),0))))-TINV(0.05,B13-1)/SQRT(B13),0,1,TRUE) -1))</f>
        <v>89.468614308904876</v>
      </c>
      <c r="G13" s="229" t="str">
        <f>IF(K13&lt;=5,CONCATENATE("A(",TEXT(K13,"0"),")"),IF(K13&lt;=7,CONCATENATE("B+(",TEXT(K13,"0"),")"),IF(K13&lt;=10,CONCATENATE("B(",TEXT(K13,"0"),")"),IF(K13&lt;=15,CONCATENATE("C(",TEXT(K13,"0"),")"),IF(K13&lt;=20,CONCATENATE("D+(",TEXT(K13,"0"),")"),IF(K13&lt;=25,CONCATENATE("D(",TEXT(K13,"0"),")"),CONCATENATE("E(",TEXT(K13,"0"),")")))))))</f>
        <v>C(15)</v>
      </c>
      <c r="H13" s="230">
        <f>K13*(1-$C$9*0.2)</f>
        <v>12</v>
      </c>
      <c r="I13" s="231">
        <v>10.880673242851623</v>
      </c>
      <c r="J13" s="232">
        <f>I13*IF(OR(D$9="No",D$9="Ne"),1,1.25)</f>
        <v>10.880673242851623</v>
      </c>
      <c r="K13" s="233">
        <f>IF(OR(J13&lt;=5,J13&gt;7),ROUNDUP((J13/5),0)*5,7)</f>
        <v>15</v>
      </c>
      <c r="L13" s="230">
        <f>100*(1-TDIST((I13/E13-D13/E13)-TINV(0.05,B13-1)/SQRT(B13),B13-1,1)-TDIST((I13/E13+D13/E13)-TINV(0.05,B13-1)/SQRT(B13),B13-1,1))</f>
        <v>92.030651717233297</v>
      </c>
      <c r="M13" s="234">
        <f>100*(1-TDIST((H13/E13-D13/E13)-TINV(0.05,B13-1)/SQRT(B13),B13-1,1)-TDIST((H13/E13+D13/E13)-TINV(0.05,B13-1)/SQRT(B13),B13-1,1))</f>
        <v>94.961737624311866</v>
      </c>
      <c r="N13" s="235"/>
      <c r="O13" s="436" t="str">
        <f>IF(MAX(K13:K16)&lt;=5,"A(5)",IF(MAX(K13:K16)&lt;=7,"B+(7)",IF(MAX(K13:K16)&lt;=10,"B(10)",IF(MAX(K13:K16)&lt;=15,"C(15)",IF(MAX(K13:K16)&lt;=20,"D+(20)",IF(MAX(K13:K16)&lt;=25,"D(25)",CONCATENATE("E(",MAX(K13:K16),")")))))))</f>
        <v>D+(20)</v>
      </c>
      <c r="P13" s="192"/>
      <c r="Q13" s="218"/>
      <c r="R13" s="192"/>
      <c r="S13" s="192"/>
      <c r="T13" s="192"/>
      <c r="U13" s="192"/>
      <c r="V13" s="192"/>
      <c r="W13" s="192"/>
    </row>
    <row r="14" spans="1:23" ht="15" customHeight="1">
      <c r="A14" s="236" t="str">
        <f>IF(R1="English","Axle Groups","Osi v zapregi")</f>
        <v>Axle Groups</v>
      </c>
      <c r="B14" s="237">
        <f>Site_PLtraf_new_2!BB5</f>
        <v>32</v>
      </c>
      <c r="C14" s="238">
        <v>1</v>
      </c>
      <c r="D14" s="239">
        <f>'Site_PLtraf_new_2 (2)'!BB6*100</f>
        <v>-1.4728239594528465</v>
      </c>
      <c r="E14" s="240">
        <f>'Site_PLtraf_new_2 (2)'!BB7*100</f>
        <v>7.9811741585039453</v>
      </c>
      <c r="F14" s="241">
        <f>IF(D$10&lt;&gt;"COST 323",D$10*100,100*(2*NORMDIST(IF(C$7="r1",2.675/IF($C$8="III",1.1,IF($C$8="II",1.05,1)),IF(C$7="r2",2.36/IF($C$8="III",1.1,IF($C$8="II",1.05,1)),IF(C$7="RR1",2.155/IF($C$8="III",1.1,IF($C$8="II",1.05,1)),IF(C$7="RR2",2/IF($C$8="III",1.1,IF($C$8="II",1.05,1)),0))))-TINV(0.05,B14-1)/SQRT(B14),0,1,TRUE) -1))</f>
        <v>89.888282851777504</v>
      </c>
      <c r="G14" s="242" t="str">
        <f>IF(K14&lt;=5,CONCATENATE("A(",TEXT(K14,"0"),")"),IF(K14&lt;=7,CONCATENATE("B+(",TEXT(K14,"0"),")"),IF(K14&lt;=10,CONCATENATE("B(",TEXT(K14,"0"),")"),IF(K14&lt;=15,CONCATENATE("C(",TEXT(K14,"0"),")"),IF(K14&lt;=20,CONCATENATE("D+(",TEXT(K14,"0"),")"),IF(K14&lt;=25,CONCATENATE("D(",TEXT(K14,"0"),")"),CONCATENATE("E(",TEXT(K14,"0"),")")))))))</f>
        <v>C(15)</v>
      </c>
      <c r="H14" s="243">
        <f>IF(K14&lt;7,K14/0.7,IF(K14&lt;30,K14+3,IF(K14&lt;35,K14*1.2-3,K14+4)))*(1-$C$9*0.2)</f>
        <v>14.4</v>
      </c>
      <c r="I14" s="244">
        <v>16.960771343743026</v>
      </c>
      <c r="J14" s="245">
        <f>IF(I14&lt;10,0.7*I14*IF(OR(D$9="No",D$9="Ne"),1,1.25),I14*IF(OR(D$9="No",D$9="Ne"),1,1.25)-3)</f>
        <v>13.960771343743026</v>
      </c>
      <c r="K14" s="246">
        <f>IF(OR(J14&lt;=5,J14&gt;7),ROUNDUP((J14/5),0)*5,7)</f>
        <v>15</v>
      </c>
      <c r="L14" s="243">
        <f>100*(1-TDIST((I14/E14-D14/E14)-TINV(0.05,B14-1)/SQRT(B14),B14-1,1)-TDIST((I14/E14+D14/E14)-TINV(0.05,B14-1)/SQRT(B14),B14-1,1))</f>
        <v>90.768243616006345</v>
      </c>
      <c r="M14" s="247">
        <f>100*(1-TDIST((H14/E14-D14/E14)-TINV(0.05,B14-1)/SQRT(B14),B14-1,1)-TDIST((H14/E14+D14/E14)-TINV(0.05,B14-1)/SQRT(B14),B14-1,1))</f>
        <v>83.451827843169298</v>
      </c>
      <c r="N14" s="248">
        <v>96.503494262695313</v>
      </c>
      <c r="O14" s="437"/>
      <c r="P14" s="249"/>
      <c r="Q14" s="218"/>
      <c r="R14" s="192"/>
      <c r="S14" s="192"/>
      <c r="T14" s="192"/>
      <c r="U14" s="192"/>
      <c r="V14" s="192"/>
      <c r="W14" s="192"/>
    </row>
    <row r="15" spans="1:23" ht="15" customHeight="1">
      <c r="A15" s="250" t="str">
        <f>IF(R1="English","Axles in Groups","Osi iz zaprege")</f>
        <v>Axles in Groups</v>
      </c>
      <c r="B15" s="237">
        <f>Site_PLtraf_new_2!BA5</f>
        <v>85</v>
      </c>
      <c r="C15" s="251">
        <v>1</v>
      </c>
      <c r="D15" s="239">
        <f>'Site_PLtraf_new_2 (2)'!BA6*100</f>
        <v>-1.1748266458913457</v>
      </c>
      <c r="E15" s="240">
        <f>'Site_PLtraf_new_2 (2)'!BA7*100</f>
        <v>7.8110365868263294</v>
      </c>
      <c r="F15" s="241">
        <f>IF(D$10&lt;&gt;"COST 323",D$10*100,100*(2*NORMDIST(IF(C$7="r1",2.675/IF($C$8="III",1.1,IF($C$8="II",1.05,1)),IF(C$7="r2",2.36/IF($C$8="III",1.1,IF($C$8="II",1.05,1)),IF(C$7="RR1",2.155/IF($C$8="III",1.1,IF($C$8="II",1.05,1)),IF(C$7="RR2",2/IF($C$8="III",1.1,IF($C$8="II",1.05,1)),0))))-TINV(0.05,B15-1)/SQRT(B15),0,1,TRUE) -1))</f>
        <v>92.562588132858977</v>
      </c>
      <c r="G15" s="252" t="str">
        <f>IF(K15&lt;=5,CONCATENATE("A(",TEXT(K15,"0"),")"),IF(K15&lt;=7,CONCATENATE("B+(",TEXT(K15,"0"),")"),IF(K15&lt;=10,CONCATENATE("B(",TEXT(K15,"0"),")"),IF(K15&lt;=15,CONCATENATE("C(",TEXT(K15,"0"),")"),IF(K15&lt;=20,CONCATENATE("D+(",TEXT(K15,"0"),")"),IF(K15&lt;=25,CONCATENATE("D(",TEXT(K15,"0"),")"),CONCATENATE("E(",TEXT(K15,"0"),")")))))))</f>
        <v>B(10)</v>
      </c>
      <c r="H15" s="253">
        <f>IF(K15&lt;10,2*K15,IF(K15&lt;25,K15+10,1.2*K15+5))*(1-$C$9*0.2)</f>
        <v>16</v>
      </c>
      <c r="I15" s="254">
        <v>16.471343766011699</v>
      </c>
      <c r="J15" s="255">
        <f>IF(I15&lt;20,I15*IF(OR(D$9="No",D$9="Ne"),1,1.25)/2,(I15*IF(OR(D$9="No",D$9="Ne"),1,1.25)-10))</f>
        <v>8.2356718830058497</v>
      </c>
      <c r="K15" s="256">
        <f>IF(OR(J15&lt;=5,J15&gt;7),ROUNDUP((J15/5),0)*5,7)</f>
        <v>10</v>
      </c>
      <c r="L15" s="253">
        <f>100*(1-TDIST((I15/E15-D15/E15)-TINV(0.05,B15-1)/SQRT(B15),B15-1,1)-TDIST((I15/E15+D15/E15)-TINV(0.05,B15-1)/SQRT(B15),B15-1,1))</f>
        <v>93.539916813815481</v>
      </c>
      <c r="M15" s="257">
        <f>100*(1-TDIST((H15/E15-D15/E15)-TINV(0.05,B15-1)/SQRT(B15),B15-1,1)-TDIST((H15/E15+D15/E15)-TINV(0.05,B15-1)/SQRT(B15),B15-1,1))</f>
        <v>92.657384739681888</v>
      </c>
      <c r="N15" s="258"/>
      <c r="O15" s="437"/>
      <c r="P15" s="249"/>
      <c r="Q15" s="218"/>
      <c r="R15" s="192"/>
      <c r="S15" s="192"/>
      <c r="T15" s="192"/>
      <c r="U15" s="192"/>
      <c r="V15" s="192"/>
      <c r="W15" s="192"/>
    </row>
    <row r="16" spans="1:23" ht="15" customHeight="1">
      <c r="A16" s="403" t="str">
        <f>IF(R1="English","Single Axles","Enojne osi")</f>
        <v>Single Axles</v>
      </c>
      <c r="B16" s="260">
        <f>Site_PLtraf_new_2!AZ5</f>
        <v>54</v>
      </c>
      <c r="C16" s="261">
        <v>1</v>
      </c>
      <c r="D16" s="262">
        <f>'Site_PLtraf_new_2 (2)'!AZ6*100</f>
        <v>-0.23602795891290362</v>
      </c>
      <c r="E16" s="263">
        <f>'Site_PLtraf_new_2 (2)'!AZ7*100</f>
        <v>12.663028391779596</v>
      </c>
      <c r="F16" s="264">
        <f>IF(D10&lt;&gt;"COST 323",D10*100,100*(2*NORMDIST(IF(C7="r1",2.675/IF($C$8="III",1.1,IF($C$8="II",1.05,1)),IF(C7="r2",2.36/IF($C$8="III",1.1,IF($C$8="II",1.05,1)),IF(C7="RR1",2.155/IF($C$8="III",1.1,IF($C$8="II",1.05,1)),IF(C7="RR2",2/IF($C$8="III",1.1,IF($C$8="II",1.05,1)),0))))-TINV(0.05,B16-1)/SQRT(B16),0,1,TRUE) -1))</f>
        <v>91.584177234526635</v>
      </c>
      <c r="G16" s="265" t="str">
        <f>IF(K16&lt;=5,CONCATENATE("A(",TEXT(K16,"0"),")"),IF(K16&lt;=7,CONCATENATE("B+(",TEXT(K16,"0"),")"),IF(K16&lt;=10,CONCATENATE("B(",TEXT(K16,"0"),")"),IF(K16&lt;=15,CONCATENATE("C(",TEXT(K16,"0"),")"),IF(K16&lt;=20,CONCATENATE("D+(",TEXT(K16,"0"),")"),IF(K16&lt;=25,CONCATENATE("D(",TEXT(K16,"0"),")"),CONCATENATE("E(",TEXT(K16,"0"),")")))))))</f>
        <v>D+(20)</v>
      </c>
      <c r="H16" s="266">
        <f>IF(K16&lt;10,K16*(85-K16)/50,IF(K16&lt;25,K16+5,6*K16/5))*(1-$C$9*0.2)</f>
        <v>20</v>
      </c>
      <c r="I16" s="267">
        <v>22.481120907192036</v>
      </c>
      <c r="J16" s="268">
        <f>IF(I16&lt;15,I16*(I16*IF(OR(D$9="No",D$9="Ne"),1,1.25)+97)*IF(OR(D$9="No",D$9="Ne"),1,1.25)/168,I16*IF(OR(D$9="No",D$9="Ne"),1,1.25)-5)</f>
        <v>17.481120907192036</v>
      </c>
      <c r="K16" s="404">
        <f>IF(OR(J16&lt;=5,J16&gt;7),ROUNDUP((J16/5),0)*5,7)</f>
        <v>20</v>
      </c>
      <c r="L16" s="266">
        <f>100*(1-TDIST((I16/E16-D16/E16)-TINV(0.05,B16-1)/SQRT(B16),B16-1,1)-TDIST((I16/E16+D16/E16)-TINV(0.05,B16-1)/SQRT(B16),B16-1,1))</f>
        <v>86.10020935323945</v>
      </c>
      <c r="M16" s="269">
        <f>100*(1-TDIST((H16/E16-D16/E16)-TINV(0.05,B16-1)/SQRT(B16),B16-1,1)-TDIST((H16/E16+D16/E16)-TINV(0.05,B16-1)/SQRT(B16),B16-1,1))</f>
        <v>80.28848882972477</v>
      </c>
      <c r="N16" s="258">
        <v>96.943229675292969</v>
      </c>
      <c r="O16" s="438"/>
      <c r="P16" s="192"/>
      <c r="Q16" s="218"/>
      <c r="R16" s="192"/>
      <c r="S16" s="192"/>
      <c r="T16" s="192"/>
      <c r="U16" s="192"/>
      <c r="V16" s="192"/>
      <c r="W16" s="192"/>
    </row>
    <row r="17" spans="1:23" ht="15" customHeight="1">
      <c r="A17" s="270" t="s">
        <v>346</v>
      </c>
      <c r="B17" s="271">
        <v>10</v>
      </c>
      <c r="C17" s="272">
        <v>100</v>
      </c>
      <c r="D17" s="273">
        <v>0</v>
      </c>
      <c r="E17" s="273">
        <v>1E-3</v>
      </c>
      <c r="F17" s="274">
        <f>100*(2*NORMDIST(IF(C7="r1",2.675/IF($C$8="III",1.1,IF($C$8="II",1.05,1)),IF(C7="r2",2.36/IF($C$8="III",1.1,IF($C$8="II",1.05,1)),IF(C7="RR1",2.155/IF($C$8="III",1.1,IF($C$8="II",1.05,1)),IF(C7="RR2",2/IF($C$8="III",1.1,IF($C$8="II",1.05,1)),0))))-TINV(0.05,B17-1)/SQRT(B17),0,1,TRUE) -1)</f>
        <v>80.108296770730277</v>
      </c>
      <c r="G17" s="275" t="str">
        <f>IF(K17&lt;=5,CONCATENATE("A(",TEXT(K17,"0"),")"),IF(K17&lt;=7,CONCATENATE("B+(",TEXT(K17,"0"),")"),IF(K17&lt;=10,CONCATENATE("B(",TEXT(K17,"0"),")"),IF(K17&lt;=15,CONCATENATE("C(",TEXT(K17,"0"),")"),IF(K17&lt;=20,CONCATENATE("D+(",TEXT(K17,"0"),")"),IF(K17&lt;=25,CONCATENATE("D(",TEXT(K17,"0"),")"),CONCATENATE("E(",TEXT(K17,"0"),")")))))))</f>
        <v>A(5)</v>
      </c>
      <c r="H17" s="274">
        <f>IF(K17&lt;10,2*K17,IF(K17&lt;25,K17+10,6*K17/5+5))*IF(C$9=FALSE,1,0.8)</f>
        <v>8</v>
      </c>
      <c r="I17" s="272">
        <v>6.8676884948542378</v>
      </c>
      <c r="J17" s="274">
        <f>IF(I17&lt;20,I17*IF(C$9=FALSE,1,1.25)/2,(I17*IF(C$9=FALSE,1,1.25)-10))</f>
        <v>4.2923053092838988</v>
      </c>
      <c r="K17" s="276">
        <f>IF(OR(J17&lt;=5,J17&gt;7),ROUNDUP((J17/5),0)*5,7)</f>
        <v>5</v>
      </c>
      <c r="L17" s="274">
        <f>100*(1-TDIST((I17/E17-D17/E17)-TINV(0.05,B17-1)/SQRT(B17),B17-1,1)-TDIST((I17/E17+D17/E17)-TINV(0.05,B17-1)/SQRT(B17),B17-1,1))</f>
        <v>100</v>
      </c>
      <c r="M17" s="274">
        <f>100*(1-TDIST((H17/E17-D17/E17)-TINV(0.05,B17-1)/SQRT(B17),B17-1,1)-TDIST((H17/E17+D17/E17)-TINV(0.05,B17-1)/SQRT(B17),B17-1,1))</f>
        <v>100</v>
      </c>
      <c r="N17" s="274">
        <v>95.904441833496094</v>
      </c>
      <c r="O17" s="275"/>
      <c r="P17" s="192"/>
      <c r="Q17" s="218" t="b">
        <v>1</v>
      </c>
      <c r="R17" s="192"/>
      <c r="S17" s="192"/>
      <c r="T17" s="192"/>
      <c r="U17" s="192"/>
      <c r="V17" s="192"/>
      <c r="W17" s="192"/>
    </row>
    <row r="18" spans="1:23" ht="30.75" customHeight="1">
      <c r="A18" s="277"/>
      <c r="B18" s="192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218"/>
      <c r="R18" s="192"/>
      <c r="S18" s="192"/>
      <c r="T18" s="192"/>
      <c r="U18" s="192"/>
      <c r="V18" s="192"/>
      <c r="W18" s="192"/>
    </row>
    <row r="19" spans="1:23">
      <c r="A19" s="192"/>
      <c r="B19" s="192"/>
      <c r="C19" s="192"/>
      <c r="D19" s="192"/>
      <c r="E19" s="278"/>
      <c r="F19" s="279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</row>
    <row r="20" spans="1:23">
      <c r="A20" s="192"/>
      <c r="B20" s="192"/>
      <c r="C20" s="192"/>
      <c r="D20" s="192"/>
      <c r="E20" s="278"/>
      <c r="F20" s="279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</row>
    <row r="21" spans="1:23">
      <c r="A21" s="192"/>
      <c r="B21" s="192"/>
      <c r="C21" s="192"/>
      <c r="D21" s="192"/>
      <c r="E21" s="192"/>
      <c r="F21" s="279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</row>
    <row r="22" spans="1:23">
      <c r="A22" s="192"/>
      <c r="B22" s="192"/>
      <c r="C22" s="192"/>
      <c r="D22" s="192"/>
      <c r="E22" s="192"/>
      <c r="F22" s="280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</row>
    <row r="23" spans="1:23">
      <c r="A23" s="192"/>
      <c r="B23" s="192"/>
      <c r="C23" s="192"/>
      <c r="D23" s="192"/>
      <c r="E23" s="192"/>
      <c r="F23" s="280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</row>
    <row r="24" spans="1:23">
      <c r="A24" s="192"/>
      <c r="B24" s="192"/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</row>
    <row r="25" spans="1:23">
      <c r="A25" s="192"/>
      <c r="B25" s="192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</row>
    <row r="26" spans="1:23">
      <c r="A26" s="192"/>
      <c r="B26" s="192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92"/>
      <c r="W26" s="192"/>
    </row>
    <row r="27" spans="1:23">
      <c r="A27" s="192"/>
      <c r="B27" s="192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</row>
    <row r="28" spans="1:23">
      <c r="A28" s="192"/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/>
    </row>
    <row r="29" spans="1:23">
      <c r="A29" s="192"/>
      <c r="B29" s="192"/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</row>
    <row r="30" spans="1:23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</row>
    <row r="31" spans="1:23">
      <c r="A31" s="192"/>
      <c r="B31" s="192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</row>
    <row r="32" spans="1:23">
      <c r="A32" s="192"/>
      <c r="B32" s="192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</row>
    <row r="33" spans="1:23">
      <c r="A33" s="192"/>
      <c r="B33" s="192"/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</row>
    <row r="34" spans="1:23">
      <c r="A34" s="192"/>
      <c r="B34" s="192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</row>
    <row r="35" spans="1:23">
      <c r="A35" s="192"/>
      <c r="B35" s="192"/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</row>
    <row r="36" spans="1:23">
      <c r="A36" s="192"/>
      <c r="B36" s="192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</row>
    <row r="37" spans="1:23">
      <c r="A37" s="192"/>
      <c r="B37" s="192"/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</row>
    <row r="38" spans="1:23">
      <c r="A38" s="192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</row>
    <row r="39" spans="1:23">
      <c r="A39" s="192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</row>
    <row r="40" spans="1:23">
      <c r="A40" s="192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</row>
    <row r="41" spans="1:23">
      <c r="A41" s="192"/>
      <c r="B41" s="192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</row>
    <row r="42" spans="1:23" ht="16.5" customHeight="1">
      <c r="A42" s="433" t="s">
        <v>347</v>
      </c>
      <c r="B42" s="389" t="s">
        <v>375</v>
      </c>
      <c r="C42" s="389"/>
      <c r="D42" s="389"/>
      <c r="E42" s="389"/>
      <c r="F42" s="389"/>
      <c r="G42" s="389"/>
      <c r="H42" s="389"/>
      <c r="I42" s="389"/>
      <c r="J42" s="389"/>
      <c r="K42" s="389"/>
      <c r="L42" s="389"/>
      <c r="M42" s="389"/>
      <c r="N42" s="281"/>
      <c r="O42" s="282" t="s">
        <v>327</v>
      </c>
      <c r="P42" s="192"/>
      <c r="Q42" s="192"/>
      <c r="R42" s="192"/>
      <c r="S42" s="192"/>
      <c r="T42" s="192"/>
      <c r="U42" s="192"/>
      <c r="V42" s="192"/>
      <c r="W42" s="192"/>
    </row>
    <row r="43" spans="1:23" ht="16.5" customHeight="1">
      <c r="A43" s="434"/>
      <c r="B43" s="390" t="s">
        <v>376</v>
      </c>
      <c r="C43" s="390"/>
      <c r="D43" s="390"/>
      <c r="E43" s="390"/>
      <c r="F43" s="390"/>
      <c r="G43" s="390"/>
      <c r="H43" s="390"/>
      <c r="I43" s="390"/>
      <c r="J43" s="390"/>
      <c r="K43" s="390"/>
      <c r="L43" s="390"/>
      <c r="M43" s="390"/>
      <c r="N43" s="283"/>
      <c r="O43" s="284" t="s">
        <v>348</v>
      </c>
      <c r="P43" s="192"/>
      <c r="Q43" s="192"/>
      <c r="R43" s="192"/>
      <c r="S43" s="192"/>
      <c r="T43" s="192"/>
      <c r="U43" s="192"/>
      <c r="V43" s="192"/>
      <c r="W43" s="192"/>
    </row>
    <row r="44" spans="1:23" ht="16.5" customHeight="1">
      <c r="A44" s="434"/>
      <c r="B44" s="390" t="s">
        <v>377</v>
      </c>
      <c r="C44" s="390"/>
      <c r="D44" s="390"/>
      <c r="E44" s="390"/>
      <c r="F44" s="390"/>
      <c r="G44" s="390"/>
      <c r="H44" s="390"/>
      <c r="I44" s="390"/>
      <c r="J44" s="390"/>
      <c r="K44" s="390"/>
      <c r="L44" s="390"/>
      <c r="M44" s="390"/>
      <c r="N44" s="283"/>
      <c r="O44" s="284" t="s">
        <v>349</v>
      </c>
      <c r="P44" s="192"/>
      <c r="Q44" s="192"/>
      <c r="R44" s="192"/>
      <c r="S44" s="192"/>
      <c r="T44" s="192"/>
      <c r="U44" s="192"/>
      <c r="V44" s="192"/>
      <c r="W44" s="192"/>
    </row>
    <row r="45" spans="1:23" ht="16.5" customHeight="1">
      <c r="A45" s="435"/>
      <c r="B45" s="391" t="s">
        <v>332</v>
      </c>
      <c r="C45" s="391"/>
      <c r="D45" s="391"/>
      <c r="E45" s="391"/>
      <c r="F45" s="391"/>
      <c r="G45" s="391"/>
      <c r="H45" s="391"/>
      <c r="I45" s="391"/>
      <c r="J45" s="391"/>
      <c r="K45" s="391"/>
      <c r="L45" s="391"/>
      <c r="M45" s="391"/>
      <c r="N45" s="285"/>
      <c r="O45" s="286" t="s">
        <v>37</v>
      </c>
      <c r="P45" s="192"/>
      <c r="Q45" s="192"/>
      <c r="R45" s="192"/>
      <c r="S45" s="192"/>
      <c r="T45" s="192"/>
      <c r="U45" s="192"/>
      <c r="V45" s="192"/>
      <c r="W45" s="192"/>
    </row>
    <row r="46" spans="1:23" ht="16.5" customHeight="1">
      <c r="A46" s="433" t="s">
        <v>350</v>
      </c>
      <c r="B46" s="389" t="s">
        <v>333</v>
      </c>
      <c r="C46" s="389"/>
      <c r="D46" s="389"/>
      <c r="E46" s="389"/>
      <c r="F46" s="389"/>
      <c r="G46" s="389"/>
      <c r="H46" s="389"/>
      <c r="I46" s="389"/>
      <c r="J46" s="389"/>
      <c r="K46" s="389"/>
      <c r="L46" s="389"/>
      <c r="M46" s="389"/>
      <c r="N46" s="281"/>
      <c r="O46" s="282" t="s">
        <v>38</v>
      </c>
      <c r="P46" s="192"/>
      <c r="Q46" s="192"/>
      <c r="R46" s="192"/>
      <c r="S46" s="192"/>
      <c r="T46" s="192"/>
      <c r="U46" s="192"/>
      <c r="V46" s="192"/>
      <c r="W46" s="192"/>
    </row>
    <row r="47" spans="1:23" ht="16.5" customHeight="1">
      <c r="A47" s="434"/>
      <c r="B47" s="390" t="s">
        <v>378</v>
      </c>
      <c r="C47" s="390"/>
      <c r="D47" s="390"/>
      <c r="E47" s="390"/>
      <c r="F47" s="390"/>
      <c r="G47" s="390"/>
      <c r="H47" s="390"/>
      <c r="I47" s="390"/>
      <c r="J47" s="390"/>
      <c r="K47" s="390"/>
      <c r="L47" s="390"/>
      <c r="M47" s="390"/>
      <c r="N47" s="283"/>
      <c r="O47" s="284" t="s">
        <v>351</v>
      </c>
      <c r="P47" s="192"/>
      <c r="Q47" s="192"/>
      <c r="R47" s="192"/>
      <c r="S47" s="192"/>
      <c r="T47" s="192"/>
      <c r="U47" s="192"/>
      <c r="V47" s="192"/>
      <c r="W47" s="192"/>
    </row>
    <row r="48" spans="1:23" ht="16.5" customHeight="1">
      <c r="A48" s="435"/>
      <c r="B48" s="391" t="s">
        <v>379</v>
      </c>
      <c r="C48" s="391"/>
      <c r="D48" s="391"/>
      <c r="E48" s="391"/>
      <c r="F48" s="391"/>
      <c r="G48" s="391"/>
      <c r="H48" s="391"/>
      <c r="I48" s="391"/>
      <c r="J48" s="391"/>
      <c r="K48" s="391"/>
      <c r="L48" s="391"/>
      <c r="M48" s="391"/>
      <c r="N48" s="285"/>
      <c r="O48" s="286" t="s">
        <v>352</v>
      </c>
      <c r="P48" s="192"/>
      <c r="Q48" s="192"/>
      <c r="R48" s="192"/>
      <c r="S48" s="192"/>
      <c r="T48" s="192"/>
      <c r="U48" s="192"/>
      <c r="V48" s="192"/>
      <c r="W48" s="192"/>
    </row>
    <row r="49" spans="1:23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</row>
    <row r="50" spans="1:23">
      <c r="A50" s="192"/>
      <c r="B50" s="192"/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</row>
    <row r="51" spans="1:23">
      <c r="A51" s="192"/>
      <c r="B51" s="192"/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</row>
    <row r="52" spans="1:23">
      <c r="A52" s="192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</row>
    <row r="53" spans="1:23">
      <c r="A53" s="192"/>
      <c r="B53" s="192"/>
      <c r="C53" s="192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</row>
    <row r="54" spans="1:23">
      <c r="A54" s="192"/>
      <c r="B54" s="192"/>
      <c r="C54" s="192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192"/>
      <c r="O54" s="192"/>
      <c r="P54" s="192"/>
      <c r="Q54" s="192"/>
      <c r="R54" s="192"/>
      <c r="S54" s="192"/>
      <c r="T54" s="192"/>
      <c r="U54" s="192"/>
      <c r="V54" s="192"/>
      <c r="W54" s="192"/>
    </row>
    <row r="56" spans="1:23" ht="15">
      <c r="A56" s="287"/>
    </row>
    <row r="57" spans="1:23" ht="15">
      <c r="A57" s="287"/>
    </row>
  </sheetData>
  <scenarios current="0">
    <scenario name="accur1" count="4" user="Bernard Jacob" comment="Créé par Bernard Jacob le 11/28/98">
      <inputCells r="I16" val="22.4272510621533"/>
      <inputCells r="I17" val="18.4903608949355"/>
      <inputCells r="I14" val="16.015615153721"/>
      <inputCells r="I13" val="19.6284274872054"/>
    </scenario>
  </scenarios>
  <mergeCells count="18">
    <mergeCell ref="A2:J2"/>
    <mergeCell ref="D4:G4"/>
    <mergeCell ref="J4:O4"/>
    <mergeCell ref="S4:U4"/>
    <mergeCell ref="J5:O5"/>
    <mergeCell ref="A46:A48"/>
    <mergeCell ref="D7:O7"/>
    <mergeCell ref="D8:O8"/>
    <mergeCell ref="A11:A12"/>
    <mergeCell ref="B11:B12"/>
    <mergeCell ref="G11:G12"/>
    <mergeCell ref="K11:K12"/>
    <mergeCell ref="O11:O12"/>
    <mergeCell ref="D6:F6"/>
    <mergeCell ref="G6:I6"/>
    <mergeCell ref="J6:L6"/>
    <mergeCell ref="O13:O16"/>
    <mergeCell ref="A42:A45"/>
  </mergeCells>
  <conditionalFormatting sqref="L13:L16">
    <cfRule type="expression" dxfId="0" priority="1" stopIfTrue="1">
      <formula>ABS($L13-$F13)&gt;0.001</formula>
    </cfRule>
  </conditionalFormatting>
  <dataValidations count="5">
    <dataValidation type="list" allowBlank="1" showInputMessage="1" showErrorMessage="1" sqref="D7:O7">
      <formula1>TestConditions</formula1>
    </dataValidation>
    <dataValidation type="list" allowBlank="1" showInputMessage="1" showErrorMessage="1" sqref="D8:O8">
      <formula1>EnvironmentalConditions</formula1>
    </dataValidation>
    <dataValidation type="list" allowBlank="1" showInputMessage="1" showErrorMessage="1" sqref="D9">
      <formula1>YesNo</formula1>
    </dataValidation>
    <dataValidation type="list" allowBlank="1" showInputMessage="1" showErrorMessage="1" sqref="D10">
      <formula1>Interval</formula1>
    </dataValidation>
    <dataValidation type="list" allowBlank="1" showInputMessage="1" showErrorMessage="1" sqref="R1">
      <formula1>Jezik</formula1>
    </dataValidation>
  </dataValidations>
  <printOptions horizontalCentered="1"/>
  <pageMargins left="0.78740157480314965" right="0.47244094488188981" top="0.38" bottom="0.9055118110236221" header="0.51181102362204722" footer="0.51181102362204722"/>
  <pageSetup paperSize="9" scale="87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BZ39"/>
  <sheetViews>
    <sheetView topLeftCell="A24" zoomScaleNormal="100" workbookViewId="0">
      <selection activeCell="A40" sqref="A40:XFD1048576"/>
    </sheetView>
  </sheetViews>
  <sheetFormatPr baseColWidth="10" defaultColWidth="11.5703125" defaultRowHeight="11.25"/>
  <cols>
    <col min="1" max="1" width="21.7109375" style="87" bestFit="1" customWidth="1"/>
    <col min="2" max="2" width="18.140625" style="87" customWidth="1"/>
    <col min="3" max="4" width="13.85546875" style="87" customWidth="1"/>
    <col min="5" max="5" width="4.140625" style="96" customWidth="1"/>
    <col min="6" max="6" width="3.140625" style="87" customWidth="1"/>
    <col min="7" max="7" width="4" style="87" bestFit="1" customWidth="1"/>
    <col min="8" max="8" width="4.85546875" style="87" bestFit="1" customWidth="1"/>
    <col min="9" max="9" width="9.7109375" style="87" customWidth="1"/>
    <col min="10" max="10" width="6.5703125" style="87" customWidth="1"/>
    <col min="11" max="11" width="4.140625" style="87" bestFit="1" customWidth="1"/>
    <col min="12" max="12" width="13" style="96" customWidth="1"/>
    <col min="13" max="13" width="3.7109375" style="87" customWidth="1"/>
    <col min="14" max="15" width="3.5703125" style="87" customWidth="1"/>
    <col min="16" max="16" width="3.42578125" style="87" customWidth="1"/>
    <col min="17" max="17" width="4.42578125" style="87" customWidth="1"/>
    <col min="18" max="18" width="3.85546875" style="87" customWidth="1"/>
    <col min="19" max="19" width="3.7109375" style="87" customWidth="1"/>
    <col min="20" max="21" width="3.42578125" style="87" customWidth="1"/>
    <col min="22" max="22" width="4.42578125" style="87" customWidth="1"/>
    <col min="23" max="23" width="5.28515625" style="88" customWidth="1"/>
    <col min="24" max="24" width="6.140625" style="96" bestFit="1" customWidth="1"/>
    <col min="25" max="25" width="4.85546875" style="96" customWidth="1"/>
    <col min="26" max="26" width="5.140625" style="96" customWidth="1"/>
    <col min="27" max="27" width="4.42578125" style="96" customWidth="1"/>
    <col min="28" max="28" width="4.7109375" style="96" customWidth="1"/>
    <col min="29" max="32" width="5" style="96" customWidth="1"/>
    <col min="33" max="33" width="7" style="90" customWidth="1"/>
    <col min="34" max="34" width="6.7109375" style="90" customWidth="1"/>
    <col min="35" max="35" width="7.140625" style="90" customWidth="1"/>
    <col min="36" max="36" width="6.5703125" style="90" customWidth="1"/>
    <col min="37" max="37" width="7.28515625" style="88" customWidth="1"/>
    <col min="38" max="38" width="6.7109375" style="96" customWidth="1"/>
    <col min="39" max="39" width="5.42578125" style="96" customWidth="1"/>
    <col min="40" max="40" width="4.7109375" style="96" customWidth="1"/>
    <col min="41" max="41" width="5.140625" style="96" customWidth="1"/>
    <col min="42" max="46" width="4.7109375" style="96" customWidth="1"/>
    <col min="47" max="50" width="6.140625" style="90" customWidth="1"/>
    <col min="51" max="51" width="8.140625" style="88" customWidth="1"/>
    <col min="52" max="52" width="14" style="88" customWidth="1"/>
    <col min="53" max="53" width="8.140625" style="88" customWidth="1"/>
    <col min="54" max="54" width="11.7109375" style="88" customWidth="1"/>
    <col min="55" max="55" width="7.85546875" style="88" bestFit="1" customWidth="1"/>
    <col min="56" max="56" width="12.85546875" style="88" customWidth="1"/>
    <col min="57" max="60" width="6.7109375" style="88" customWidth="1"/>
    <col min="61" max="61" width="8.5703125" style="88" customWidth="1"/>
    <col min="62" max="64" width="12.7109375" style="88" customWidth="1"/>
    <col min="65" max="16384" width="11.5703125" style="77"/>
  </cols>
  <sheetData>
    <row r="1" spans="1:7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</row>
    <row r="2" spans="1:78" ht="1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8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</row>
    <row r="3" spans="1:78" ht="12.75" customHeight="1">
      <c r="A3" s="77"/>
      <c r="B3" s="79" t="s">
        <v>0</v>
      </c>
      <c r="C3" s="406" t="s">
        <v>89</v>
      </c>
      <c r="D3" s="406"/>
      <c r="E3" s="406"/>
      <c r="F3" s="406"/>
      <c r="G3" s="406"/>
      <c r="H3" s="406"/>
      <c r="I3" s="77"/>
      <c r="J3" s="77"/>
      <c r="K3" s="77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Y3" s="77"/>
      <c r="Z3" s="410" t="s">
        <v>202</v>
      </c>
      <c r="AA3" s="411"/>
      <c r="AB3" s="411"/>
      <c r="AC3" s="411"/>
      <c r="AD3" s="411"/>
      <c r="AE3" s="411"/>
      <c r="AF3" s="411"/>
      <c r="AG3" s="411"/>
      <c r="AH3" s="411"/>
      <c r="AI3" s="411"/>
      <c r="AJ3" s="411"/>
      <c r="AK3" s="412"/>
      <c r="AL3" s="77"/>
      <c r="AM3" s="77"/>
      <c r="AN3" s="77"/>
      <c r="AO3" s="77"/>
      <c r="AP3" s="77"/>
      <c r="AQ3" s="410" t="s">
        <v>196</v>
      </c>
      <c r="AR3" s="411"/>
      <c r="AS3" s="411"/>
      <c r="AT3" s="411"/>
      <c r="AU3" s="411"/>
      <c r="AV3" s="411"/>
      <c r="AW3" s="411"/>
      <c r="AX3" s="411"/>
      <c r="AY3" s="411"/>
      <c r="AZ3" s="411"/>
      <c r="BA3" s="411"/>
      <c r="BB3" s="412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</row>
    <row r="4" spans="1:78" ht="12.75" customHeight="1">
      <c r="A4" s="77"/>
      <c r="B4" s="79" t="s">
        <v>1</v>
      </c>
      <c r="C4" s="406" t="s">
        <v>200</v>
      </c>
      <c r="D4" s="406"/>
      <c r="E4" s="406"/>
      <c r="F4" s="406"/>
      <c r="G4" s="406"/>
      <c r="H4" s="406"/>
      <c r="I4" s="77"/>
      <c r="J4" s="77"/>
      <c r="K4" s="77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Y4" s="77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L4" s="77"/>
      <c r="AM4" s="77"/>
      <c r="AN4" s="77"/>
      <c r="AO4" s="77"/>
      <c r="AP4" s="77"/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C4" s="77"/>
      <c r="BD4" s="77"/>
      <c r="BE4" s="77"/>
      <c r="BF4" s="77"/>
      <c r="BG4" s="77"/>
      <c r="BH4" s="66"/>
      <c r="BI4" s="77"/>
      <c r="BJ4" s="77"/>
      <c r="BK4" s="77"/>
      <c r="BL4" s="77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</row>
    <row r="5" spans="1:78" ht="12.75" customHeight="1">
      <c r="A5" s="77"/>
      <c r="B5" s="79" t="s">
        <v>7</v>
      </c>
      <c r="C5" s="406" t="s">
        <v>201</v>
      </c>
      <c r="D5" s="406"/>
      <c r="E5" s="406"/>
      <c r="F5" s="406"/>
      <c r="G5" s="406"/>
      <c r="H5" s="406"/>
      <c r="I5" s="77"/>
      <c r="J5" s="77"/>
      <c r="K5" s="77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Y5" s="77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C6</f>
        <v>25</v>
      </c>
      <c r="AI5" s="80">
        <f>COUNTIF($M$12:$U$39,"&gt;=0")</f>
        <v>125</v>
      </c>
      <c r="AJ5" s="80">
        <f>COUNTIF($M$12:$U$39,"&gt;=1")</f>
        <v>75</v>
      </c>
      <c r="AK5" s="80">
        <f>COUNTIF($AG$12:$AJ$39,"&gt;0")</f>
        <v>25</v>
      </c>
      <c r="AL5" s="77"/>
      <c r="AM5" s="77"/>
      <c r="AN5" s="77"/>
      <c r="AO5" s="77"/>
      <c r="AP5" s="77"/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C6</f>
        <v>25</v>
      </c>
      <c r="AZ5" s="80">
        <f>COUNTIF($M$12:$U$39,"&gt;=0")</f>
        <v>125</v>
      </c>
      <c r="BA5" s="80">
        <f>COUNTIF($M$12:$U$39,"&gt;=1")</f>
        <v>75</v>
      </c>
      <c r="BB5" s="80">
        <f>COUNTIF($AG$12:$AJ$39,"&gt;0")</f>
        <v>25</v>
      </c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</row>
    <row r="6" spans="1:78" ht="12.75" customHeight="1">
      <c r="A6" s="77"/>
      <c r="B6" s="79" t="s">
        <v>9</v>
      </c>
      <c r="C6" s="406">
        <v>25</v>
      </c>
      <c r="D6" s="406"/>
      <c r="E6" s="406"/>
      <c r="F6" s="406"/>
      <c r="G6" s="406"/>
      <c r="H6" s="406"/>
      <c r="I6" s="77"/>
      <c r="J6" s="77"/>
      <c r="K6" s="77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Y6" s="77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AVERAGEIF($L$12:$L$39,"&gt;0,9",$AY$12:$AY$39)</f>
        <v>6.5680830326810907E-2</v>
      </c>
      <c r="AI6" s="115" t="e">
        <f>AVERAGE(IF($L$12:$L$39&gt;0.9,IF($M$12:$U$39=0,$AZ$12:$BH$39,"")))</f>
        <v>#VALUE!</v>
      </c>
      <c r="AJ6" s="115" t="e">
        <f t="array" ref="AJ6">AVERAGE(IF($L$12:$L$39&gt;0.9,IF($M$12:$U$26&gt;=1,$AZ$12:$BH$39,"")))</f>
        <v>#N/A</v>
      </c>
      <c r="AK6" s="115">
        <f t="array" ref="AK6">AVERAGE(IF($L$12:$L$39&gt;0.9,IF($AG$12:$AJ$39&gt;0,$BI$12:$BL$39,"")))</f>
        <v>1.2502459179646055E-2</v>
      </c>
      <c r="AL6" s="77"/>
      <c r="AM6" s="77"/>
      <c r="AN6" s="77"/>
      <c r="AO6" s="77"/>
      <c r="AP6" s="77"/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AVERAGE($AY$12:$AY$39)</f>
        <v>6.5680830326810907E-2</v>
      </c>
      <c r="AZ6" s="115">
        <f>AVERAGEIF($M$12:$U$39,"0",$AZ$12:$BH$39)</f>
        <v>0.12142935997631138</v>
      </c>
      <c r="BA6" s="115">
        <f>AVERAGEIF($M$12:$U$39,"&gt;=1",$AZ$12:$BH$39)</f>
        <v>4.1225283564336884E-2</v>
      </c>
      <c r="BB6" s="115">
        <f>AVERAGEIF($AG$12:$AJ$39,"&gt;0",$BI$12:$BL$39)</f>
        <v>3.5006885703008958E-2</v>
      </c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</row>
    <row r="7" spans="1:78" ht="12.75" customHeight="1">
      <c r="A7" s="77"/>
      <c r="B7" s="81"/>
      <c r="C7" s="76"/>
      <c r="D7" s="76"/>
      <c r="E7" s="81"/>
      <c r="F7" s="81"/>
      <c r="G7" s="77"/>
      <c r="H7" s="77"/>
      <c r="I7" s="77"/>
      <c r="J7" s="77"/>
      <c r="K7" s="77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Y7" s="77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STDEV(IF($L$12:$L$39&gt;0.9,$AY$12:$AY$39))</f>
        <v>0.11656393868216025</v>
      </c>
      <c r="AI7" s="115">
        <f t="array" ref="AI7">STDEV(IF($L$12:$L$39&gt;0.9,IF($M$12:$U$39=0,$AZ$12:$BH$39,"")))</f>
        <v>0.21660108043856866</v>
      </c>
      <c r="AJ7" s="115">
        <f t="array" ref="AJ7">STDEV(IF($L$12:$L$39&gt;0.9,IF($M$12:$U$39&gt;=1,$AZ$12:$BH$39,"")))</f>
        <v>0.15553894443910041</v>
      </c>
      <c r="AK7" s="115">
        <f t="array" ref="AK7">STDEV(IF($L$12:$L$39&gt;0.9,IF($AG$12:$AJ$39&gt;0,$BI$12:$BL$39,"")))</f>
        <v>5.8236293096190578E-2</v>
      </c>
      <c r="AL7" s="77"/>
      <c r="AM7" s="77"/>
      <c r="AN7" s="77"/>
      <c r="AO7" s="77"/>
      <c r="AP7" s="77"/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STDEV($AY$12:$AY$39)</f>
        <v>0.11656393868216025</v>
      </c>
      <c r="AZ7" s="115">
        <f t="array" ref="AZ7">STDEV(IF($M$12:$U$26=0,$AZ$12:$BH$26))</f>
        <v>0.18487273350454264</v>
      </c>
      <c r="BA7" s="115">
        <f t="array" ref="BA7">STDEV(IF($M$12:$U$39&gt;=1,$AZ$12:$BH$39))</f>
        <v>0.15553894443910041</v>
      </c>
      <c r="BB7" s="115">
        <f t="array" ref="BB7">STDEV(IF($AG$12:$AJ$26&gt;0,$BI$12:$BL$26))</f>
        <v>5.0488030755139766E-2</v>
      </c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</row>
    <row r="8" spans="1:78" ht="12.75" customHeight="1">
      <c r="A8" s="77"/>
      <c r="B8" s="81"/>
      <c r="C8" s="76"/>
      <c r="D8" s="76"/>
      <c r="E8" s="81"/>
      <c r="F8" s="81"/>
      <c r="G8" s="77"/>
      <c r="H8" s="77"/>
      <c r="I8" s="77"/>
      <c r="J8" s="77"/>
      <c r="K8" s="77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</row>
    <row r="9" spans="1:78" ht="12.75" customHeight="1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</row>
    <row r="10" spans="1:78" ht="12.75" customHeight="1">
      <c r="A10" s="416" t="s">
        <v>181</v>
      </c>
      <c r="B10" s="416" t="s">
        <v>180</v>
      </c>
      <c r="C10" s="416" t="s">
        <v>182</v>
      </c>
      <c r="D10" s="416" t="s">
        <v>183</v>
      </c>
      <c r="E10" s="416" t="s">
        <v>13</v>
      </c>
      <c r="F10" s="416" t="s">
        <v>14</v>
      </c>
      <c r="G10" s="416" t="s">
        <v>15</v>
      </c>
      <c r="H10" s="416" t="s">
        <v>16</v>
      </c>
      <c r="I10" s="405" t="s">
        <v>17</v>
      </c>
      <c r="J10" s="405"/>
      <c r="K10" s="405"/>
      <c r="L10" s="416" t="s">
        <v>95</v>
      </c>
      <c r="M10" s="405" t="s">
        <v>18</v>
      </c>
      <c r="N10" s="405"/>
      <c r="O10" s="405"/>
      <c r="P10" s="405"/>
      <c r="Q10" s="405"/>
      <c r="R10" s="405"/>
      <c r="S10" s="405"/>
      <c r="T10" s="405"/>
      <c r="U10" s="405"/>
      <c r="V10" s="405"/>
      <c r="W10" s="405" t="s">
        <v>31</v>
      </c>
      <c r="X10" s="405"/>
      <c r="Y10" s="405"/>
      <c r="Z10" s="405"/>
      <c r="AA10" s="405"/>
      <c r="AB10" s="405"/>
      <c r="AC10" s="405"/>
      <c r="AD10" s="405"/>
      <c r="AE10" s="405"/>
      <c r="AF10" s="405"/>
      <c r="AG10" s="405"/>
      <c r="AH10" s="405"/>
      <c r="AI10" s="405"/>
      <c r="AJ10" s="405"/>
      <c r="AK10" s="405" t="s">
        <v>30</v>
      </c>
      <c r="AL10" s="405"/>
      <c r="AM10" s="405"/>
      <c r="AN10" s="405"/>
      <c r="AO10" s="405"/>
      <c r="AP10" s="405"/>
      <c r="AQ10" s="405"/>
      <c r="AR10" s="405"/>
      <c r="AS10" s="405"/>
      <c r="AT10" s="405"/>
      <c r="AU10" s="405"/>
      <c r="AV10" s="405"/>
      <c r="AW10" s="405"/>
      <c r="AX10" s="405"/>
      <c r="AY10" s="405" t="s">
        <v>19</v>
      </c>
      <c r="AZ10" s="405"/>
      <c r="BA10" s="405"/>
      <c r="BB10" s="405"/>
      <c r="BC10" s="405"/>
      <c r="BD10" s="405"/>
      <c r="BE10" s="405"/>
      <c r="BF10" s="405"/>
      <c r="BG10" s="405"/>
      <c r="BH10" s="405"/>
      <c r="BI10" s="405"/>
      <c r="BJ10" s="405"/>
      <c r="BK10" s="405"/>
      <c r="BL10" s="405"/>
      <c r="BM10" s="92"/>
      <c r="BN10" s="92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</row>
    <row r="11" spans="1:78" ht="12.75" customHeight="1">
      <c r="A11" s="417"/>
      <c r="B11" s="417"/>
      <c r="C11" s="417"/>
      <c r="D11" s="417"/>
      <c r="E11" s="417"/>
      <c r="F11" s="417"/>
      <c r="G11" s="417"/>
      <c r="H11" s="417"/>
      <c r="I11" s="79" t="s">
        <v>20</v>
      </c>
      <c r="J11" s="79" t="s">
        <v>165</v>
      </c>
      <c r="K11" s="79" t="s">
        <v>21</v>
      </c>
      <c r="L11" s="417"/>
      <c r="M11" s="79" t="s">
        <v>186</v>
      </c>
      <c r="N11" s="79" t="s">
        <v>187</v>
      </c>
      <c r="O11" s="79" t="s">
        <v>188</v>
      </c>
      <c r="P11" s="79" t="s">
        <v>189</v>
      </c>
      <c r="Q11" s="79" t="s">
        <v>190</v>
      </c>
      <c r="R11" s="79" t="s">
        <v>191</v>
      </c>
      <c r="S11" s="79" t="s">
        <v>192</v>
      </c>
      <c r="T11" s="79" t="s">
        <v>193</v>
      </c>
      <c r="U11" s="79" t="s">
        <v>194</v>
      </c>
      <c r="V11" s="79" t="s">
        <v>185</v>
      </c>
      <c r="W11" s="79" t="s">
        <v>3</v>
      </c>
      <c r="X11" s="79" t="s">
        <v>22</v>
      </c>
      <c r="Y11" s="79" t="s">
        <v>23</v>
      </c>
      <c r="Z11" s="79" t="s">
        <v>24</v>
      </c>
      <c r="AA11" s="79" t="s">
        <v>25</v>
      </c>
      <c r="AB11" s="79" t="s">
        <v>26</v>
      </c>
      <c r="AC11" s="79" t="s">
        <v>27</v>
      </c>
      <c r="AD11" s="79" t="s">
        <v>90</v>
      </c>
      <c r="AE11" s="79" t="s">
        <v>91</v>
      </c>
      <c r="AF11" s="79" t="s">
        <v>184</v>
      </c>
      <c r="AG11" s="79" t="s">
        <v>28</v>
      </c>
      <c r="AH11" s="79" t="s">
        <v>29</v>
      </c>
      <c r="AI11" s="79" t="s">
        <v>92</v>
      </c>
      <c r="AJ11" s="79" t="s">
        <v>93</v>
      </c>
      <c r="AK11" s="79" t="s">
        <v>3</v>
      </c>
      <c r="AL11" s="79" t="s">
        <v>22</v>
      </c>
      <c r="AM11" s="79" t="s">
        <v>23</v>
      </c>
      <c r="AN11" s="79" t="s">
        <v>24</v>
      </c>
      <c r="AO11" s="79" t="s">
        <v>25</v>
      </c>
      <c r="AP11" s="79" t="s">
        <v>26</v>
      </c>
      <c r="AQ11" s="79" t="s">
        <v>27</v>
      </c>
      <c r="AR11" s="79" t="s">
        <v>90</v>
      </c>
      <c r="AS11" s="79" t="s">
        <v>91</v>
      </c>
      <c r="AT11" s="79" t="s">
        <v>184</v>
      </c>
      <c r="AU11" s="79" t="s">
        <v>28</v>
      </c>
      <c r="AV11" s="79" t="s">
        <v>29</v>
      </c>
      <c r="AW11" s="79" t="s">
        <v>92</v>
      </c>
      <c r="AX11" s="79" t="s">
        <v>93</v>
      </c>
      <c r="AY11" s="79" t="s">
        <v>3</v>
      </c>
      <c r="AZ11" s="79" t="s">
        <v>22</v>
      </c>
      <c r="BA11" s="79" t="s">
        <v>23</v>
      </c>
      <c r="BB11" s="79" t="s">
        <v>24</v>
      </c>
      <c r="BC11" s="79" t="s">
        <v>25</v>
      </c>
      <c r="BD11" s="79" t="s">
        <v>26</v>
      </c>
      <c r="BE11" s="79" t="s">
        <v>27</v>
      </c>
      <c r="BF11" s="79" t="s">
        <v>90</v>
      </c>
      <c r="BG11" s="79" t="s">
        <v>91</v>
      </c>
      <c r="BH11" s="79" t="s">
        <v>184</v>
      </c>
      <c r="BI11" s="79" t="s">
        <v>28</v>
      </c>
      <c r="BJ11" s="79" t="s">
        <v>29</v>
      </c>
      <c r="BK11" s="79" t="s">
        <v>92</v>
      </c>
      <c r="BL11" s="79" t="s">
        <v>93</v>
      </c>
      <c r="BM11" s="93"/>
      <c r="BN11" s="94"/>
      <c r="BO11" s="94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</row>
    <row r="12" spans="1:78" s="89" customFormat="1" ht="12.75">
      <c r="A12" s="60" t="s">
        <v>285</v>
      </c>
      <c r="B12" s="61"/>
      <c r="C12" s="62"/>
      <c r="D12" s="1"/>
      <c r="E12" s="95"/>
      <c r="F12" s="1"/>
      <c r="G12" s="1"/>
      <c r="H12" s="2"/>
      <c r="I12" s="61" t="s">
        <v>94</v>
      </c>
      <c r="J12" s="74">
        <f>IF(ISERROR(VLOOKUP(I12,Max_Load_France!$B$2:$C$102,2,FALSE)/1000),"",VLOOKUP(I12,Max_Load_France!$B$2:$C$102,2,FALSE)/1000)</f>
        <v>40</v>
      </c>
      <c r="K12" s="64"/>
      <c r="L12" s="98">
        <f t="shared" ref="L12:L36" si="0">W12/J12</f>
        <v>1.05975</v>
      </c>
      <c r="M12" s="86">
        <f>IF(VLOOKUP($I12,Max_Load_France!$B$2:$M$102,3,FALSE)="","",VLOOKUP($I12,Max_Load_France!$B$2:$M$102,3,FALSE))</f>
        <v>0</v>
      </c>
      <c r="N12" s="86">
        <f>IF(VLOOKUP($I12,Max_Load_France!$B$2:$M$102,4,FALSE)="","",VLOOKUP($I12,Max_Load_France!$B$2:$M$102,4,FALSE))</f>
        <v>0</v>
      </c>
      <c r="O12" s="86">
        <f>IF(VLOOKUP($I12,Max_Load_France!$B$2:$M$102,5,FALSE)="","",VLOOKUP($I12,Max_Load_France!$B$2:$M$102,5,FALSE))</f>
        <v>1</v>
      </c>
      <c r="P12" s="86">
        <f>IF(VLOOKUP($I12,Max_Load_France!$B$2:$M$102,6,FALSE)="","",VLOOKUP($I12,Max_Load_France!$B$2:$M$102,6,FALSE))</f>
        <v>1</v>
      </c>
      <c r="Q12" s="86">
        <f>IF(VLOOKUP($I12,Max_Load_France!$B$2:$M$102,7,FALSE)="","",VLOOKUP($I12,Max_Load_France!$B$2:$M$102,7,FALSE))</f>
        <v>1</v>
      </c>
      <c r="R12" s="86" t="str">
        <f>IF(VLOOKUP($I12,Max_Load_France!$B$2:$M$102,8,FALSE)="","",VLOOKUP($I12,Max_Load_France!$B$2:$M$102,8,FALSE))</f>
        <v/>
      </c>
      <c r="S12" s="86" t="str">
        <f>IF(VLOOKUP($I12,Max_Load_France!$B$2:$M$102,9,FALSE)="","",VLOOKUP($I12,Max_Load_France!$B$2:$M$102,9,FALSE))</f>
        <v/>
      </c>
      <c r="T12" s="86" t="str">
        <f>IF(VLOOKUP($I12,Max_Load_France!$B$2:$M$102,10,FALSE)="","",VLOOKUP($I12,Max_Load_France!$B$2:$M$102,10,FALSE))</f>
        <v/>
      </c>
      <c r="U12" s="86" t="str">
        <f>IF(VLOOKUP($I12,Max_Load_France!$B$2:$M$102,11,FALSE)="","",VLOOKUP($I12,Max_Load_France!$B$2:$M$102,11,FALSE))</f>
        <v/>
      </c>
      <c r="V12" s="86">
        <f>IF(VLOOKUP($I12,Max_Load_France!$B$2:$M$102,12,FALSE)="","",VLOOKUP($I12,Max_Load_France!$B$2:$M$102,12,FALSE))</f>
        <v>5</v>
      </c>
      <c r="W12" s="99">
        <f>SUM($X12:$AF12)</f>
        <v>42.39</v>
      </c>
      <c r="X12" s="100">
        <v>5.77</v>
      </c>
      <c r="Y12" s="100">
        <v>7.9</v>
      </c>
      <c r="Z12" s="100">
        <v>10.5</v>
      </c>
      <c r="AA12" s="100">
        <v>9.4700000000000006</v>
      </c>
      <c r="AB12" s="100">
        <v>8.75</v>
      </c>
      <c r="AC12" s="101"/>
      <c r="AD12" s="102"/>
      <c r="AE12" s="102"/>
      <c r="AF12" s="102"/>
      <c r="AG12" s="75">
        <f>IF(SUMIF($M12:$U12,"=1",$X12:$AF12)=0,"",SUMIF($M12:$U12,"=1",$X12:$AF12))</f>
        <v>28.72</v>
      </c>
      <c r="AH12" s="75" t="str">
        <f>IF(SUMIF($M12:$U12,"=2",$X12:$AF12)=0,"",SUMIF($M12:$U12,"=2",$X12:$AF12))</f>
        <v/>
      </c>
      <c r="AI12" s="75" t="str">
        <f>IF(SUMIF($M12:$U12,"=3",$X12:$AF12)=0,"",SUMIF($M12:$U12,"=3",$X12:$AF12))</f>
        <v/>
      </c>
      <c r="AJ12" s="75" t="str">
        <f>IF(SUMIF($M12:$U12,"=4",$X12:$AF12)=0,"",SUMIF($M12:$U12,"=4",$X12:$AF12))</f>
        <v/>
      </c>
      <c r="AK12" s="103">
        <f>SUM(AL12:AP12)</f>
        <v>46.161987767584101</v>
      </c>
      <c r="AL12" s="100">
        <v>6.6146381243628944</v>
      </c>
      <c r="AM12" s="100">
        <v>9.4182059123343524</v>
      </c>
      <c r="AN12" s="100">
        <v>9.775667686034657</v>
      </c>
      <c r="AO12" s="100">
        <v>10.77716615698267</v>
      </c>
      <c r="AP12" s="100">
        <v>9.5763098878695203</v>
      </c>
      <c r="AQ12" s="101"/>
      <c r="AR12" s="102"/>
      <c r="AS12" s="102"/>
      <c r="AT12" s="102"/>
      <c r="AU12" s="75">
        <f>IF(SUMIF($M12:$U12,"=1",$AL12:$AT12)=0,"",SUMIF($M12:$U12,"=1",$AL12:$AT12))</f>
        <v>30.129143730886845</v>
      </c>
      <c r="AV12" s="75" t="str">
        <f>IF(SUMIF($M12:$U12,"=2",$AL12:$AT12)=0,"",SUMIF($M12:$U12,"=2",$AL12:$AT12))</f>
        <v/>
      </c>
      <c r="AW12" s="75" t="str">
        <f>IF(SUMIF($M12:$U12,"=3",$AL12:$AT12)=0,"",SUMIF($M12:$U12,"=3",$AL12:$AT12))</f>
        <v/>
      </c>
      <c r="AX12" s="75" t="str">
        <f>IF(SUMIF($M12:$U12,"=4",$AL12:$AT12)=0,"",SUMIF($M12:$U12,"=4",$AL12:$AT12))</f>
        <v/>
      </c>
      <c r="AY12" s="152">
        <f t="shared" ref="AY12:BI12" si="1">IF(W12&gt;0,(AK12-W12)/W12,"")</f>
        <v>8.8982962198256674E-2</v>
      </c>
      <c r="AZ12" s="152">
        <f t="shared" si="1"/>
        <v>0.14638442363308404</v>
      </c>
      <c r="BA12" s="152">
        <f t="shared" si="1"/>
        <v>0.19217796358662684</v>
      </c>
      <c r="BB12" s="152">
        <f t="shared" si="1"/>
        <v>-6.8984029901461241E-2</v>
      </c>
      <c r="BC12" s="152">
        <f t="shared" si="1"/>
        <v>0.13803232914283728</v>
      </c>
      <c r="BD12" s="152">
        <f t="shared" si="1"/>
        <v>9.4435415756516608E-2</v>
      </c>
      <c r="BE12" s="152" t="str">
        <f t="shared" si="1"/>
        <v/>
      </c>
      <c r="BF12" s="152" t="str">
        <f t="shared" si="1"/>
        <v/>
      </c>
      <c r="BG12" s="152" t="str">
        <f t="shared" si="1"/>
        <v/>
      </c>
      <c r="BH12" s="152" t="str">
        <f t="shared" si="1"/>
        <v/>
      </c>
      <c r="BI12" s="152">
        <f t="shared" si="1"/>
        <v>4.9064893136728641E-2</v>
      </c>
      <c r="BJ12" s="152"/>
      <c r="BK12" s="152"/>
      <c r="BL12" s="152"/>
      <c r="BM12" s="76"/>
      <c r="BN12" s="94"/>
      <c r="BO12" s="94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</row>
    <row r="13" spans="1:78" s="89" customFormat="1" ht="12.75">
      <c r="A13" s="60" t="s">
        <v>286</v>
      </c>
      <c r="B13" s="61"/>
      <c r="C13" s="62"/>
      <c r="D13" s="1"/>
      <c r="E13" s="95"/>
      <c r="F13" s="1"/>
      <c r="G13" s="1"/>
      <c r="H13" s="2"/>
      <c r="I13" s="61" t="s">
        <v>94</v>
      </c>
      <c r="J13" s="74">
        <f>IF(ISERROR(VLOOKUP(I13,Max_Load_France!$B$2:$C$102,2,FALSE)/1000),"",VLOOKUP(I13,Max_Load_France!$B$2:$C$102,2,FALSE)/1000)</f>
        <v>40</v>
      </c>
      <c r="K13" s="64"/>
      <c r="L13" s="98">
        <f t="shared" si="0"/>
        <v>1.05975</v>
      </c>
      <c r="M13" s="86">
        <f>IF(VLOOKUP($I13,Max_Load_France!$B$2:$M$102,3,FALSE)="","",VLOOKUP($I13,Max_Load_France!$B$2:$M$102,3,FALSE))</f>
        <v>0</v>
      </c>
      <c r="N13" s="86">
        <f>IF(VLOOKUP($I13,Max_Load_France!$B$2:$M$102,4,FALSE)="","",VLOOKUP($I13,Max_Load_France!$B$2:$M$102,4,FALSE))</f>
        <v>0</v>
      </c>
      <c r="O13" s="86">
        <f>IF(VLOOKUP($I13,Max_Load_France!$B$2:$M$102,5,FALSE)="","",VLOOKUP($I13,Max_Load_France!$B$2:$M$102,5,FALSE))</f>
        <v>1</v>
      </c>
      <c r="P13" s="86">
        <f>IF(VLOOKUP($I13,Max_Load_France!$B$2:$M$102,6,FALSE)="","",VLOOKUP($I13,Max_Load_France!$B$2:$M$102,6,FALSE))</f>
        <v>1</v>
      </c>
      <c r="Q13" s="86">
        <f>IF(VLOOKUP($I13,Max_Load_France!$B$2:$M$102,7,FALSE)="","",VLOOKUP($I13,Max_Load_France!$B$2:$M$102,7,FALSE))</f>
        <v>1</v>
      </c>
      <c r="R13" s="86" t="str">
        <f>IF(VLOOKUP($I13,Max_Load_France!$B$2:$M$102,8,FALSE)="","",VLOOKUP($I13,Max_Load_France!$B$2:$M$102,8,FALSE))</f>
        <v/>
      </c>
      <c r="S13" s="86" t="str">
        <f>IF(VLOOKUP($I13,Max_Load_France!$B$2:$M$102,9,FALSE)="","",VLOOKUP($I13,Max_Load_France!$B$2:$M$102,9,FALSE))</f>
        <v/>
      </c>
      <c r="T13" s="86" t="str">
        <f>IF(VLOOKUP($I13,Max_Load_France!$B$2:$M$102,10,FALSE)="","",VLOOKUP($I13,Max_Load_France!$B$2:$M$102,10,FALSE))</f>
        <v/>
      </c>
      <c r="U13" s="86" t="str">
        <f>IF(VLOOKUP($I13,Max_Load_France!$B$2:$M$102,11,FALSE)="","",VLOOKUP($I13,Max_Load_France!$B$2:$M$102,11,FALSE))</f>
        <v/>
      </c>
      <c r="V13" s="86">
        <f>IF(VLOOKUP($I13,Max_Load_France!$B$2:$M$102,12,FALSE)="","",VLOOKUP($I13,Max_Load_France!$B$2:$M$102,12,FALSE))</f>
        <v>5</v>
      </c>
      <c r="W13" s="99">
        <f t="shared" ref="W13:W36" si="2">SUM($X13:$AF13)</f>
        <v>42.39</v>
      </c>
      <c r="X13" s="100">
        <v>5.77</v>
      </c>
      <c r="Y13" s="100">
        <v>7.9</v>
      </c>
      <c r="Z13" s="100">
        <v>10.5</v>
      </c>
      <c r="AA13" s="100">
        <v>9.4700000000000006</v>
      </c>
      <c r="AB13" s="100">
        <v>8.75</v>
      </c>
      <c r="AC13" s="101"/>
      <c r="AD13" s="102"/>
      <c r="AE13" s="102"/>
      <c r="AF13" s="102"/>
      <c r="AG13" s="75">
        <f t="shared" ref="AG13:AG36" si="3">IF(SUMIF($M13:$U13,"=1",$X13:$AF13)=0,"",SUMIF($M13:$U13,"=1",$X13:$AF13))</f>
        <v>28.72</v>
      </c>
      <c r="AH13" s="75" t="str">
        <f t="shared" ref="AH13:AH26" si="4">IF(SUMIF($M13:$U13,"=2",$X13:$AF13)=0,"",SUMIF($M13:$U13,"=2",$X13:$AF13))</f>
        <v/>
      </c>
      <c r="AI13" s="75" t="str">
        <f t="shared" ref="AI13:AI26" si="5">IF(SUMIF($M13:$U13,"=3",$X13:$AF13)=0,"",SUMIF($M13:$U13,"=3",$X13:$AF13))</f>
        <v/>
      </c>
      <c r="AJ13" s="75" t="str">
        <f t="shared" ref="AJ13:AJ26" si="6">IF(SUMIF($M13:$U13,"=4",$X13:$AF13)=0,"",SUMIF($M13:$U13,"=4",$X13:$AF13))</f>
        <v/>
      </c>
      <c r="AK13" s="103">
        <f t="shared" ref="AK13:AK36" si="7">SUM(AL13:AP13)</f>
        <v>49.342609582059119</v>
      </c>
      <c r="AL13" s="100">
        <v>7.1707543323139653</v>
      </c>
      <c r="AM13" s="100">
        <v>10.170733944954128</v>
      </c>
      <c r="AN13" s="100">
        <v>10.433333333333334</v>
      </c>
      <c r="AO13" s="100">
        <v>10.726299694189601</v>
      </c>
      <c r="AP13" s="100">
        <v>10.841488277268093</v>
      </c>
      <c r="AQ13" s="101"/>
      <c r="AR13" s="102"/>
      <c r="AS13" s="102"/>
      <c r="AT13" s="102"/>
      <c r="AU13" s="75">
        <f t="shared" ref="AU13:AU36" si="8">IF(SUMIF($M13:$U13,"=1",$AL13:$AT13)=0,"",SUMIF($M13:$U13,"=1",$AL13:$AT13))</f>
        <v>32.001121304791027</v>
      </c>
      <c r="AV13" s="75" t="str">
        <f t="shared" ref="AV13:AV26" si="9">IF(SUMIF($M13:$U13,"=2",$AL13:$AT13)=0,"",SUMIF($M13:$U13,"=2",$AL13:$AT13))</f>
        <v/>
      </c>
      <c r="AW13" s="75" t="str">
        <f t="shared" ref="AW13:AW26" si="10">IF(SUMIF($M13:$U13,"=3",$AL13:$AT13)=0,"",SUMIF($M13:$U13,"=3",$AL13:$AT13))</f>
        <v/>
      </c>
      <c r="AX13" s="75" t="str">
        <f t="shared" ref="AX13:AX26" si="11">IF(SUMIF($M13:$U13,"=4",$AL13:$AT13)=0,"",SUMIF($M13:$U13,"=4",$AL13:$AT13))</f>
        <v/>
      </c>
      <c r="AY13" s="152">
        <f t="shared" ref="AY13:AY36" si="12">IF(W13&gt;0,(AK13-W13)/W13,"")</f>
        <v>0.1640153239457211</v>
      </c>
      <c r="AZ13" s="152">
        <f t="shared" ref="AZ13:AZ36" si="13">IF(X13&gt;0,(AL13-X13)/X13,"")</f>
        <v>0.24276504892789702</v>
      </c>
      <c r="BA13" s="152">
        <f t="shared" ref="BA13:BA36" si="14">IF(Y13&gt;0,(AM13-Y13)/Y13,"")</f>
        <v>0.28743467657647181</v>
      </c>
      <c r="BB13" s="152">
        <f t="shared" ref="BB13:BB36" si="15">IF(Z13&gt;0,(AN13-Z13)/Z13,"")</f>
        <v>-6.3492063492063266E-3</v>
      </c>
      <c r="BC13" s="152">
        <f t="shared" ref="BC13:BC36" si="16">IF(AA13&gt;0,(AO13-AA13)/AA13,"")</f>
        <v>0.13266100255434005</v>
      </c>
      <c r="BD13" s="152">
        <f t="shared" ref="BD13:BD36" si="17">IF(AB13&gt;0,(AP13-AB13)/AB13,"")</f>
        <v>0.23902723168778206</v>
      </c>
      <c r="BE13" s="152" t="str">
        <f t="shared" ref="BE13:BE36" si="18">IF(AC13&gt;0,(AQ13-AC13)/AC13,"")</f>
        <v/>
      </c>
      <c r="BF13" s="152" t="str">
        <f t="shared" ref="BF13:BF36" si="19">IF(AD13&gt;0,(AR13-AD13)/AD13,"")</f>
        <v/>
      </c>
      <c r="BG13" s="152" t="str">
        <f t="shared" ref="BG13:BG36" si="20">IF(AE13&gt;0,(AS13-AE13)/AE13,"")</f>
        <v/>
      </c>
      <c r="BH13" s="152" t="str">
        <f t="shared" ref="BH13:BH36" si="21">IF(AF13&gt;0,(AT13-AF13)/AF13,"")</f>
        <v/>
      </c>
      <c r="BI13" s="152">
        <f t="shared" ref="BI13:BI36" si="22">IF(AG13&gt;0,(AU13-AG13)/AG13,"")</f>
        <v>0.11424517077963192</v>
      </c>
      <c r="BJ13" s="152"/>
      <c r="BK13" s="152"/>
      <c r="BL13" s="152"/>
      <c r="BM13" s="76"/>
      <c r="BN13" s="94"/>
      <c r="BO13" s="94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</row>
    <row r="14" spans="1:78" s="89" customFormat="1" ht="12.75">
      <c r="A14" s="60" t="s">
        <v>287</v>
      </c>
      <c r="B14" s="61"/>
      <c r="C14" s="62"/>
      <c r="D14" s="1"/>
      <c r="E14" s="95"/>
      <c r="F14" s="1"/>
      <c r="G14" s="1"/>
      <c r="H14" s="2"/>
      <c r="I14" s="61" t="s">
        <v>94</v>
      </c>
      <c r="J14" s="74">
        <f>IF(ISERROR(VLOOKUP(I14,Max_Load_France!$B$2:$C$102,2,FALSE)/1000),"",VLOOKUP(I14,Max_Load_France!$B$2:$C$102,2,FALSE)/1000)</f>
        <v>40</v>
      </c>
      <c r="K14" s="64"/>
      <c r="L14" s="98">
        <f t="shared" si="0"/>
        <v>1.05975</v>
      </c>
      <c r="M14" s="86">
        <f>IF(VLOOKUP($I14,Max_Load_France!$B$2:$M$102,3,FALSE)="","",VLOOKUP($I14,Max_Load_France!$B$2:$M$102,3,FALSE))</f>
        <v>0</v>
      </c>
      <c r="N14" s="86">
        <f>IF(VLOOKUP($I14,Max_Load_France!$B$2:$M$102,4,FALSE)="","",VLOOKUP($I14,Max_Load_France!$B$2:$M$102,4,FALSE))</f>
        <v>0</v>
      </c>
      <c r="O14" s="86">
        <f>IF(VLOOKUP($I14,Max_Load_France!$B$2:$M$102,5,FALSE)="","",VLOOKUP($I14,Max_Load_France!$B$2:$M$102,5,FALSE))</f>
        <v>1</v>
      </c>
      <c r="P14" s="86">
        <f>IF(VLOOKUP($I14,Max_Load_France!$B$2:$M$102,6,FALSE)="","",VLOOKUP($I14,Max_Load_France!$B$2:$M$102,6,FALSE))</f>
        <v>1</v>
      </c>
      <c r="Q14" s="86">
        <f>IF(VLOOKUP($I14,Max_Load_France!$B$2:$M$102,7,FALSE)="","",VLOOKUP($I14,Max_Load_France!$B$2:$M$102,7,FALSE))</f>
        <v>1</v>
      </c>
      <c r="R14" s="86" t="str">
        <f>IF(VLOOKUP($I14,Max_Load_France!$B$2:$M$102,8,FALSE)="","",VLOOKUP($I14,Max_Load_France!$B$2:$M$102,8,FALSE))</f>
        <v/>
      </c>
      <c r="S14" s="86" t="str">
        <f>IF(VLOOKUP($I14,Max_Load_France!$B$2:$M$102,9,FALSE)="","",VLOOKUP($I14,Max_Load_France!$B$2:$M$102,9,FALSE))</f>
        <v/>
      </c>
      <c r="T14" s="86" t="str">
        <f>IF(VLOOKUP($I14,Max_Load_France!$B$2:$M$102,10,FALSE)="","",VLOOKUP($I14,Max_Load_France!$B$2:$M$102,10,FALSE))</f>
        <v/>
      </c>
      <c r="U14" s="86" t="str">
        <f>IF(VLOOKUP($I14,Max_Load_France!$B$2:$M$102,11,FALSE)="","",VLOOKUP($I14,Max_Load_France!$B$2:$M$102,11,FALSE))</f>
        <v/>
      </c>
      <c r="V14" s="86">
        <f>IF(VLOOKUP($I14,Max_Load_France!$B$2:$M$102,12,FALSE)="","",VLOOKUP($I14,Max_Load_France!$B$2:$M$102,12,FALSE))</f>
        <v>5</v>
      </c>
      <c r="W14" s="99">
        <f t="shared" si="2"/>
        <v>42.39</v>
      </c>
      <c r="X14" s="100">
        <v>5.77</v>
      </c>
      <c r="Y14" s="100">
        <v>7.9</v>
      </c>
      <c r="Z14" s="100">
        <v>10.5</v>
      </c>
      <c r="AA14" s="100">
        <v>9.4700000000000006</v>
      </c>
      <c r="AB14" s="100">
        <v>8.75</v>
      </c>
      <c r="AC14" s="101"/>
      <c r="AD14" s="102"/>
      <c r="AE14" s="102"/>
      <c r="AF14" s="102"/>
      <c r="AG14" s="75">
        <f t="shared" si="3"/>
        <v>28.72</v>
      </c>
      <c r="AH14" s="75" t="str">
        <f t="shared" si="4"/>
        <v/>
      </c>
      <c r="AI14" s="75" t="str">
        <f t="shared" si="5"/>
        <v/>
      </c>
      <c r="AJ14" s="75" t="str">
        <f t="shared" si="6"/>
        <v/>
      </c>
      <c r="AK14" s="103">
        <f t="shared" si="7"/>
        <v>44.063557594291538</v>
      </c>
      <c r="AL14" s="100">
        <v>5.5885524974515803</v>
      </c>
      <c r="AM14" s="100">
        <v>8.6054740061162089</v>
      </c>
      <c r="AN14" s="100">
        <v>9.6563302752293581</v>
      </c>
      <c r="AO14" s="100">
        <v>10.449949031600406</v>
      </c>
      <c r="AP14" s="100">
        <v>9.7632517838939847</v>
      </c>
      <c r="AQ14" s="101"/>
      <c r="AR14" s="102"/>
      <c r="AS14" s="102"/>
      <c r="AT14" s="102"/>
      <c r="AU14" s="75">
        <f t="shared" si="8"/>
        <v>29.869531090723747</v>
      </c>
      <c r="AV14" s="75" t="str">
        <f t="shared" si="9"/>
        <v/>
      </c>
      <c r="AW14" s="75" t="str">
        <f t="shared" si="10"/>
        <v/>
      </c>
      <c r="AX14" s="75" t="str">
        <f t="shared" si="11"/>
        <v/>
      </c>
      <c r="AY14" s="152">
        <f t="shared" si="12"/>
        <v>3.948000930152247E-2</v>
      </c>
      <c r="AZ14" s="152">
        <f t="shared" si="13"/>
        <v>-3.1446707547386349E-2</v>
      </c>
      <c r="BA14" s="152">
        <f t="shared" si="14"/>
        <v>8.9300507103317536E-2</v>
      </c>
      <c r="BB14" s="152">
        <f t="shared" si="15"/>
        <v>-8.0349497597204E-2</v>
      </c>
      <c r="BC14" s="152">
        <f t="shared" si="16"/>
        <v>0.10347930639919803</v>
      </c>
      <c r="BD14" s="152">
        <f t="shared" si="17"/>
        <v>0.11580020387359825</v>
      </c>
      <c r="BE14" s="152" t="str">
        <f t="shared" si="18"/>
        <v/>
      </c>
      <c r="BF14" s="152" t="str">
        <f t="shared" si="19"/>
        <v/>
      </c>
      <c r="BG14" s="152" t="str">
        <f t="shared" si="20"/>
        <v/>
      </c>
      <c r="BH14" s="152" t="str">
        <f t="shared" si="21"/>
        <v/>
      </c>
      <c r="BI14" s="152">
        <f t="shared" si="22"/>
        <v>4.0025455805144439E-2</v>
      </c>
      <c r="BJ14" s="152"/>
      <c r="BK14" s="152"/>
      <c r="BL14" s="152"/>
      <c r="BM14" s="76"/>
      <c r="BN14" s="94"/>
      <c r="BO14" s="94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</row>
    <row r="15" spans="1:78" s="89" customFormat="1" ht="12.75">
      <c r="A15" s="60" t="s">
        <v>288</v>
      </c>
      <c r="B15" s="61"/>
      <c r="C15" s="62"/>
      <c r="D15" s="1"/>
      <c r="E15" s="95"/>
      <c r="F15" s="1"/>
      <c r="G15" s="1"/>
      <c r="H15" s="2"/>
      <c r="I15" s="61" t="s">
        <v>94</v>
      </c>
      <c r="J15" s="74">
        <f>IF(ISERROR(VLOOKUP(I15,Max_Load_France!$B$2:$C$102,2,FALSE)/1000),"",VLOOKUP(I15,Max_Load_France!$B$2:$C$102,2,FALSE)/1000)</f>
        <v>40</v>
      </c>
      <c r="K15" s="64"/>
      <c r="L15" s="98">
        <f t="shared" si="0"/>
        <v>1.05975</v>
      </c>
      <c r="M15" s="86">
        <f>IF(VLOOKUP($I15,Max_Load_France!$B$2:$M$102,3,FALSE)="","",VLOOKUP($I15,Max_Load_France!$B$2:$M$102,3,FALSE))</f>
        <v>0</v>
      </c>
      <c r="N15" s="86">
        <f>IF(VLOOKUP($I15,Max_Load_France!$B$2:$M$102,4,FALSE)="","",VLOOKUP($I15,Max_Load_France!$B$2:$M$102,4,FALSE))</f>
        <v>0</v>
      </c>
      <c r="O15" s="86">
        <f>IF(VLOOKUP($I15,Max_Load_France!$B$2:$M$102,5,FALSE)="","",VLOOKUP($I15,Max_Load_France!$B$2:$M$102,5,FALSE))</f>
        <v>1</v>
      </c>
      <c r="P15" s="86">
        <f>IF(VLOOKUP($I15,Max_Load_France!$B$2:$M$102,6,FALSE)="","",VLOOKUP($I15,Max_Load_France!$B$2:$M$102,6,FALSE))</f>
        <v>1</v>
      </c>
      <c r="Q15" s="86">
        <f>IF(VLOOKUP($I15,Max_Load_France!$B$2:$M$102,7,FALSE)="","",VLOOKUP($I15,Max_Load_France!$B$2:$M$102,7,FALSE))</f>
        <v>1</v>
      </c>
      <c r="R15" s="86" t="str">
        <f>IF(VLOOKUP($I15,Max_Load_France!$B$2:$M$102,8,FALSE)="","",VLOOKUP($I15,Max_Load_France!$B$2:$M$102,8,FALSE))</f>
        <v/>
      </c>
      <c r="S15" s="86" t="str">
        <f>IF(VLOOKUP($I15,Max_Load_France!$B$2:$M$102,9,FALSE)="","",VLOOKUP($I15,Max_Load_France!$B$2:$M$102,9,FALSE))</f>
        <v/>
      </c>
      <c r="T15" s="86" t="str">
        <f>IF(VLOOKUP($I15,Max_Load_France!$B$2:$M$102,10,FALSE)="","",VLOOKUP($I15,Max_Load_France!$B$2:$M$102,10,FALSE))</f>
        <v/>
      </c>
      <c r="U15" s="86" t="str">
        <f>IF(VLOOKUP($I15,Max_Load_France!$B$2:$M$102,11,FALSE)="","",VLOOKUP($I15,Max_Load_France!$B$2:$M$102,11,FALSE))</f>
        <v/>
      </c>
      <c r="V15" s="86">
        <f>IF(VLOOKUP($I15,Max_Load_France!$B$2:$M$102,12,FALSE)="","",VLOOKUP($I15,Max_Load_France!$B$2:$M$102,12,FALSE))</f>
        <v>5</v>
      </c>
      <c r="W15" s="99">
        <f t="shared" si="2"/>
        <v>42.39</v>
      </c>
      <c r="X15" s="100">
        <v>5.77</v>
      </c>
      <c r="Y15" s="100">
        <v>7.9</v>
      </c>
      <c r="Z15" s="100">
        <v>10.5</v>
      </c>
      <c r="AA15" s="100">
        <v>9.4700000000000006</v>
      </c>
      <c r="AB15" s="100">
        <v>8.75</v>
      </c>
      <c r="AC15" s="101"/>
      <c r="AD15" s="102"/>
      <c r="AE15" s="102"/>
      <c r="AF15" s="102"/>
      <c r="AG15" s="75">
        <f t="shared" si="3"/>
        <v>28.72</v>
      </c>
      <c r="AH15" s="75" t="str">
        <f t="shared" si="4"/>
        <v/>
      </c>
      <c r="AI15" s="75" t="str">
        <f t="shared" si="5"/>
        <v/>
      </c>
      <c r="AJ15" s="75" t="str">
        <f t="shared" si="6"/>
        <v/>
      </c>
      <c r="AK15" s="103">
        <f t="shared" si="7"/>
        <v>54.989459734964321</v>
      </c>
      <c r="AL15" s="100">
        <v>8.2445056065239548</v>
      </c>
      <c r="AM15" s="100">
        <v>11.932619775739042</v>
      </c>
      <c r="AN15" s="100">
        <v>12.269520897043833</v>
      </c>
      <c r="AO15" s="100">
        <v>10.231702344546381</v>
      </c>
      <c r="AP15" s="100">
        <v>12.311111111111112</v>
      </c>
      <c r="AQ15" s="101"/>
      <c r="AR15" s="102"/>
      <c r="AS15" s="102"/>
      <c r="AT15" s="102"/>
      <c r="AU15" s="75">
        <f t="shared" si="8"/>
        <v>34.812334352701328</v>
      </c>
      <c r="AV15" s="75" t="str">
        <f t="shared" si="9"/>
        <v/>
      </c>
      <c r="AW15" s="75" t="str">
        <f t="shared" si="10"/>
        <v/>
      </c>
      <c r="AX15" s="75" t="str">
        <f t="shared" si="11"/>
        <v/>
      </c>
      <c r="AY15" s="152">
        <f t="shared" si="12"/>
        <v>0.29722716996849069</v>
      </c>
      <c r="AZ15" s="152">
        <f t="shared" si="13"/>
        <v>0.42885712418092814</v>
      </c>
      <c r="BA15" s="152">
        <f t="shared" si="14"/>
        <v>0.51045819946063808</v>
      </c>
      <c r="BB15" s="152">
        <f t="shared" si="15"/>
        <v>0.1685257997184603</v>
      </c>
      <c r="BC15" s="152">
        <f t="shared" si="16"/>
        <v>8.0433193721898666E-2</v>
      </c>
      <c r="BD15" s="152">
        <f t="shared" si="17"/>
        <v>0.40698412698412706</v>
      </c>
      <c r="BE15" s="152" t="str">
        <f t="shared" si="18"/>
        <v/>
      </c>
      <c r="BF15" s="152" t="str">
        <f t="shared" si="19"/>
        <v/>
      </c>
      <c r="BG15" s="152" t="str">
        <f t="shared" si="20"/>
        <v/>
      </c>
      <c r="BH15" s="152" t="str">
        <f t="shared" si="21"/>
        <v/>
      </c>
      <c r="BI15" s="152">
        <f t="shared" si="22"/>
        <v>0.21212863345060337</v>
      </c>
      <c r="BJ15" s="152"/>
      <c r="BK15" s="152"/>
      <c r="BL15" s="152"/>
      <c r="BM15" s="76"/>
      <c r="BN15" s="94"/>
      <c r="BO15" s="94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</row>
    <row r="16" spans="1:78" s="89" customFormat="1" ht="12.75">
      <c r="A16" s="60" t="s">
        <v>289</v>
      </c>
      <c r="B16" s="61"/>
      <c r="C16" s="62"/>
      <c r="D16" s="1"/>
      <c r="E16" s="95"/>
      <c r="F16" s="1"/>
      <c r="G16" s="1"/>
      <c r="H16" s="2"/>
      <c r="I16" s="61" t="s">
        <v>94</v>
      </c>
      <c r="J16" s="74">
        <f>IF(ISERROR(VLOOKUP(I16,Max_Load_France!$B$2:$C$102,2,FALSE)/1000),"",VLOOKUP(I16,Max_Load_France!$B$2:$C$102,2,FALSE)/1000)</f>
        <v>40</v>
      </c>
      <c r="K16" s="64"/>
      <c r="L16" s="98">
        <f t="shared" si="0"/>
        <v>1.05975</v>
      </c>
      <c r="M16" s="86">
        <f>IF(VLOOKUP($I16,Max_Load_France!$B$2:$M$102,3,FALSE)="","",VLOOKUP($I16,Max_Load_France!$B$2:$M$102,3,FALSE))</f>
        <v>0</v>
      </c>
      <c r="N16" s="86">
        <f>IF(VLOOKUP($I16,Max_Load_France!$B$2:$M$102,4,FALSE)="","",VLOOKUP($I16,Max_Load_France!$B$2:$M$102,4,FALSE))</f>
        <v>0</v>
      </c>
      <c r="O16" s="86">
        <f>IF(VLOOKUP($I16,Max_Load_France!$B$2:$M$102,5,FALSE)="","",VLOOKUP($I16,Max_Load_France!$B$2:$M$102,5,FALSE))</f>
        <v>1</v>
      </c>
      <c r="P16" s="86">
        <f>IF(VLOOKUP($I16,Max_Load_France!$B$2:$M$102,6,FALSE)="","",VLOOKUP($I16,Max_Load_France!$B$2:$M$102,6,FALSE))</f>
        <v>1</v>
      </c>
      <c r="Q16" s="86">
        <f>IF(VLOOKUP($I16,Max_Load_France!$B$2:$M$102,7,FALSE)="","",VLOOKUP($I16,Max_Load_France!$B$2:$M$102,7,FALSE))</f>
        <v>1</v>
      </c>
      <c r="R16" s="86" t="str">
        <f>IF(VLOOKUP($I16,Max_Load_France!$B$2:$M$102,8,FALSE)="","",VLOOKUP($I16,Max_Load_France!$B$2:$M$102,8,FALSE))</f>
        <v/>
      </c>
      <c r="S16" s="86" t="str">
        <f>IF(VLOOKUP($I16,Max_Load_France!$B$2:$M$102,9,FALSE)="","",VLOOKUP($I16,Max_Load_France!$B$2:$M$102,9,FALSE))</f>
        <v/>
      </c>
      <c r="T16" s="86" t="str">
        <f>IF(VLOOKUP($I16,Max_Load_France!$B$2:$M$102,10,FALSE)="","",VLOOKUP($I16,Max_Load_France!$B$2:$M$102,10,FALSE))</f>
        <v/>
      </c>
      <c r="U16" s="86" t="str">
        <f>IF(VLOOKUP($I16,Max_Load_France!$B$2:$M$102,11,FALSE)="","",VLOOKUP($I16,Max_Load_France!$B$2:$M$102,11,FALSE))</f>
        <v/>
      </c>
      <c r="V16" s="86">
        <f>IF(VLOOKUP($I16,Max_Load_France!$B$2:$M$102,12,FALSE)="","",VLOOKUP($I16,Max_Load_France!$B$2:$M$102,12,FALSE))</f>
        <v>5</v>
      </c>
      <c r="W16" s="99">
        <f t="shared" si="2"/>
        <v>42.39</v>
      </c>
      <c r="X16" s="100">
        <v>5.77</v>
      </c>
      <c r="Y16" s="100">
        <v>7.9</v>
      </c>
      <c r="Z16" s="100">
        <v>10.5</v>
      </c>
      <c r="AA16" s="100">
        <v>9.4700000000000006</v>
      </c>
      <c r="AB16" s="100">
        <v>8.75</v>
      </c>
      <c r="AC16" s="101"/>
      <c r="AD16" s="102"/>
      <c r="AE16" s="102"/>
      <c r="AF16" s="102"/>
      <c r="AG16" s="75">
        <f t="shared" si="3"/>
        <v>28.72</v>
      </c>
      <c r="AH16" s="75" t="str">
        <f t="shared" si="4"/>
        <v/>
      </c>
      <c r="AI16" s="75" t="str">
        <f t="shared" si="5"/>
        <v/>
      </c>
      <c r="AJ16" s="75" t="str">
        <f t="shared" si="6"/>
        <v/>
      </c>
      <c r="AK16" s="103">
        <f t="shared" si="7"/>
        <v>47.769887869520886</v>
      </c>
      <c r="AL16" s="100">
        <v>6.6576860346585107</v>
      </c>
      <c r="AM16" s="100">
        <v>9.8284709480122316</v>
      </c>
      <c r="AN16" s="100">
        <v>9.9492762487257895</v>
      </c>
      <c r="AO16" s="100">
        <v>10.813761467889908</v>
      </c>
      <c r="AP16" s="100">
        <v>10.520693170234454</v>
      </c>
      <c r="AQ16" s="101"/>
      <c r="AR16" s="102"/>
      <c r="AS16" s="102"/>
      <c r="AT16" s="102"/>
      <c r="AU16" s="75">
        <f t="shared" si="8"/>
        <v>31.283730886850151</v>
      </c>
      <c r="AV16" s="75" t="str">
        <f t="shared" si="9"/>
        <v/>
      </c>
      <c r="AW16" s="75" t="str">
        <f t="shared" si="10"/>
        <v/>
      </c>
      <c r="AX16" s="75" t="str">
        <f t="shared" si="11"/>
        <v/>
      </c>
      <c r="AY16" s="152">
        <f t="shared" si="12"/>
        <v>0.12691408043219829</v>
      </c>
      <c r="AZ16" s="152">
        <f t="shared" si="13"/>
        <v>0.15384506666525324</v>
      </c>
      <c r="BA16" s="152">
        <f t="shared" si="14"/>
        <v>0.24411024658382674</v>
      </c>
      <c r="BB16" s="152">
        <f t="shared" si="15"/>
        <v>-5.2449881073734328E-2</v>
      </c>
      <c r="BC16" s="152">
        <f t="shared" si="16"/>
        <v>0.14189667031572406</v>
      </c>
      <c r="BD16" s="152">
        <f t="shared" si="17"/>
        <v>0.20236493374108042</v>
      </c>
      <c r="BE16" s="152" t="str">
        <f t="shared" si="18"/>
        <v/>
      </c>
      <c r="BF16" s="152" t="str">
        <f t="shared" si="19"/>
        <v/>
      </c>
      <c r="BG16" s="152" t="str">
        <f t="shared" si="20"/>
        <v/>
      </c>
      <c r="BH16" s="152" t="str">
        <f t="shared" si="21"/>
        <v/>
      </c>
      <c r="BI16" s="152">
        <f t="shared" si="22"/>
        <v>8.926639578169053E-2</v>
      </c>
      <c r="BJ16" s="152"/>
      <c r="BK16" s="152"/>
      <c r="BL16" s="152"/>
      <c r="BM16" s="76"/>
      <c r="BN16" s="94"/>
      <c r="BO16" s="94"/>
      <c r="BP16" s="76"/>
      <c r="BQ16" s="76"/>
      <c r="BR16" s="76"/>
      <c r="BS16" s="76"/>
      <c r="BT16" s="76"/>
      <c r="BU16" s="76"/>
      <c r="BV16" s="76"/>
      <c r="BW16" s="76"/>
      <c r="BX16" s="76"/>
      <c r="BY16" s="76"/>
      <c r="BZ16" s="76"/>
    </row>
    <row r="17" spans="1:78" s="89" customFormat="1" ht="12.75">
      <c r="A17" s="60" t="s">
        <v>290</v>
      </c>
      <c r="B17" s="61"/>
      <c r="C17" s="62"/>
      <c r="D17" s="1"/>
      <c r="E17" s="95"/>
      <c r="F17" s="1"/>
      <c r="G17" s="1"/>
      <c r="H17" s="2"/>
      <c r="I17" s="61" t="s">
        <v>94</v>
      </c>
      <c r="J17" s="74">
        <f>IF(ISERROR(VLOOKUP(I17,Max_Load_France!$B$2:$C$102,2,FALSE)/1000),"",VLOOKUP(I17,Max_Load_France!$B$2:$C$102,2,FALSE)/1000)</f>
        <v>40</v>
      </c>
      <c r="K17" s="64"/>
      <c r="L17" s="98">
        <f t="shared" si="0"/>
        <v>1.05975</v>
      </c>
      <c r="M17" s="86">
        <f>IF(VLOOKUP($I17,Max_Load_France!$B$2:$M$102,3,FALSE)="","",VLOOKUP($I17,Max_Load_France!$B$2:$M$102,3,FALSE))</f>
        <v>0</v>
      </c>
      <c r="N17" s="86">
        <f>IF(VLOOKUP($I17,Max_Load_France!$B$2:$M$102,4,FALSE)="","",VLOOKUP($I17,Max_Load_France!$B$2:$M$102,4,FALSE))</f>
        <v>0</v>
      </c>
      <c r="O17" s="86">
        <f>IF(VLOOKUP($I17,Max_Load_France!$B$2:$M$102,5,FALSE)="","",VLOOKUP($I17,Max_Load_France!$B$2:$M$102,5,FALSE))</f>
        <v>1</v>
      </c>
      <c r="P17" s="86">
        <f>IF(VLOOKUP($I17,Max_Load_France!$B$2:$M$102,6,FALSE)="","",VLOOKUP($I17,Max_Load_France!$B$2:$M$102,6,FALSE))</f>
        <v>1</v>
      </c>
      <c r="Q17" s="86">
        <f>IF(VLOOKUP($I17,Max_Load_France!$B$2:$M$102,7,FALSE)="","",VLOOKUP($I17,Max_Load_France!$B$2:$M$102,7,FALSE))</f>
        <v>1</v>
      </c>
      <c r="R17" s="86" t="str">
        <f>IF(VLOOKUP($I17,Max_Load_France!$B$2:$M$102,8,FALSE)="","",VLOOKUP($I17,Max_Load_France!$B$2:$M$102,8,FALSE))</f>
        <v/>
      </c>
      <c r="S17" s="86" t="str">
        <f>IF(VLOOKUP($I17,Max_Load_France!$B$2:$M$102,9,FALSE)="","",VLOOKUP($I17,Max_Load_France!$B$2:$M$102,9,FALSE))</f>
        <v/>
      </c>
      <c r="T17" s="86" t="str">
        <f>IF(VLOOKUP($I17,Max_Load_France!$B$2:$M$102,10,FALSE)="","",VLOOKUP($I17,Max_Load_France!$B$2:$M$102,10,FALSE))</f>
        <v/>
      </c>
      <c r="U17" s="86" t="str">
        <f>IF(VLOOKUP($I17,Max_Load_France!$B$2:$M$102,11,FALSE)="","",VLOOKUP($I17,Max_Load_France!$B$2:$M$102,11,FALSE))</f>
        <v/>
      </c>
      <c r="V17" s="86">
        <f>IF(VLOOKUP($I17,Max_Load_France!$B$2:$M$102,12,FALSE)="","",VLOOKUP($I17,Max_Load_France!$B$2:$M$102,12,FALSE))</f>
        <v>5</v>
      </c>
      <c r="W17" s="99">
        <f t="shared" si="2"/>
        <v>42.39</v>
      </c>
      <c r="X17" s="100">
        <v>5.77</v>
      </c>
      <c r="Y17" s="100">
        <v>7.9</v>
      </c>
      <c r="Z17" s="100">
        <v>10.5</v>
      </c>
      <c r="AA17" s="100">
        <v>9.4700000000000006</v>
      </c>
      <c r="AB17" s="100">
        <v>8.75</v>
      </c>
      <c r="AC17" s="101"/>
      <c r="AD17" s="102"/>
      <c r="AE17" s="102"/>
      <c r="AF17" s="102"/>
      <c r="AG17" s="75">
        <f t="shared" si="3"/>
        <v>28.72</v>
      </c>
      <c r="AH17" s="75" t="str">
        <f t="shared" si="4"/>
        <v/>
      </c>
      <c r="AI17" s="75" t="str">
        <f t="shared" si="5"/>
        <v/>
      </c>
      <c r="AJ17" s="75" t="str">
        <f t="shared" si="6"/>
        <v/>
      </c>
      <c r="AK17" s="103">
        <f t="shared" si="7"/>
        <v>50.046177370030577</v>
      </c>
      <c r="AL17" s="100">
        <v>6.6767787971457695</v>
      </c>
      <c r="AM17" s="100">
        <v>10.095494393476045</v>
      </c>
      <c r="AN17" s="100">
        <v>10.920183486238532</v>
      </c>
      <c r="AO17" s="100">
        <v>11.478185524974515</v>
      </c>
      <c r="AP17" s="100">
        <v>10.875535168195718</v>
      </c>
      <c r="AQ17" s="101"/>
      <c r="AR17" s="102"/>
      <c r="AS17" s="102"/>
      <c r="AT17" s="102"/>
      <c r="AU17" s="75">
        <f t="shared" si="8"/>
        <v>33.273904179408767</v>
      </c>
      <c r="AV17" s="75" t="str">
        <f t="shared" si="9"/>
        <v/>
      </c>
      <c r="AW17" s="75" t="str">
        <f t="shared" si="10"/>
        <v/>
      </c>
      <c r="AX17" s="75" t="str">
        <f t="shared" si="11"/>
        <v/>
      </c>
      <c r="AY17" s="152">
        <f t="shared" si="12"/>
        <v>0.18061281835410653</v>
      </c>
      <c r="AZ17" s="152">
        <f t="shared" si="13"/>
        <v>0.15715403763358232</v>
      </c>
      <c r="BA17" s="152">
        <f t="shared" si="14"/>
        <v>0.27791068271848668</v>
      </c>
      <c r="BB17" s="152">
        <f t="shared" si="15"/>
        <v>4.0017474879860175E-2</v>
      </c>
      <c r="BC17" s="152">
        <f t="shared" si="16"/>
        <v>0.21205760559392972</v>
      </c>
      <c r="BD17" s="152">
        <f t="shared" si="17"/>
        <v>0.24291830493665348</v>
      </c>
      <c r="BE17" s="152" t="str">
        <f t="shared" si="18"/>
        <v/>
      </c>
      <c r="BF17" s="152" t="str">
        <f t="shared" si="19"/>
        <v/>
      </c>
      <c r="BG17" s="152" t="str">
        <f t="shared" si="20"/>
        <v/>
      </c>
      <c r="BH17" s="152" t="str">
        <f t="shared" si="21"/>
        <v/>
      </c>
      <c r="BI17" s="152">
        <f t="shared" si="22"/>
        <v>0.15856212323846686</v>
      </c>
      <c r="BJ17" s="152"/>
      <c r="BK17" s="152"/>
      <c r="BL17" s="152"/>
      <c r="BM17" s="76"/>
      <c r="BN17" s="94"/>
      <c r="BO17" s="94"/>
      <c r="BP17" s="76"/>
      <c r="BQ17" s="76"/>
      <c r="BR17" s="76"/>
      <c r="BS17" s="70"/>
      <c r="BT17" s="76"/>
      <c r="BU17" s="76"/>
      <c r="BV17" s="76"/>
      <c r="BW17" s="76"/>
      <c r="BX17" s="76"/>
      <c r="BY17" s="76"/>
      <c r="BZ17" s="76"/>
    </row>
    <row r="18" spans="1:78" s="89" customFormat="1" ht="12.75">
      <c r="A18" s="60" t="s">
        <v>291</v>
      </c>
      <c r="B18" s="61"/>
      <c r="C18" s="62"/>
      <c r="D18" s="65"/>
      <c r="E18" s="95"/>
      <c r="F18" s="1"/>
      <c r="G18" s="1"/>
      <c r="H18" s="2"/>
      <c r="I18" s="61" t="s">
        <v>94</v>
      </c>
      <c r="J18" s="74">
        <f>IF(ISERROR(VLOOKUP(I18,Max_Load_France!$B$2:$C$102,2,FALSE)/1000),"",VLOOKUP(I18,Max_Load_France!$B$2:$C$102,2,FALSE)/1000)</f>
        <v>40</v>
      </c>
      <c r="K18" s="64"/>
      <c r="L18" s="98">
        <f t="shared" si="0"/>
        <v>1.05975</v>
      </c>
      <c r="M18" s="86">
        <f>IF(VLOOKUP($I18,Max_Load_France!$B$2:$M$102,3,FALSE)="","",VLOOKUP($I18,Max_Load_France!$B$2:$M$102,3,FALSE))</f>
        <v>0</v>
      </c>
      <c r="N18" s="86">
        <f>IF(VLOOKUP($I18,Max_Load_France!$B$2:$M$102,4,FALSE)="","",VLOOKUP($I18,Max_Load_France!$B$2:$M$102,4,FALSE))</f>
        <v>0</v>
      </c>
      <c r="O18" s="86">
        <f>IF(VLOOKUP($I18,Max_Load_France!$B$2:$M$102,5,FALSE)="","",VLOOKUP($I18,Max_Load_France!$B$2:$M$102,5,FALSE))</f>
        <v>1</v>
      </c>
      <c r="P18" s="86">
        <f>IF(VLOOKUP($I18,Max_Load_France!$B$2:$M$102,6,FALSE)="","",VLOOKUP($I18,Max_Load_France!$B$2:$M$102,6,FALSE))</f>
        <v>1</v>
      </c>
      <c r="Q18" s="86">
        <f>IF(VLOOKUP($I18,Max_Load_France!$B$2:$M$102,7,FALSE)="","",VLOOKUP($I18,Max_Load_France!$B$2:$M$102,7,FALSE))</f>
        <v>1</v>
      </c>
      <c r="R18" s="86" t="str">
        <f>IF(VLOOKUP($I18,Max_Load_France!$B$2:$M$102,8,FALSE)="","",VLOOKUP($I18,Max_Load_France!$B$2:$M$102,8,FALSE))</f>
        <v/>
      </c>
      <c r="S18" s="86" t="str">
        <f>IF(VLOOKUP($I18,Max_Load_France!$B$2:$M$102,9,FALSE)="","",VLOOKUP($I18,Max_Load_France!$B$2:$M$102,9,FALSE))</f>
        <v/>
      </c>
      <c r="T18" s="86" t="str">
        <f>IF(VLOOKUP($I18,Max_Load_France!$B$2:$M$102,10,FALSE)="","",VLOOKUP($I18,Max_Load_France!$B$2:$M$102,10,FALSE))</f>
        <v/>
      </c>
      <c r="U18" s="86" t="str">
        <f>IF(VLOOKUP($I18,Max_Load_France!$B$2:$M$102,11,FALSE)="","",VLOOKUP($I18,Max_Load_France!$B$2:$M$102,11,FALSE))</f>
        <v/>
      </c>
      <c r="V18" s="86">
        <f>IF(VLOOKUP($I18,Max_Load_France!$B$2:$M$102,12,FALSE)="","",VLOOKUP($I18,Max_Load_France!$B$2:$M$102,12,FALSE))</f>
        <v>5</v>
      </c>
      <c r="W18" s="99">
        <f t="shared" si="2"/>
        <v>42.39</v>
      </c>
      <c r="X18" s="100">
        <v>5.77</v>
      </c>
      <c r="Y18" s="100">
        <v>7.9</v>
      </c>
      <c r="Z18" s="100">
        <v>10.5</v>
      </c>
      <c r="AA18" s="100">
        <v>9.4700000000000006</v>
      </c>
      <c r="AB18" s="100">
        <v>8.75</v>
      </c>
      <c r="AC18" s="101"/>
      <c r="AD18" s="102"/>
      <c r="AE18" s="102"/>
      <c r="AF18" s="102"/>
      <c r="AG18" s="75">
        <f t="shared" si="3"/>
        <v>28.72</v>
      </c>
      <c r="AH18" s="75" t="str">
        <f t="shared" si="4"/>
        <v/>
      </c>
      <c r="AI18" s="75" t="str">
        <f t="shared" si="5"/>
        <v/>
      </c>
      <c r="AJ18" s="75" t="str">
        <f t="shared" si="6"/>
        <v/>
      </c>
      <c r="AK18" s="103">
        <f t="shared" si="7"/>
        <v>48.570193679918454</v>
      </c>
      <c r="AL18" s="100">
        <v>6.7110091743119256</v>
      </c>
      <c r="AM18" s="100">
        <v>9.8398165137614679</v>
      </c>
      <c r="AN18" s="100">
        <v>10.450050968399593</v>
      </c>
      <c r="AO18" s="100">
        <v>10.773700305810397</v>
      </c>
      <c r="AP18" s="100">
        <v>10.795616717635065</v>
      </c>
      <c r="AQ18" s="101"/>
      <c r="AR18" s="102"/>
      <c r="AS18" s="102"/>
      <c r="AT18" s="102"/>
      <c r="AU18" s="75">
        <f t="shared" si="8"/>
        <v>32.019367991845051</v>
      </c>
      <c r="AV18" s="75" t="str">
        <f t="shared" si="9"/>
        <v/>
      </c>
      <c r="AW18" s="75" t="str">
        <f t="shared" si="10"/>
        <v/>
      </c>
      <c r="AX18" s="75" t="str">
        <f t="shared" si="11"/>
        <v/>
      </c>
      <c r="AY18" s="152">
        <f t="shared" si="12"/>
        <v>0.14579367020331335</v>
      </c>
      <c r="AZ18" s="152">
        <f t="shared" si="13"/>
        <v>0.16308651201246552</v>
      </c>
      <c r="BA18" s="152">
        <f t="shared" si="14"/>
        <v>0.2455463941470212</v>
      </c>
      <c r="BB18" s="152">
        <f t="shared" si="15"/>
        <v>-4.7570506286102304E-3</v>
      </c>
      <c r="BC18" s="152">
        <f t="shared" si="16"/>
        <v>0.13766634697047483</v>
      </c>
      <c r="BD18" s="152">
        <f t="shared" si="17"/>
        <v>0.2337847677297217</v>
      </c>
      <c r="BE18" s="152" t="str">
        <f t="shared" si="18"/>
        <v/>
      </c>
      <c r="BF18" s="152" t="str">
        <f t="shared" si="19"/>
        <v/>
      </c>
      <c r="BG18" s="152" t="str">
        <f t="shared" si="20"/>
        <v/>
      </c>
      <c r="BH18" s="152" t="str">
        <f t="shared" si="21"/>
        <v/>
      </c>
      <c r="BI18" s="152">
        <f t="shared" si="22"/>
        <v>0.11488050110881103</v>
      </c>
      <c r="BJ18" s="152"/>
      <c r="BK18" s="152"/>
      <c r="BL18" s="152"/>
      <c r="BM18" s="76"/>
      <c r="BN18" s="94"/>
      <c r="BO18" s="94"/>
      <c r="BP18" s="76"/>
      <c r="BQ18" s="76"/>
      <c r="BR18" s="76"/>
      <c r="BS18" s="70"/>
      <c r="BT18" s="76"/>
      <c r="BU18" s="76"/>
      <c r="BV18" s="76"/>
      <c r="BW18" s="76"/>
      <c r="BX18" s="76"/>
      <c r="BY18" s="76"/>
      <c r="BZ18" s="76"/>
    </row>
    <row r="19" spans="1:78" s="89" customFormat="1" ht="12.75">
      <c r="A19" s="60" t="s">
        <v>292</v>
      </c>
      <c r="B19" s="61"/>
      <c r="C19" s="62"/>
      <c r="D19" s="65"/>
      <c r="E19" s="95"/>
      <c r="F19" s="1"/>
      <c r="G19" s="1"/>
      <c r="H19" s="2"/>
      <c r="I19" s="61" t="s">
        <v>94</v>
      </c>
      <c r="J19" s="74">
        <f>IF(ISERROR(VLOOKUP(I19,Max_Load_France!$B$2:$C$102,2,FALSE)/1000),"",VLOOKUP(I19,Max_Load_France!$B$2:$C$102,2,FALSE)/1000)</f>
        <v>40</v>
      </c>
      <c r="K19" s="64"/>
      <c r="L19" s="98">
        <f t="shared" si="0"/>
        <v>1.05975</v>
      </c>
      <c r="M19" s="86">
        <f>IF(VLOOKUP($I19,Max_Load_France!$B$2:$M$102,3,FALSE)="","",VLOOKUP($I19,Max_Load_France!$B$2:$M$102,3,FALSE))</f>
        <v>0</v>
      </c>
      <c r="N19" s="86">
        <f>IF(VLOOKUP($I19,Max_Load_France!$B$2:$M$102,4,FALSE)="","",VLOOKUP($I19,Max_Load_France!$B$2:$M$102,4,FALSE))</f>
        <v>0</v>
      </c>
      <c r="O19" s="86">
        <f>IF(VLOOKUP($I19,Max_Load_France!$B$2:$M$102,5,FALSE)="","",VLOOKUP($I19,Max_Load_France!$B$2:$M$102,5,FALSE))</f>
        <v>1</v>
      </c>
      <c r="P19" s="86">
        <f>IF(VLOOKUP($I19,Max_Load_France!$B$2:$M$102,6,FALSE)="","",VLOOKUP($I19,Max_Load_France!$B$2:$M$102,6,FALSE))</f>
        <v>1</v>
      </c>
      <c r="Q19" s="86">
        <f>IF(VLOOKUP($I19,Max_Load_France!$B$2:$M$102,7,FALSE)="","",VLOOKUP($I19,Max_Load_France!$B$2:$M$102,7,FALSE))</f>
        <v>1</v>
      </c>
      <c r="R19" s="86" t="str">
        <f>IF(VLOOKUP($I19,Max_Load_France!$B$2:$M$102,8,FALSE)="","",VLOOKUP($I19,Max_Load_France!$B$2:$M$102,8,FALSE))</f>
        <v/>
      </c>
      <c r="S19" s="86" t="str">
        <f>IF(VLOOKUP($I19,Max_Load_France!$B$2:$M$102,9,FALSE)="","",VLOOKUP($I19,Max_Load_France!$B$2:$M$102,9,FALSE))</f>
        <v/>
      </c>
      <c r="T19" s="86" t="str">
        <f>IF(VLOOKUP($I19,Max_Load_France!$B$2:$M$102,10,FALSE)="","",VLOOKUP($I19,Max_Load_France!$B$2:$M$102,10,FALSE))</f>
        <v/>
      </c>
      <c r="U19" s="86" t="str">
        <f>IF(VLOOKUP($I19,Max_Load_France!$B$2:$M$102,11,FALSE)="","",VLOOKUP($I19,Max_Load_France!$B$2:$M$102,11,FALSE))</f>
        <v/>
      </c>
      <c r="V19" s="86">
        <f>IF(VLOOKUP($I19,Max_Load_France!$B$2:$M$102,12,FALSE)="","",VLOOKUP($I19,Max_Load_France!$B$2:$M$102,12,FALSE))</f>
        <v>5</v>
      </c>
      <c r="W19" s="99">
        <f t="shared" si="2"/>
        <v>42.39</v>
      </c>
      <c r="X19" s="100">
        <v>5.77</v>
      </c>
      <c r="Y19" s="100">
        <v>7.9</v>
      </c>
      <c r="Z19" s="100">
        <v>10.5</v>
      </c>
      <c r="AA19" s="100">
        <v>9.4700000000000006</v>
      </c>
      <c r="AB19" s="100">
        <v>8.75</v>
      </c>
      <c r="AC19" s="101"/>
      <c r="AD19" s="102"/>
      <c r="AE19" s="102"/>
      <c r="AF19" s="102"/>
      <c r="AG19" s="75">
        <f t="shared" si="3"/>
        <v>28.72</v>
      </c>
      <c r="AH19" s="75" t="str">
        <f t="shared" si="4"/>
        <v/>
      </c>
      <c r="AI19" s="75" t="str">
        <f t="shared" si="5"/>
        <v/>
      </c>
      <c r="AJ19" s="75" t="str">
        <f t="shared" si="6"/>
        <v/>
      </c>
      <c r="AK19" s="103">
        <f t="shared" si="7"/>
        <v>44.060540265035677</v>
      </c>
      <c r="AL19" s="100">
        <v>6.1366666666666658</v>
      </c>
      <c r="AM19" s="100">
        <v>8.7974617737003058</v>
      </c>
      <c r="AN19" s="100">
        <v>9.5127115188583069</v>
      </c>
      <c r="AO19" s="100">
        <v>10.17683995922528</v>
      </c>
      <c r="AP19" s="100">
        <v>9.4368603465851155</v>
      </c>
      <c r="AQ19" s="101"/>
      <c r="AR19" s="102"/>
      <c r="AS19" s="102"/>
      <c r="AT19" s="102"/>
      <c r="AU19" s="75">
        <f t="shared" si="8"/>
        <v>29.1264118246687</v>
      </c>
      <c r="AV19" s="75" t="str">
        <f t="shared" si="9"/>
        <v/>
      </c>
      <c r="AW19" s="75" t="str">
        <f t="shared" si="10"/>
        <v/>
      </c>
      <c r="AX19" s="75" t="str">
        <f t="shared" si="11"/>
        <v/>
      </c>
      <c r="AY19" s="152">
        <f t="shared" si="12"/>
        <v>3.9408829087890444E-2</v>
      </c>
      <c r="AZ19" s="152">
        <f t="shared" si="13"/>
        <v>6.3547082611207326E-2</v>
      </c>
      <c r="BA19" s="152">
        <f t="shared" si="14"/>
        <v>0.11360275616459561</v>
      </c>
      <c r="BB19" s="152">
        <f t="shared" si="15"/>
        <v>-9.4027474394446961E-2</v>
      </c>
      <c r="BC19" s="152">
        <f t="shared" si="16"/>
        <v>7.4639911217030536E-2</v>
      </c>
      <c r="BD19" s="152">
        <f t="shared" si="17"/>
        <v>7.8498325324013199E-2</v>
      </c>
      <c r="BE19" s="152" t="str">
        <f t="shared" si="18"/>
        <v/>
      </c>
      <c r="BF19" s="152" t="str">
        <f t="shared" si="19"/>
        <v/>
      </c>
      <c r="BG19" s="152" t="str">
        <f t="shared" si="20"/>
        <v/>
      </c>
      <c r="BH19" s="152" t="str">
        <f t="shared" si="21"/>
        <v/>
      </c>
      <c r="BI19" s="152">
        <f t="shared" si="22"/>
        <v>1.4150829549745879E-2</v>
      </c>
      <c r="BJ19" s="152"/>
      <c r="BK19" s="152"/>
      <c r="BL19" s="152"/>
      <c r="BM19" s="76"/>
      <c r="BN19" s="94"/>
      <c r="BO19" s="94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</row>
    <row r="20" spans="1:78" s="89" customFormat="1" ht="12.75">
      <c r="A20" s="60" t="s">
        <v>293</v>
      </c>
      <c r="B20" s="61"/>
      <c r="C20" s="62"/>
      <c r="D20" s="1"/>
      <c r="E20" s="95"/>
      <c r="F20" s="1"/>
      <c r="G20" s="1"/>
      <c r="H20" s="2"/>
      <c r="I20" s="61" t="s">
        <v>94</v>
      </c>
      <c r="J20" s="74">
        <f>IF(ISERROR(VLOOKUP(I20,Max_Load_France!$B$2:$C$102,2,FALSE)/1000),"",VLOOKUP(I20,Max_Load_France!$B$2:$C$102,2,FALSE)/1000)</f>
        <v>40</v>
      </c>
      <c r="K20" s="64"/>
      <c r="L20" s="98">
        <f t="shared" si="0"/>
        <v>1.05975</v>
      </c>
      <c r="M20" s="86">
        <f>IF(VLOOKUP($I20,Max_Load_France!$B$2:$M$102,3,FALSE)="","",VLOOKUP($I20,Max_Load_France!$B$2:$M$102,3,FALSE))</f>
        <v>0</v>
      </c>
      <c r="N20" s="86">
        <f>IF(VLOOKUP($I20,Max_Load_France!$B$2:$M$102,4,FALSE)="","",VLOOKUP($I20,Max_Load_France!$B$2:$M$102,4,FALSE))</f>
        <v>0</v>
      </c>
      <c r="O20" s="86">
        <f>IF(VLOOKUP($I20,Max_Load_France!$B$2:$M$102,5,FALSE)="","",VLOOKUP($I20,Max_Load_France!$B$2:$M$102,5,FALSE))</f>
        <v>1</v>
      </c>
      <c r="P20" s="86">
        <f>IF(VLOOKUP($I20,Max_Load_France!$B$2:$M$102,6,FALSE)="","",VLOOKUP($I20,Max_Load_France!$B$2:$M$102,6,FALSE))</f>
        <v>1</v>
      </c>
      <c r="Q20" s="86">
        <f>IF(VLOOKUP($I20,Max_Load_France!$B$2:$M$102,7,FALSE)="","",VLOOKUP($I20,Max_Load_France!$B$2:$M$102,7,FALSE))</f>
        <v>1</v>
      </c>
      <c r="R20" s="86" t="str">
        <f>IF(VLOOKUP($I20,Max_Load_France!$B$2:$M$102,8,FALSE)="","",VLOOKUP($I20,Max_Load_France!$B$2:$M$102,8,FALSE))</f>
        <v/>
      </c>
      <c r="S20" s="86" t="str">
        <f>IF(VLOOKUP($I20,Max_Load_France!$B$2:$M$102,9,FALSE)="","",VLOOKUP($I20,Max_Load_France!$B$2:$M$102,9,FALSE))</f>
        <v/>
      </c>
      <c r="T20" s="86" t="str">
        <f>IF(VLOOKUP($I20,Max_Load_France!$B$2:$M$102,10,FALSE)="","",VLOOKUP($I20,Max_Load_France!$B$2:$M$102,10,FALSE))</f>
        <v/>
      </c>
      <c r="U20" s="86" t="str">
        <f>IF(VLOOKUP($I20,Max_Load_France!$B$2:$M$102,11,FALSE)="","",VLOOKUP($I20,Max_Load_France!$B$2:$M$102,11,FALSE))</f>
        <v/>
      </c>
      <c r="V20" s="86">
        <f>IF(VLOOKUP($I20,Max_Load_France!$B$2:$M$102,12,FALSE)="","",VLOOKUP($I20,Max_Load_France!$B$2:$M$102,12,FALSE))</f>
        <v>5</v>
      </c>
      <c r="W20" s="99">
        <f t="shared" si="2"/>
        <v>42.39</v>
      </c>
      <c r="X20" s="100">
        <v>5.77</v>
      </c>
      <c r="Y20" s="100">
        <v>7.9</v>
      </c>
      <c r="Z20" s="100">
        <v>10.5</v>
      </c>
      <c r="AA20" s="100">
        <v>9.4700000000000006</v>
      </c>
      <c r="AB20" s="100">
        <v>8.75</v>
      </c>
      <c r="AC20" s="101"/>
      <c r="AD20" s="102"/>
      <c r="AE20" s="102"/>
      <c r="AF20" s="102"/>
      <c r="AG20" s="75">
        <f t="shared" si="3"/>
        <v>28.72</v>
      </c>
      <c r="AH20" s="75" t="str">
        <f t="shared" si="4"/>
        <v/>
      </c>
      <c r="AI20" s="75" t="str">
        <f t="shared" si="5"/>
        <v/>
      </c>
      <c r="AJ20" s="75" t="str">
        <f t="shared" si="6"/>
        <v/>
      </c>
      <c r="AK20" s="103">
        <f t="shared" si="7"/>
        <v>41.825871559633022</v>
      </c>
      <c r="AL20" s="100">
        <v>5.1803873598369012</v>
      </c>
      <c r="AM20" s="100">
        <v>8.1305300713557589</v>
      </c>
      <c r="AN20" s="100">
        <v>8.7923649337410801</v>
      </c>
      <c r="AO20" s="100">
        <v>10.804791029561672</v>
      </c>
      <c r="AP20" s="100">
        <v>8.9177981651376133</v>
      </c>
      <c r="AQ20" s="101"/>
      <c r="AR20" s="102"/>
      <c r="AS20" s="102"/>
      <c r="AT20" s="102"/>
      <c r="AU20" s="75">
        <f t="shared" si="8"/>
        <v>28.514954128440365</v>
      </c>
      <c r="AV20" s="75" t="str">
        <f t="shared" si="9"/>
        <v/>
      </c>
      <c r="AW20" s="75" t="str">
        <f t="shared" si="10"/>
        <v/>
      </c>
      <c r="AX20" s="75" t="str">
        <f t="shared" si="11"/>
        <v/>
      </c>
      <c r="AY20" s="152">
        <f t="shared" si="12"/>
        <v>-1.3308054738546323E-2</v>
      </c>
      <c r="AZ20" s="152">
        <f t="shared" si="13"/>
        <v>-0.10218589950833594</v>
      </c>
      <c r="BA20" s="152">
        <f t="shared" si="14"/>
        <v>2.9181021690602344E-2</v>
      </c>
      <c r="BB20" s="152">
        <f t="shared" si="15"/>
        <v>-0.16263191107227809</v>
      </c>
      <c r="BC20" s="152">
        <f t="shared" si="16"/>
        <v>0.14094942234019761</v>
      </c>
      <c r="BD20" s="152">
        <f t="shared" si="17"/>
        <v>1.9176933158584372E-2</v>
      </c>
      <c r="BE20" s="152" t="str">
        <f t="shared" si="18"/>
        <v/>
      </c>
      <c r="BF20" s="152" t="str">
        <f t="shared" si="19"/>
        <v/>
      </c>
      <c r="BG20" s="152" t="str">
        <f t="shared" si="20"/>
        <v/>
      </c>
      <c r="BH20" s="152" t="str">
        <f t="shared" si="21"/>
        <v/>
      </c>
      <c r="BI20" s="152">
        <f t="shared" si="22"/>
        <v>-7.1394802075081306E-3</v>
      </c>
      <c r="BJ20" s="152"/>
      <c r="BK20" s="152"/>
      <c r="BL20" s="152"/>
      <c r="BM20" s="76"/>
      <c r="BN20" s="94"/>
      <c r="BO20" s="94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</row>
    <row r="21" spans="1:78" s="89" customFormat="1" ht="12.75">
      <c r="A21" s="60" t="s">
        <v>294</v>
      </c>
      <c r="B21" s="61"/>
      <c r="C21" s="62"/>
      <c r="D21" s="1"/>
      <c r="E21" s="95"/>
      <c r="F21" s="1"/>
      <c r="G21" s="1"/>
      <c r="H21" s="2"/>
      <c r="I21" s="61" t="s">
        <v>94</v>
      </c>
      <c r="J21" s="74">
        <f>IF(ISERROR(VLOOKUP(I21,Max_Load_France!$B$2:$C$102,2,FALSE)/1000),"",VLOOKUP(I21,Max_Load_France!$B$2:$C$102,2,FALSE)/1000)</f>
        <v>40</v>
      </c>
      <c r="K21" s="64"/>
      <c r="L21" s="98">
        <f t="shared" si="0"/>
        <v>1.05975</v>
      </c>
      <c r="M21" s="86">
        <f>IF(VLOOKUP($I21,Max_Load_France!$B$2:$M$102,3,FALSE)="","",VLOOKUP($I21,Max_Load_France!$B$2:$M$102,3,FALSE))</f>
        <v>0</v>
      </c>
      <c r="N21" s="86">
        <f>IF(VLOOKUP($I21,Max_Load_France!$B$2:$M$102,4,FALSE)="","",VLOOKUP($I21,Max_Load_France!$B$2:$M$102,4,FALSE))</f>
        <v>0</v>
      </c>
      <c r="O21" s="86">
        <f>IF(VLOOKUP($I21,Max_Load_France!$B$2:$M$102,5,FALSE)="","",VLOOKUP($I21,Max_Load_France!$B$2:$M$102,5,FALSE))</f>
        <v>1</v>
      </c>
      <c r="P21" s="86">
        <f>IF(VLOOKUP($I21,Max_Load_France!$B$2:$M$102,6,FALSE)="","",VLOOKUP($I21,Max_Load_France!$B$2:$M$102,6,FALSE))</f>
        <v>1</v>
      </c>
      <c r="Q21" s="86">
        <f>IF(VLOOKUP($I21,Max_Load_France!$B$2:$M$102,7,FALSE)="","",VLOOKUP($I21,Max_Load_France!$B$2:$M$102,7,FALSE))</f>
        <v>1</v>
      </c>
      <c r="R21" s="86" t="str">
        <f>IF(VLOOKUP($I21,Max_Load_France!$B$2:$M$102,8,FALSE)="","",VLOOKUP($I21,Max_Load_France!$B$2:$M$102,8,FALSE))</f>
        <v/>
      </c>
      <c r="S21" s="86" t="str">
        <f>IF(VLOOKUP($I21,Max_Load_France!$B$2:$M$102,9,FALSE)="","",VLOOKUP($I21,Max_Load_France!$B$2:$M$102,9,FALSE))</f>
        <v/>
      </c>
      <c r="T21" s="86" t="str">
        <f>IF(VLOOKUP($I21,Max_Load_France!$B$2:$M$102,10,FALSE)="","",VLOOKUP($I21,Max_Load_France!$B$2:$M$102,10,FALSE))</f>
        <v/>
      </c>
      <c r="U21" s="86" t="str">
        <f>IF(VLOOKUP($I21,Max_Load_France!$B$2:$M$102,11,FALSE)="","",VLOOKUP($I21,Max_Load_France!$B$2:$M$102,11,FALSE))</f>
        <v/>
      </c>
      <c r="V21" s="86">
        <f>IF(VLOOKUP($I21,Max_Load_France!$B$2:$M$102,12,FALSE)="","",VLOOKUP($I21,Max_Load_France!$B$2:$M$102,12,FALSE))</f>
        <v>5</v>
      </c>
      <c r="W21" s="99">
        <f t="shared" si="2"/>
        <v>42.39</v>
      </c>
      <c r="X21" s="100">
        <v>5.77</v>
      </c>
      <c r="Y21" s="100">
        <v>7.9</v>
      </c>
      <c r="Z21" s="100">
        <v>10.5</v>
      </c>
      <c r="AA21" s="100">
        <v>9.4700000000000006</v>
      </c>
      <c r="AB21" s="100">
        <v>8.75</v>
      </c>
      <c r="AC21" s="101"/>
      <c r="AD21" s="102"/>
      <c r="AE21" s="102"/>
      <c r="AF21" s="102"/>
      <c r="AG21" s="75">
        <f t="shared" si="3"/>
        <v>28.72</v>
      </c>
      <c r="AH21" s="75" t="str">
        <f t="shared" si="4"/>
        <v/>
      </c>
      <c r="AI21" s="75" t="str">
        <f t="shared" si="5"/>
        <v/>
      </c>
      <c r="AJ21" s="75" t="str">
        <f t="shared" si="6"/>
        <v/>
      </c>
      <c r="AK21" s="103">
        <f t="shared" si="7"/>
        <v>49.825056065239551</v>
      </c>
      <c r="AL21" s="100">
        <v>7.124831804281345</v>
      </c>
      <c r="AM21" s="100">
        <v>10.53078491335372</v>
      </c>
      <c r="AN21" s="100">
        <v>11.065749235474007</v>
      </c>
      <c r="AO21" s="100">
        <v>10.058328236493374</v>
      </c>
      <c r="AP21" s="100">
        <v>11.045361875637106</v>
      </c>
      <c r="AQ21" s="101"/>
      <c r="AR21" s="102"/>
      <c r="AS21" s="102"/>
      <c r="AT21" s="102"/>
      <c r="AU21" s="75">
        <f t="shared" si="8"/>
        <v>32.169439347604488</v>
      </c>
      <c r="AV21" s="75" t="str">
        <f t="shared" si="9"/>
        <v/>
      </c>
      <c r="AW21" s="75" t="str">
        <f t="shared" si="10"/>
        <v/>
      </c>
      <c r="AX21" s="75" t="str">
        <f t="shared" si="11"/>
        <v/>
      </c>
      <c r="AY21" s="152">
        <f t="shared" si="12"/>
        <v>0.17539646296861405</v>
      </c>
      <c r="AZ21" s="152">
        <f t="shared" si="13"/>
        <v>0.23480620524806681</v>
      </c>
      <c r="BA21" s="152">
        <f t="shared" si="14"/>
        <v>0.33301074852578733</v>
      </c>
      <c r="BB21" s="152">
        <f t="shared" si="15"/>
        <v>5.388087956895303E-2</v>
      </c>
      <c r="BC21" s="152">
        <f t="shared" si="16"/>
        <v>6.2125473758539919E-2</v>
      </c>
      <c r="BD21" s="152">
        <f t="shared" si="17"/>
        <v>0.26232707150138351</v>
      </c>
      <c r="BE21" s="152" t="str">
        <f t="shared" si="18"/>
        <v/>
      </c>
      <c r="BF21" s="152" t="str">
        <f t="shared" si="19"/>
        <v/>
      </c>
      <c r="BG21" s="152" t="str">
        <f t="shared" si="20"/>
        <v/>
      </c>
      <c r="BH21" s="152" t="str">
        <f t="shared" si="21"/>
        <v/>
      </c>
      <c r="BI21" s="152">
        <f t="shared" si="22"/>
        <v>0.12010582686645158</v>
      </c>
      <c r="BJ21" s="152"/>
      <c r="BK21" s="152"/>
      <c r="BL21" s="152"/>
      <c r="BM21" s="76"/>
      <c r="BN21" s="94"/>
      <c r="BO21" s="94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</row>
    <row r="22" spans="1:78" s="89" customFormat="1" ht="12.75">
      <c r="A22" s="60" t="s">
        <v>295</v>
      </c>
      <c r="B22" s="61"/>
      <c r="C22" s="62"/>
      <c r="D22" s="1"/>
      <c r="E22" s="95"/>
      <c r="F22" s="1"/>
      <c r="G22" s="1"/>
      <c r="H22" s="2"/>
      <c r="I22" s="61" t="s">
        <v>94</v>
      </c>
      <c r="J22" s="74">
        <f>IF(ISERROR(VLOOKUP(I22,Max_Load_France!$B$2:$C$102,2,FALSE)/1000),"",VLOOKUP(I22,Max_Load_France!$B$2:$C$102,2,FALSE)/1000)</f>
        <v>40</v>
      </c>
      <c r="K22" s="64"/>
      <c r="L22" s="98">
        <f t="shared" si="0"/>
        <v>1.05975</v>
      </c>
      <c r="M22" s="86">
        <f>IF(VLOOKUP($I22,Max_Load_France!$B$2:$M$102,3,FALSE)="","",VLOOKUP($I22,Max_Load_France!$B$2:$M$102,3,FALSE))</f>
        <v>0</v>
      </c>
      <c r="N22" s="86">
        <f>IF(VLOOKUP($I22,Max_Load_France!$B$2:$M$102,4,FALSE)="","",VLOOKUP($I22,Max_Load_France!$B$2:$M$102,4,FALSE))</f>
        <v>0</v>
      </c>
      <c r="O22" s="86">
        <f>IF(VLOOKUP($I22,Max_Load_France!$B$2:$M$102,5,FALSE)="","",VLOOKUP($I22,Max_Load_France!$B$2:$M$102,5,FALSE))</f>
        <v>1</v>
      </c>
      <c r="P22" s="86">
        <f>IF(VLOOKUP($I22,Max_Load_France!$B$2:$M$102,6,FALSE)="","",VLOOKUP($I22,Max_Load_France!$B$2:$M$102,6,FALSE))</f>
        <v>1</v>
      </c>
      <c r="Q22" s="86">
        <f>IF(VLOOKUP($I22,Max_Load_France!$B$2:$M$102,7,FALSE)="","",VLOOKUP($I22,Max_Load_France!$B$2:$M$102,7,FALSE))</f>
        <v>1</v>
      </c>
      <c r="R22" s="86" t="str">
        <f>IF(VLOOKUP($I22,Max_Load_France!$B$2:$M$102,8,FALSE)="","",VLOOKUP($I22,Max_Load_France!$B$2:$M$102,8,FALSE))</f>
        <v/>
      </c>
      <c r="S22" s="86" t="str">
        <f>IF(VLOOKUP($I22,Max_Load_France!$B$2:$M$102,9,FALSE)="","",VLOOKUP($I22,Max_Load_France!$B$2:$M$102,9,FALSE))</f>
        <v/>
      </c>
      <c r="T22" s="86" t="str">
        <f>IF(VLOOKUP($I22,Max_Load_France!$B$2:$M$102,10,FALSE)="","",VLOOKUP($I22,Max_Load_France!$B$2:$M$102,10,FALSE))</f>
        <v/>
      </c>
      <c r="U22" s="86" t="str">
        <f>IF(VLOOKUP($I22,Max_Load_France!$B$2:$M$102,11,FALSE)="","",VLOOKUP($I22,Max_Load_France!$B$2:$M$102,11,FALSE))</f>
        <v/>
      </c>
      <c r="V22" s="86">
        <f>IF(VLOOKUP($I22,Max_Load_France!$B$2:$M$102,12,FALSE)="","",VLOOKUP($I22,Max_Load_France!$B$2:$M$102,12,FALSE))</f>
        <v>5</v>
      </c>
      <c r="W22" s="99">
        <f t="shared" si="2"/>
        <v>42.39</v>
      </c>
      <c r="X22" s="100">
        <v>5.77</v>
      </c>
      <c r="Y22" s="100">
        <v>7.9</v>
      </c>
      <c r="Z22" s="100">
        <v>10.5</v>
      </c>
      <c r="AA22" s="100">
        <v>9.4700000000000006</v>
      </c>
      <c r="AB22" s="100">
        <v>8.75</v>
      </c>
      <c r="AC22" s="101"/>
      <c r="AD22" s="102"/>
      <c r="AE22" s="102"/>
      <c r="AF22" s="102"/>
      <c r="AG22" s="75">
        <f t="shared" si="3"/>
        <v>28.72</v>
      </c>
      <c r="AH22" s="75" t="str">
        <f t="shared" si="4"/>
        <v/>
      </c>
      <c r="AI22" s="75" t="str">
        <f t="shared" si="5"/>
        <v/>
      </c>
      <c r="AJ22" s="75" t="str">
        <f t="shared" si="6"/>
        <v/>
      </c>
      <c r="AK22" s="103">
        <f t="shared" si="7"/>
        <v>47.901121304791033</v>
      </c>
      <c r="AL22" s="100">
        <v>6.651345565749236</v>
      </c>
      <c r="AM22" s="100">
        <v>9.9805096839959226</v>
      </c>
      <c r="AN22" s="100">
        <v>10.722222222222221</v>
      </c>
      <c r="AO22" s="100">
        <v>9.5842507645259936</v>
      </c>
      <c r="AP22" s="100">
        <v>10.962793068297655</v>
      </c>
      <c r="AQ22" s="101"/>
      <c r="AR22" s="102"/>
      <c r="AS22" s="102"/>
      <c r="AT22" s="102"/>
      <c r="AU22" s="75">
        <f t="shared" si="8"/>
        <v>31.269266055045868</v>
      </c>
      <c r="AV22" s="75" t="str">
        <f t="shared" si="9"/>
        <v/>
      </c>
      <c r="AW22" s="75" t="str">
        <f t="shared" si="10"/>
        <v/>
      </c>
      <c r="AX22" s="75" t="str">
        <f t="shared" si="11"/>
        <v/>
      </c>
      <c r="AY22" s="152">
        <f t="shared" si="12"/>
        <v>0.13000993877780215</v>
      </c>
      <c r="AZ22" s="152">
        <f t="shared" si="13"/>
        <v>0.15274619857005831</v>
      </c>
      <c r="BA22" s="152">
        <f t="shared" si="14"/>
        <v>0.26335565620201545</v>
      </c>
      <c r="BB22" s="152">
        <f t="shared" si="15"/>
        <v>2.116402116402109E-2</v>
      </c>
      <c r="BC22" s="152">
        <f t="shared" si="16"/>
        <v>1.2064494670115408E-2</v>
      </c>
      <c r="BD22" s="152">
        <f t="shared" si="17"/>
        <v>0.25289063637687487</v>
      </c>
      <c r="BE22" s="152" t="str">
        <f t="shared" si="18"/>
        <v/>
      </c>
      <c r="BF22" s="152" t="str">
        <f t="shared" si="19"/>
        <v/>
      </c>
      <c r="BG22" s="152" t="str">
        <f t="shared" si="20"/>
        <v/>
      </c>
      <c r="BH22" s="152" t="str">
        <f t="shared" si="21"/>
        <v/>
      </c>
      <c r="BI22" s="152">
        <f t="shared" si="22"/>
        <v>8.8762745649229438E-2</v>
      </c>
      <c r="BJ22" s="152"/>
      <c r="BK22" s="152"/>
      <c r="BL22" s="152"/>
      <c r="BM22" s="76"/>
      <c r="BN22" s="94"/>
      <c r="BO22" s="94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</row>
    <row r="23" spans="1:78" s="89" customFormat="1" ht="12.75">
      <c r="A23" s="60" t="s">
        <v>296</v>
      </c>
      <c r="B23" s="61"/>
      <c r="C23" s="62"/>
      <c r="D23" s="1"/>
      <c r="E23" s="95"/>
      <c r="F23" s="1"/>
      <c r="G23" s="1"/>
      <c r="H23" s="2"/>
      <c r="I23" s="61" t="s">
        <v>94</v>
      </c>
      <c r="J23" s="74">
        <f>IF(ISERROR(VLOOKUP(I23,Max_Load_France!$B$2:$C$102,2,FALSE)/1000),"",VLOOKUP(I23,Max_Load_France!$B$2:$C$102,2,FALSE)/1000)</f>
        <v>40</v>
      </c>
      <c r="K23" s="64"/>
      <c r="L23" s="98">
        <f t="shared" si="0"/>
        <v>1.05975</v>
      </c>
      <c r="M23" s="86">
        <f>IF(VLOOKUP($I23,Max_Load_France!$B$2:$M$102,3,FALSE)="","",VLOOKUP($I23,Max_Load_France!$B$2:$M$102,3,FALSE))</f>
        <v>0</v>
      </c>
      <c r="N23" s="86">
        <f>IF(VLOOKUP($I23,Max_Load_France!$B$2:$M$102,4,FALSE)="","",VLOOKUP($I23,Max_Load_France!$B$2:$M$102,4,FALSE))</f>
        <v>0</v>
      </c>
      <c r="O23" s="86">
        <f>IF(VLOOKUP($I23,Max_Load_France!$B$2:$M$102,5,FALSE)="","",VLOOKUP($I23,Max_Load_France!$B$2:$M$102,5,FALSE))</f>
        <v>1</v>
      </c>
      <c r="P23" s="86">
        <f>IF(VLOOKUP($I23,Max_Load_France!$B$2:$M$102,6,FALSE)="","",VLOOKUP($I23,Max_Load_France!$B$2:$M$102,6,FALSE))</f>
        <v>1</v>
      </c>
      <c r="Q23" s="86">
        <f>IF(VLOOKUP($I23,Max_Load_France!$B$2:$M$102,7,FALSE)="","",VLOOKUP($I23,Max_Load_France!$B$2:$M$102,7,FALSE))</f>
        <v>1</v>
      </c>
      <c r="R23" s="86" t="str">
        <f>IF(VLOOKUP($I23,Max_Load_France!$B$2:$M$102,8,FALSE)="","",VLOOKUP($I23,Max_Load_France!$B$2:$M$102,8,FALSE))</f>
        <v/>
      </c>
      <c r="S23" s="86" t="str">
        <f>IF(VLOOKUP($I23,Max_Load_France!$B$2:$M$102,9,FALSE)="","",VLOOKUP($I23,Max_Load_France!$B$2:$M$102,9,FALSE))</f>
        <v/>
      </c>
      <c r="T23" s="86" t="str">
        <f>IF(VLOOKUP($I23,Max_Load_France!$B$2:$M$102,10,FALSE)="","",VLOOKUP($I23,Max_Load_France!$B$2:$M$102,10,FALSE))</f>
        <v/>
      </c>
      <c r="U23" s="86" t="str">
        <f>IF(VLOOKUP($I23,Max_Load_France!$B$2:$M$102,11,FALSE)="","",VLOOKUP($I23,Max_Load_France!$B$2:$M$102,11,FALSE))</f>
        <v/>
      </c>
      <c r="V23" s="86">
        <f>IF(VLOOKUP($I23,Max_Load_France!$B$2:$M$102,12,FALSE)="","",VLOOKUP($I23,Max_Load_France!$B$2:$M$102,12,FALSE))</f>
        <v>5</v>
      </c>
      <c r="W23" s="99">
        <f t="shared" si="2"/>
        <v>42.39</v>
      </c>
      <c r="X23" s="100">
        <v>5.77</v>
      </c>
      <c r="Y23" s="100">
        <v>7.9</v>
      </c>
      <c r="Z23" s="100">
        <v>10.5</v>
      </c>
      <c r="AA23" s="100">
        <v>9.4700000000000006</v>
      </c>
      <c r="AB23" s="100">
        <v>8.75</v>
      </c>
      <c r="AC23" s="101"/>
      <c r="AD23" s="102"/>
      <c r="AE23" s="102"/>
      <c r="AF23" s="102"/>
      <c r="AG23" s="75">
        <f t="shared" si="3"/>
        <v>28.72</v>
      </c>
      <c r="AH23" s="75" t="str">
        <f t="shared" si="4"/>
        <v/>
      </c>
      <c r="AI23" s="75" t="str">
        <f t="shared" si="5"/>
        <v/>
      </c>
      <c r="AJ23" s="75" t="str">
        <f t="shared" si="6"/>
        <v/>
      </c>
      <c r="AK23" s="103">
        <f t="shared" si="7"/>
        <v>45.166330275229356</v>
      </c>
      <c r="AL23" s="100">
        <v>7.6676146788990822</v>
      </c>
      <c r="AM23" s="100">
        <v>8.2457696228338424</v>
      </c>
      <c r="AN23" s="100">
        <v>9.9384913353720687</v>
      </c>
      <c r="AO23" s="100">
        <v>9.781865443425076</v>
      </c>
      <c r="AP23" s="100">
        <v>9.5325891946992858</v>
      </c>
      <c r="AQ23" s="101"/>
      <c r="AR23" s="102"/>
      <c r="AS23" s="102"/>
      <c r="AT23" s="102"/>
      <c r="AU23" s="75">
        <f t="shared" si="8"/>
        <v>29.252945973496431</v>
      </c>
      <c r="AV23" s="75" t="str">
        <f t="shared" si="9"/>
        <v/>
      </c>
      <c r="AW23" s="75" t="str">
        <f t="shared" si="10"/>
        <v/>
      </c>
      <c r="AX23" s="75" t="str">
        <f t="shared" si="11"/>
        <v/>
      </c>
      <c r="AY23" s="152">
        <f t="shared" si="12"/>
        <v>6.5494934541857883E-2</v>
      </c>
      <c r="AZ23" s="152">
        <f t="shared" si="13"/>
        <v>0.32887602753883582</v>
      </c>
      <c r="BA23" s="152">
        <f t="shared" si="14"/>
        <v>4.3768306687828107E-2</v>
      </c>
      <c r="BB23" s="152">
        <f t="shared" si="15"/>
        <v>-5.3477015678850597E-2</v>
      </c>
      <c r="BC23" s="152">
        <f t="shared" si="16"/>
        <v>3.2931937003703837E-2</v>
      </c>
      <c r="BD23" s="152">
        <f t="shared" si="17"/>
        <v>8.9438765108489804E-2</v>
      </c>
      <c r="BE23" s="152" t="str">
        <f t="shared" si="18"/>
        <v/>
      </c>
      <c r="BF23" s="152" t="str">
        <f t="shared" si="19"/>
        <v/>
      </c>
      <c r="BG23" s="152" t="str">
        <f t="shared" si="20"/>
        <v/>
      </c>
      <c r="BH23" s="152" t="str">
        <f t="shared" si="21"/>
        <v/>
      </c>
      <c r="BI23" s="152">
        <f t="shared" si="22"/>
        <v>1.85566146760596E-2</v>
      </c>
      <c r="BJ23" s="152"/>
      <c r="BK23" s="152"/>
      <c r="BL23" s="152"/>
      <c r="BM23" s="76"/>
      <c r="BN23" s="94"/>
      <c r="BO23" s="94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</row>
    <row r="24" spans="1:78" s="89" customFormat="1" ht="12.75">
      <c r="A24" s="60" t="s">
        <v>297</v>
      </c>
      <c r="B24" s="63"/>
      <c r="C24" s="62"/>
      <c r="D24" s="1"/>
      <c r="E24" s="95"/>
      <c r="F24" s="1"/>
      <c r="G24" s="1"/>
      <c r="H24" s="2"/>
      <c r="I24" s="61" t="s">
        <v>94</v>
      </c>
      <c r="J24" s="74">
        <f>IF(ISERROR(VLOOKUP(I24,Max_Load_France!$B$2:$C$102,2,FALSE)/1000),"",VLOOKUP(I24,Max_Load_France!$B$2:$C$102,2,FALSE)/1000)</f>
        <v>40</v>
      </c>
      <c r="K24" s="64"/>
      <c r="L24" s="98">
        <f t="shared" si="0"/>
        <v>1.05975</v>
      </c>
      <c r="M24" s="86">
        <f>IF(VLOOKUP($I24,Max_Load_France!$B$2:$M$102,3,FALSE)="","",VLOOKUP($I24,Max_Load_France!$B$2:$M$102,3,FALSE))</f>
        <v>0</v>
      </c>
      <c r="N24" s="86">
        <f>IF(VLOOKUP($I24,Max_Load_France!$B$2:$M$102,4,FALSE)="","",VLOOKUP($I24,Max_Load_France!$B$2:$M$102,4,FALSE))</f>
        <v>0</v>
      </c>
      <c r="O24" s="86">
        <f>IF(VLOOKUP($I24,Max_Load_France!$B$2:$M$102,5,FALSE)="","",VLOOKUP($I24,Max_Load_France!$B$2:$M$102,5,FALSE))</f>
        <v>1</v>
      </c>
      <c r="P24" s="86">
        <f>IF(VLOOKUP($I24,Max_Load_France!$B$2:$M$102,6,FALSE)="","",VLOOKUP($I24,Max_Load_France!$B$2:$M$102,6,FALSE))</f>
        <v>1</v>
      </c>
      <c r="Q24" s="86">
        <f>IF(VLOOKUP($I24,Max_Load_France!$B$2:$M$102,7,FALSE)="","",VLOOKUP($I24,Max_Load_France!$B$2:$M$102,7,FALSE))</f>
        <v>1</v>
      </c>
      <c r="R24" s="86" t="str">
        <f>IF(VLOOKUP($I24,Max_Load_France!$B$2:$M$102,8,FALSE)="","",VLOOKUP($I24,Max_Load_France!$B$2:$M$102,8,FALSE))</f>
        <v/>
      </c>
      <c r="S24" s="86" t="str">
        <f>IF(VLOOKUP($I24,Max_Load_France!$B$2:$M$102,9,FALSE)="","",VLOOKUP($I24,Max_Load_France!$B$2:$M$102,9,FALSE))</f>
        <v/>
      </c>
      <c r="T24" s="86" t="str">
        <f>IF(VLOOKUP($I24,Max_Load_France!$B$2:$M$102,10,FALSE)="","",VLOOKUP($I24,Max_Load_France!$B$2:$M$102,10,FALSE))</f>
        <v/>
      </c>
      <c r="U24" s="86" t="str">
        <f>IF(VLOOKUP($I24,Max_Load_France!$B$2:$M$102,11,FALSE)="","",VLOOKUP($I24,Max_Load_France!$B$2:$M$102,11,FALSE))</f>
        <v/>
      </c>
      <c r="V24" s="86">
        <f>IF(VLOOKUP($I24,Max_Load_France!$B$2:$M$102,12,FALSE)="","",VLOOKUP($I24,Max_Load_France!$B$2:$M$102,12,FALSE))</f>
        <v>5</v>
      </c>
      <c r="W24" s="99">
        <f t="shared" si="2"/>
        <v>42.39</v>
      </c>
      <c r="X24" s="100">
        <v>5.77</v>
      </c>
      <c r="Y24" s="100">
        <v>7.9</v>
      </c>
      <c r="Z24" s="100">
        <v>10.5</v>
      </c>
      <c r="AA24" s="100">
        <v>9.4700000000000006</v>
      </c>
      <c r="AB24" s="100">
        <v>8.75</v>
      </c>
      <c r="AC24" s="101"/>
      <c r="AD24" s="102"/>
      <c r="AE24" s="102"/>
      <c r="AF24" s="102"/>
      <c r="AG24" s="75">
        <f t="shared" si="3"/>
        <v>28.72</v>
      </c>
      <c r="AH24" s="75" t="str">
        <f t="shared" si="4"/>
        <v/>
      </c>
      <c r="AI24" s="75" t="str">
        <f t="shared" si="5"/>
        <v/>
      </c>
      <c r="AJ24" s="75" t="str">
        <f t="shared" si="6"/>
        <v/>
      </c>
      <c r="AK24" s="103">
        <f t="shared" si="7"/>
        <v>43.07085626911315</v>
      </c>
      <c r="AL24" s="100">
        <v>5.6942303771661562</v>
      </c>
      <c r="AM24" s="100">
        <v>8.5718144750254837</v>
      </c>
      <c r="AN24" s="105">
        <v>8.8913251783893976</v>
      </c>
      <c r="AO24" s="100">
        <v>10.734046890927624</v>
      </c>
      <c r="AP24" s="100">
        <v>9.1794393476044842</v>
      </c>
      <c r="AQ24" s="101"/>
      <c r="AR24" s="102"/>
      <c r="AS24" s="102"/>
      <c r="AT24" s="102"/>
      <c r="AU24" s="75">
        <f t="shared" si="8"/>
        <v>28.80481141692151</v>
      </c>
      <c r="AV24" s="75" t="str">
        <f t="shared" si="9"/>
        <v/>
      </c>
      <c r="AW24" s="75" t="str">
        <f t="shared" si="10"/>
        <v/>
      </c>
      <c r="AX24" s="75" t="str">
        <f t="shared" si="11"/>
        <v/>
      </c>
      <c r="AY24" s="152">
        <f t="shared" si="12"/>
        <v>1.6061719016587636E-2</v>
      </c>
      <c r="AZ24" s="152">
        <f t="shared" si="13"/>
        <v>-1.3131650404478921E-2</v>
      </c>
      <c r="BA24" s="152">
        <f t="shared" si="14"/>
        <v>8.5039806965251041E-2</v>
      </c>
      <c r="BB24" s="152">
        <f t="shared" si="15"/>
        <v>-0.15320712586767643</v>
      </c>
      <c r="BC24" s="152">
        <f t="shared" si="16"/>
        <v>0.13347908035138581</v>
      </c>
      <c r="BD24" s="152">
        <f t="shared" si="17"/>
        <v>4.9078782583369625E-2</v>
      </c>
      <c r="BE24" s="152" t="str">
        <f t="shared" si="18"/>
        <v/>
      </c>
      <c r="BF24" s="152" t="str">
        <f t="shared" si="19"/>
        <v/>
      </c>
      <c r="BG24" s="152" t="str">
        <f t="shared" si="20"/>
        <v/>
      </c>
      <c r="BH24" s="152" t="str">
        <f t="shared" si="21"/>
        <v/>
      </c>
      <c r="BI24" s="152">
        <f t="shared" si="22"/>
        <v>2.9530437646765615E-3</v>
      </c>
      <c r="BJ24" s="152"/>
      <c r="BK24" s="152"/>
      <c r="BL24" s="152"/>
      <c r="BM24" s="76"/>
      <c r="BN24" s="70"/>
      <c r="BO24" s="70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</row>
    <row r="25" spans="1:78" s="89" customFormat="1" ht="12.75">
      <c r="A25" s="60" t="s">
        <v>298</v>
      </c>
      <c r="B25" s="61"/>
      <c r="C25" s="62"/>
      <c r="D25" s="1"/>
      <c r="E25" s="95"/>
      <c r="F25" s="1"/>
      <c r="G25" s="1"/>
      <c r="H25" s="2"/>
      <c r="I25" s="61" t="s">
        <v>94</v>
      </c>
      <c r="J25" s="74">
        <f>IF(ISERROR(VLOOKUP(I25,Max_Load_France!$B$2:$C$102,2,FALSE)/1000),"",VLOOKUP(I25,Max_Load_France!$B$2:$C$102,2,FALSE)/1000)</f>
        <v>40</v>
      </c>
      <c r="K25" s="64"/>
      <c r="L25" s="98">
        <f t="shared" si="0"/>
        <v>1.05975</v>
      </c>
      <c r="M25" s="86">
        <f>IF(VLOOKUP($I25,Max_Load_France!$B$2:$M$102,3,FALSE)="","",VLOOKUP($I25,Max_Load_France!$B$2:$M$102,3,FALSE))</f>
        <v>0</v>
      </c>
      <c r="N25" s="86">
        <f>IF(VLOOKUP($I25,Max_Load_France!$B$2:$M$102,4,FALSE)="","",VLOOKUP($I25,Max_Load_France!$B$2:$M$102,4,FALSE))</f>
        <v>0</v>
      </c>
      <c r="O25" s="86">
        <f>IF(VLOOKUP($I25,Max_Load_France!$B$2:$M$102,5,FALSE)="","",VLOOKUP($I25,Max_Load_France!$B$2:$M$102,5,FALSE))</f>
        <v>1</v>
      </c>
      <c r="P25" s="86">
        <f>IF(VLOOKUP($I25,Max_Load_France!$B$2:$M$102,6,FALSE)="","",VLOOKUP($I25,Max_Load_France!$B$2:$M$102,6,FALSE))</f>
        <v>1</v>
      </c>
      <c r="Q25" s="86">
        <f>IF(VLOOKUP($I25,Max_Load_France!$B$2:$M$102,7,FALSE)="","",VLOOKUP($I25,Max_Load_France!$B$2:$M$102,7,FALSE))</f>
        <v>1</v>
      </c>
      <c r="R25" s="86" t="str">
        <f>IF(VLOOKUP($I25,Max_Load_France!$B$2:$M$102,8,FALSE)="","",VLOOKUP($I25,Max_Load_France!$B$2:$M$102,8,FALSE))</f>
        <v/>
      </c>
      <c r="S25" s="86" t="str">
        <f>IF(VLOOKUP($I25,Max_Load_France!$B$2:$M$102,9,FALSE)="","",VLOOKUP($I25,Max_Load_France!$B$2:$M$102,9,FALSE))</f>
        <v/>
      </c>
      <c r="T25" s="86" t="str">
        <f>IF(VLOOKUP($I25,Max_Load_France!$B$2:$M$102,10,FALSE)="","",VLOOKUP($I25,Max_Load_France!$B$2:$M$102,10,FALSE))</f>
        <v/>
      </c>
      <c r="U25" s="86" t="str">
        <f>IF(VLOOKUP($I25,Max_Load_France!$B$2:$M$102,11,FALSE)="","",VLOOKUP($I25,Max_Load_France!$B$2:$M$102,11,FALSE))</f>
        <v/>
      </c>
      <c r="V25" s="86">
        <f>IF(VLOOKUP($I25,Max_Load_France!$B$2:$M$102,12,FALSE)="","",VLOOKUP($I25,Max_Load_France!$B$2:$M$102,12,FALSE))</f>
        <v>5</v>
      </c>
      <c r="W25" s="99">
        <f t="shared" si="2"/>
        <v>42.39</v>
      </c>
      <c r="X25" s="100">
        <v>5.77</v>
      </c>
      <c r="Y25" s="100">
        <v>7.9</v>
      </c>
      <c r="Z25" s="100">
        <v>10.5</v>
      </c>
      <c r="AA25" s="100">
        <v>9.4700000000000006</v>
      </c>
      <c r="AB25" s="100">
        <v>8.75</v>
      </c>
      <c r="AC25" s="101"/>
      <c r="AD25" s="102"/>
      <c r="AE25" s="102"/>
      <c r="AF25" s="102"/>
      <c r="AG25" s="75">
        <f t="shared" si="3"/>
        <v>28.72</v>
      </c>
      <c r="AH25" s="75" t="str">
        <f t="shared" si="4"/>
        <v/>
      </c>
      <c r="AI25" s="75" t="str">
        <f t="shared" si="5"/>
        <v/>
      </c>
      <c r="AJ25" s="75" t="str">
        <f t="shared" si="6"/>
        <v/>
      </c>
      <c r="AK25" s="103">
        <f t="shared" si="7"/>
        <v>44.793537206931703</v>
      </c>
      <c r="AL25" s="100">
        <v>6.3200611620795106</v>
      </c>
      <c r="AM25" s="100">
        <v>9.1269928644240554</v>
      </c>
      <c r="AN25" s="100">
        <v>9.1176962283384295</v>
      </c>
      <c r="AO25" s="100">
        <v>10.751885830784913</v>
      </c>
      <c r="AP25" s="100">
        <v>9.47690112130479</v>
      </c>
      <c r="AQ25" s="101"/>
      <c r="AR25" s="102"/>
      <c r="AS25" s="102"/>
      <c r="AT25" s="102"/>
      <c r="AU25" s="75">
        <f t="shared" si="8"/>
        <v>29.34648318042813</v>
      </c>
      <c r="AV25" s="75" t="str">
        <f t="shared" si="9"/>
        <v/>
      </c>
      <c r="AW25" s="75" t="str">
        <f t="shared" si="10"/>
        <v/>
      </c>
      <c r="AX25" s="75" t="str">
        <f t="shared" si="11"/>
        <v/>
      </c>
      <c r="AY25" s="152">
        <f t="shared" si="12"/>
        <v>5.6700571052882801E-2</v>
      </c>
      <c r="AZ25" s="152">
        <f t="shared" si="13"/>
        <v>9.533122393059118E-2</v>
      </c>
      <c r="BA25" s="152">
        <f t="shared" si="14"/>
        <v>0.15531555245874115</v>
      </c>
      <c r="BB25" s="152">
        <f t="shared" si="15"/>
        <v>-0.1316479782534829</v>
      </c>
      <c r="BC25" s="152">
        <f t="shared" si="16"/>
        <v>0.13536281212089882</v>
      </c>
      <c r="BD25" s="152">
        <f t="shared" si="17"/>
        <v>8.307441386340457E-2</v>
      </c>
      <c r="BE25" s="152" t="str">
        <f t="shared" si="18"/>
        <v/>
      </c>
      <c r="BF25" s="152" t="str">
        <f t="shared" si="19"/>
        <v/>
      </c>
      <c r="BG25" s="152" t="str">
        <f t="shared" si="20"/>
        <v/>
      </c>
      <c r="BH25" s="152" t="str">
        <f t="shared" si="21"/>
        <v/>
      </c>
      <c r="BI25" s="152">
        <f t="shared" si="22"/>
        <v>2.1813481212678672E-2</v>
      </c>
      <c r="BJ25" s="152"/>
      <c r="BK25" s="152"/>
      <c r="BL25" s="152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</row>
    <row r="26" spans="1:78" s="89" customFormat="1" ht="12.75">
      <c r="A26" s="60" t="s">
        <v>299</v>
      </c>
      <c r="B26" s="61"/>
      <c r="C26" s="62"/>
      <c r="D26" s="1"/>
      <c r="E26" s="95"/>
      <c r="F26" s="1"/>
      <c r="G26" s="1"/>
      <c r="H26" s="2"/>
      <c r="I26" s="61" t="s">
        <v>94</v>
      </c>
      <c r="J26" s="74">
        <f>IF(ISERROR(VLOOKUP(I26,Max_Load_France!$B$2:$C$102,2,FALSE)/1000),"",VLOOKUP(I26,Max_Load_France!$B$2:$C$102,2,FALSE)/1000)</f>
        <v>40</v>
      </c>
      <c r="K26" s="64"/>
      <c r="L26" s="98">
        <f t="shared" si="0"/>
        <v>1.05975</v>
      </c>
      <c r="M26" s="86">
        <f>IF(VLOOKUP($I26,Max_Load_France!$B$2:$M$102,3,FALSE)="","",VLOOKUP($I26,Max_Load_France!$B$2:$M$102,3,FALSE))</f>
        <v>0</v>
      </c>
      <c r="N26" s="86">
        <f>IF(VLOOKUP($I26,Max_Load_France!$B$2:$M$102,4,FALSE)="","",VLOOKUP($I26,Max_Load_France!$B$2:$M$102,4,FALSE))</f>
        <v>0</v>
      </c>
      <c r="O26" s="86">
        <f>IF(VLOOKUP($I26,Max_Load_France!$B$2:$M$102,5,FALSE)="","",VLOOKUP($I26,Max_Load_France!$B$2:$M$102,5,FALSE))</f>
        <v>1</v>
      </c>
      <c r="P26" s="86">
        <f>IF(VLOOKUP($I26,Max_Load_France!$B$2:$M$102,6,FALSE)="","",VLOOKUP($I26,Max_Load_France!$B$2:$M$102,6,FALSE))</f>
        <v>1</v>
      </c>
      <c r="Q26" s="86">
        <f>IF(VLOOKUP($I26,Max_Load_France!$B$2:$M$102,7,FALSE)="","",VLOOKUP($I26,Max_Load_France!$B$2:$M$102,7,FALSE))</f>
        <v>1</v>
      </c>
      <c r="R26" s="86" t="str">
        <f>IF(VLOOKUP($I26,Max_Load_France!$B$2:$M$102,8,FALSE)="","",VLOOKUP($I26,Max_Load_France!$B$2:$M$102,8,FALSE))</f>
        <v/>
      </c>
      <c r="S26" s="86" t="str">
        <f>IF(VLOOKUP($I26,Max_Load_France!$B$2:$M$102,9,FALSE)="","",VLOOKUP($I26,Max_Load_France!$B$2:$M$102,9,FALSE))</f>
        <v/>
      </c>
      <c r="T26" s="86" t="str">
        <f>IF(VLOOKUP($I26,Max_Load_France!$B$2:$M$102,10,FALSE)="","",VLOOKUP($I26,Max_Load_France!$B$2:$M$102,10,FALSE))</f>
        <v/>
      </c>
      <c r="U26" s="86" t="str">
        <f>IF(VLOOKUP($I26,Max_Load_France!$B$2:$M$102,11,FALSE)="","",VLOOKUP($I26,Max_Load_France!$B$2:$M$102,11,FALSE))</f>
        <v/>
      </c>
      <c r="V26" s="86">
        <f>IF(VLOOKUP($I26,Max_Load_France!$B$2:$M$102,12,FALSE)="","",VLOOKUP($I26,Max_Load_France!$B$2:$M$102,12,FALSE))</f>
        <v>5</v>
      </c>
      <c r="W26" s="99">
        <f t="shared" si="2"/>
        <v>42.39</v>
      </c>
      <c r="X26" s="100">
        <v>5.77</v>
      </c>
      <c r="Y26" s="100">
        <v>7.9</v>
      </c>
      <c r="Z26" s="100">
        <v>10.5</v>
      </c>
      <c r="AA26" s="100">
        <v>9.4700000000000006</v>
      </c>
      <c r="AB26" s="100">
        <v>8.75</v>
      </c>
      <c r="AC26" s="101"/>
      <c r="AD26" s="102"/>
      <c r="AE26" s="102"/>
      <c r="AF26" s="102"/>
      <c r="AG26" s="75">
        <f t="shared" si="3"/>
        <v>28.72</v>
      </c>
      <c r="AH26" s="75" t="str">
        <f t="shared" si="4"/>
        <v/>
      </c>
      <c r="AI26" s="75" t="str">
        <f t="shared" si="5"/>
        <v/>
      </c>
      <c r="AJ26" s="75" t="str">
        <f t="shared" si="6"/>
        <v/>
      </c>
      <c r="AK26" s="103">
        <f t="shared" si="7"/>
        <v>32.892242609582055</v>
      </c>
      <c r="AL26" s="100">
        <v>3.6042915392456676</v>
      </c>
      <c r="AM26" s="100">
        <v>5.6250356778797146</v>
      </c>
      <c r="AN26" s="100">
        <v>6.7200611620795101</v>
      </c>
      <c r="AO26" s="100">
        <v>10.84750254841998</v>
      </c>
      <c r="AP26" s="100">
        <v>6.0953516819571867</v>
      </c>
      <c r="AQ26" s="101"/>
      <c r="AR26" s="102"/>
      <c r="AS26" s="102"/>
      <c r="AT26" s="102"/>
      <c r="AU26" s="75">
        <f t="shared" si="8"/>
        <v>23.662915392456679</v>
      </c>
      <c r="AV26" s="75" t="str">
        <f t="shared" si="9"/>
        <v/>
      </c>
      <c r="AW26" s="75" t="str">
        <f t="shared" si="10"/>
        <v/>
      </c>
      <c r="AX26" s="75" t="str">
        <f t="shared" si="11"/>
        <v/>
      </c>
      <c r="AY26" s="152">
        <f t="shared" si="12"/>
        <v>-0.22405655556541507</v>
      </c>
      <c r="AZ26" s="152">
        <f t="shared" si="13"/>
        <v>-0.37533942127458098</v>
      </c>
      <c r="BA26" s="152">
        <f t="shared" si="14"/>
        <v>-0.28797016735699821</v>
      </c>
      <c r="BB26" s="152">
        <f t="shared" si="15"/>
        <v>-0.35999417504004666</v>
      </c>
      <c r="BC26" s="152">
        <f t="shared" si="16"/>
        <v>0.14545961440548885</v>
      </c>
      <c r="BD26" s="152">
        <f t="shared" si="17"/>
        <v>-0.30338837920489298</v>
      </c>
      <c r="BE26" s="152" t="str">
        <f t="shared" si="18"/>
        <v/>
      </c>
      <c r="BF26" s="152" t="str">
        <f t="shared" si="19"/>
        <v/>
      </c>
      <c r="BG26" s="152" t="str">
        <f t="shared" si="20"/>
        <v/>
      </c>
      <c r="BH26" s="152" t="str">
        <f t="shared" si="21"/>
        <v/>
      </c>
      <c r="BI26" s="152">
        <f t="shared" si="22"/>
        <v>-0.17608233313173122</v>
      </c>
      <c r="BJ26" s="152"/>
      <c r="BK26" s="152"/>
      <c r="BL26" s="152"/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</row>
    <row r="27" spans="1:78" s="85" customFormat="1" ht="12.75">
      <c r="A27" s="73" t="s">
        <v>300</v>
      </c>
      <c r="B27" s="74"/>
      <c r="C27" s="91"/>
      <c r="D27" s="87"/>
      <c r="E27" s="96"/>
      <c r="F27" s="87"/>
      <c r="G27" s="87"/>
      <c r="H27" s="86"/>
      <c r="I27" s="61" t="s">
        <v>94</v>
      </c>
      <c r="J27" s="74">
        <f>IF(ISERROR(VLOOKUP(I27,Max_Load_France!$B$2:$C$102,2,FALSE)/1000),"",VLOOKUP(I27,Max_Load_France!$B$2:$C$102,2,FALSE)/1000)</f>
        <v>40</v>
      </c>
      <c r="K27" s="64"/>
      <c r="L27" s="98">
        <f t="shared" si="0"/>
        <v>1.05975</v>
      </c>
      <c r="M27" s="86">
        <f>IF(VLOOKUP($I27,Max_Load_France!$B$2:$M$102,3,FALSE)="","",VLOOKUP($I27,Max_Load_France!$B$2:$M$102,3,FALSE))</f>
        <v>0</v>
      </c>
      <c r="N27" s="86">
        <f>IF(VLOOKUP($I27,Max_Load_France!$B$2:$M$102,4,FALSE)="","",VLOOKUP($I27,Max_Load_France!$B$2:$M$102,4,FALSE))</f>
        <v>0</v>
      </c>
      <c r="O27" s="86">
        <f>IF(VLOOKUP($I27,Max_Load_France!$B$2:$M$102,5,FALSE)="","",VLOOKUP($I27,Max_Load_France!$B$2:$M$102,5,FALSE))</f>
        <v>1</v>
      </c>
      <c r="P27" s="86">
        <f>IF(VLOOKUP($I27,Max_Load_France!$B$2:$M$102,6,FALSE)="","",VLOOKUP($I27,Max_Load_France!$B$2:$M$102,6,FALSE))</f>
        <v>1</v>
      </c>
      <c r="Q27" s="86">
        <f>IF(VLOOKUP($I27,Max_Load_France!$B$2:$M$102,7,FALSE)="","",VLOOKUP($I27,Max_Load_France!$B$2:$M$102,7,FALSE))</f>
        <v>1</v>
      </c>
      <c r="R27" s="86" t="str">
        <f>IF(VLOOKUP($I27,Max_Load_France!$B$2:$M$102,8,FALSE)="","",VLOOKUP($I27,Max_Load_France!$B$2:$M$102,8,FALSE))</f>
        <v/>
      </c>
      <c r="S27" s="86" t="str">
        <f>IF(VLOOKUP($I27,Max_Load_France!$B$2:$M$102,9,FALSE)="","",VLOOKUP($I27,Max_Load_France!$B$2:$M$102,9,FALSE))</f>
        <v/>
      </c>
      <c r="T27" s="86" t="str">
        <f>IF(VLOOKUP($I27,Max_Load_France!$B$2:$M$102,10,FALSE)="","",VLOOKUP($I27,Max_Load_France!$B$2:$M$102,10,FALSE))</f>
        <v/>
      </c>
      <c r="U27" s="86" t="str">
        <f>IF(VLOOKUP($I27,Max_Load_France!$B$2:$M$102,11,FALSE)="","",VLOOKUP($I27,Max_Load_France!$B$2:$M$102,11,FALSE))</f>
        <v/>
      </c>
      <c r="V27" s="86">
        <f>IF(VLOOKUP($I27,Max_Load_France!$B$2:$M$102,12,FALSE)="","",VLOOKUP($I27,Max_Load_France!$B$2:$M$102,12,FALSE))</f>
        <v>5</v>
      </c>
      <c r="W27" s="99">
        <f t="shared" si="2"/>
        <v>42.39</v>
      </c>
      <c r="X27" s="100">
        <v>5.77</v>
      </c>
      <c r="Y27" s="100">
        <v>7.9</v>
      </c>
      <c r="Z27" s="100">
        <v>10.5</v>
      </c>
      <c r="AA27" s="100">
        <v>9.4700000000000006</v>
      </c>
      <c r="AB27" s="100">
        <v>8.75</v>
      </c>
      <c r="AC27" s="102"/>
      <c r="AD27" s="102"/>
      <c r="AE27" s="102"/>
      <c r="AF27" s="102"/>
      <c r="AG27" s="75">
        <f t="shared" si="3"/>
        <v>28.72</v>
      </c>
      <c r="AH27" s="75"/>
      <c r="AI27" s="75"/>
      <c r="AJ27" s="75"/>
      <c r="AK27" s="103">
        <f t="shared" si="7"/>
        <v>45.076605504587157</v>
      </c>
      <c r="AL27" s="100">
        <v>6.032823649337411</v>
      </c>
      <c r="AM27" s="100">
        <v>9.1235474006116206</v>
      </c>
      <c r="AN27" s="100">
        <v>9.6805912334352691</v>
      </c>
      <c r="AO27" s="100">
        <v>10.577573904179408</v>
      </c>
      <c r="AP27" s="100">
        <v>9.6620693170234446</v>
      </c>
      <c r="AQ27" s="102"/>
      <c r="AR27" s="102"/>
      <c r="AS27" s="102"/>
      <c r="AT27" s="102"/>
      <c r="AU27" s="75">
        <f t="shared" si="8"/>
        <v>29.92023445463812</v>
      </c>
      <c r="AV27" s="75"/>
      <c r="AW27" s="75"/>
      <c r="AX27" s="75"/>
      <c r="AY27" s="152">
        <f t="shared" si="12"/>
        <v>6.3378285081084132E-2</v>
      </c>
      <c r="AZ27" s="152">
        <f t="shared" si="13"/>
        <v>4.5550025881700422E-2</v>
      </c>
      <c r="BA27" s="152">
        <f t="shared" si="14"/>
        <v>0.15487941779893927</v>
      </c>
      <c r="BB27" s="152">
        <f t="shared" si="15"/>
        <v>-7.8038930149021996E-2</v>
      </c>
      <c r="BC27" s="152">
        <f t="shared" si="16"/>
        <v>0.11695606168737141</v>
      </c>
      <c r="BD27" s="152">
        <f t="shared" si="17"/>
        <v>0.10423649337410795</v>
      </c>
      <c r="BE27" s="152" t="str">
        <f t="shared" si="18"/>
        <v/>
      </c>
      <c r="BF27" s="152" t="str">
        <f t="shared" si="19"/>
        <v/>
      </c>
      <c r="BG27" s="152" t="str">
        <f t="shared" si="20"/>
        <v/>
      </c>
      <c r="BH27" s="152" t="str">
        <f t="shared" si="21"/>
        <v/>
      </c>
      <c r="BI27" s="152">
        <f t="shared" si="22"/>
        <v>4.1790893267344045E-2</v>
      </c>
      <c r="BJ27" s="152"/>
      <c r="BK27" s="152"/>
      <c r="BL27" s="152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</row>
    <row r="28" spans="1:78" s="85" customFormat="1" ht="12.75">
      <c r="A28" s="73" t="s">
        <v>301</v>
      </c>
      <c r="B28" s="74"/>
      <c r="C28" s="91"/>
      <c r="D28" s="87"/>
      <c r="E28" s="96"/>
      <c r="F28" s="87"/>
      <c r="G28" s="87"/>
      <c r="H28" s="86"/>
      <c r="I28" s="61" t="s">
        <v>94</v>
      </c>
      <c r="J28" s="74">
        <f>IF(ISERROR(VLOOKUP(I28,Max_Load_France!$B$2:$C$102,2,FALSE)/1000),"",VLOOKUP(I28,Max_Load_France!$B$2:$C$102,2,FALSE)/1000)</f>
        <v>40</v>
      </c>
      <c r="K28" s="64"/>
      <c r="L28" s="98">
        <f t="shared" si="0"/>
        <v>1.05975</v>
      </c>
      <c r="M28" s="86">
        <f>IF(VLOOKUP($I28,Max_Load_France!$B$2:$M$102,3,FALSE)="","",VLOOKUP($I28,Max_Load_France!$B$2:$M$102,3,FALSE))</f>
        <v>0</v>
      </c>
      <c r="N28" s="86">
        <f>IF(VLOOKUP($I28,Max_Load_France!$B$2:$M$102,4,FALSE)="","",VLOOKUP($I28,Max_Load_France!$B$2:$M$102,4,FALSE))</f>
        <v>0</v>
      </c>
      <c r="O28" s="86">
        <f>IF(VLOOKUP($I28,Max_Load_France!$B$2:$M$102,5,FALSE)="","",VLOOKUP($I28,Max_Load_France!$B$2:$M$102,5,FALSE))</f>
        <v>1</v>
      </c>
      <c r="P28" s="86">
        <f>IF(VLOOKUP($I28,Max_Load_France!$B$2:$M$102,6,FALSE)="","",VLOOKUP($I28,Max_Load_France!$B$2:$M$102,6,FALSE))</f>
        <v>1</v>
      </c>
      <c r="Q28" s="86">
        <f>IF(VLOOKUP($I28,Max_Load_France!$B$2:$M$102,7,FALSE)="","",VLOOKUP($I28,Max_Load_France!$B$2:$M$102,7,FALSE))</f>
        <v>1</v>
      </c>
      <c r="R28" s="86" t="str">
        <f>IF(VLOOKUP($I28,Max_Load_France!$B$2:$M$102,8,FALSE)="","",VLOOKUP($I28,Max_Load_France!$B$2:$M$102,8,FALSE))</f>
        <v/>
      </c>
      <c r="S28" s="86" t="str">
        <f>IF(VLOOKUP($I28,Max_Load_France!$B$2:$M$102,9,FALSE)="","",VLOOKUP($I28,Max_Load_France!$B$2:$M$102,9,FALSE))</f>
        <v/>
      </c>
      <c r="T28" s="86" t="str">
        <f>IF(VLOOKUP($I28,Max_Load_France!$B$2:$M$102,10,FALSE)="","",VLOOKUP($I28,Max_Load_France!$B$2:$M$102,10,FALSE))</f>
        <v/>
      </c>
      <c r="U28" s="86" t="str">
        <f>IF(VLOOKUP($I28,Max_Load_France!$B$2:$M$102,11,FALSE)="","",VLOOKUP($I28,Max_Load_France!$B$2:$M$102,11,FALSE))</f>
        <v/>
      </c>
      <c r="V28" s="86">
        <f>IF(VLOOKUP($I28,Max_Load_France!$B$2:$M$102,12,FALSE)="","",VLOOKUP($I28,Max_Load_France!$B$2:$M$102,12,FALSE))</f>
        <v>5</v>
      </c>
      <c r="W28" s="99">
        <f t="shared" si="2"/>
        <v>42.39</v>
      </c>
      <c r="X28" s="100">
        <v>5.77</v>
      </c>
      <c r="Y28" s="100">
        <v>7.9</v>
      </c>
      <c r="Z28" s="100">
        <v>10.5</v>
      </c>
      <c r="AA28" s="100">
        <v>9.4700000000000006</v>
      </c>
      <c r="AB28" s="100">
        <v>8.75</v>
      </c>
      <c r="AC28" s="102"/>
      <c r="AD28" s="102"/>
      <c r="AE28" s="102"/>
      <c r="AF28" s="102"/>
      <c r="AG28" s="75">
        <f t="shared" si="3"/>
        <v>28.72</v>
      </c>
      <c r="AH28" s="75"/>
      <c r="AI28" s="75"/>
      <c r="AJ28" s="75"/>
      <c r="AK28" s="103">
        <f t="shared" si="7"/>
        <v>41.357645259938835</v>
      </c>
      <c r="AL28" s="100">
        <v>5.3388888888888886</v>
      </c>
      <c r="AM28" s="100">
        <v>8.0170744138634031</v>
      </c>
      <c r="AN28" s="100">
        <v>8.7246381243628957</v>
      </c>
      <c r="AO28" s="100">
        <v>10.550968399592252</v>
      </c>
      <c r="AP28" s="100">
        <v>8.7260754332313955</v>
      </c>
      <c r="AQ28" s="102"/>
      <c r="AR28" s="102"/>
      <c r="AS28" s="102"/>
      <c r="AT28" s="102"/>
      <c r="AU28" s="75">
        <f t="shared" si="8"/>
        <v>28.001681957186541</v>
      </c>
      <c r="AV28" s="75"/>
      <c r="AW28" s="75"/>
      <c r="AX28" s="75"/>
      <c r="AY28" s="152">
        <f t="shared" si="12"/>
        <v>-2.4353732957328754E-2</v>
      </c>
      <c r="AZ28" s="152">
        <f t="shared" si="13"/>
        <v>-7.4715963797419585E-2</v>
      </c>
      <c r="BA28" s="152">
        <f t="shared" si="14"/>
        <v>1.4819546058658579E-2</v>
      </c>
      <c r="BB28" s="152">
        <f t="shared" si="15"/>
        <v>-0.16908208339400993</v>
      </c>
      <c r="BC28" s="152">
        <f t="shared" si="16"/>
        <v>0.11414661030541194</v>
      </c>
      <c r="BD28" s="152">
        <f t="shared" si="17"/>
        <v>-2.7342362021262343E-3</v>
      </c>
      <c r="BE28" s="152" t="str">
        <f t="shared" si="18"/>
        <v/>
      </c>
      <c r="BF28" s="152" t="str">
        <f t="shared" si="19"/>
        <v/>
      </c>
      <c r="BG28" s="152" t="str">
        <f t="shared" si="20"/>
        <v/>
      </c>
      <c r="BH28" s="152" t="str">
        <f t="shared" si="21"/>
        <v/>
      </c>
      <c r="BI28" s="152">
        <f t="shared" si="22"/>
        <v>-2.501107391411761E-2</v>
      </c>
      <c r="BJ28" s="152"/>
      <c r="BK28" s="152"/>
      <c r="BL28" s="152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</row>
    <row r="29" spans="1:78" s="76" customFormat="1" ht="12.75">
      <c r="A29" s="73" t="s">
        <v>302</v>
      </c>
      <c r="B29" s="74"/>
      <c r="C29" s="91"/>
      <c r="D29" s="87"/>
      <c r="E29" s="96"/>
      <c r="F29" s="87"/>
      <c r="G29" s="87"/>
      <c r="H29" s="86"/>
      <c r="I29" s="61" t="s">
        <v>94</v>
      </c>
      <c r="J29" s="74">
        <f>IF(ISERROR(VLOOKUP(I29,Max_Load_France!$B$2:$C$102,2,FALSE)/1000),"",VLOOKUP(I29,Max_Load_France!$B$2:$C$102,2,FALSE)/1000)</f>
        <v>40</v>
      </c>
      <c r="K29" s="64"/>
      <c r="L29" s="98">
        <f t="shared" si="0"/>
        <v>1.05975</v>
      </c>
      <c r="M29" s="86">
        <f>IF(VLOOKUP($I29,Max_Load_France!$B$2:$M$102,3,FALSE)="","",VLOOKUP($I29,Max_Load_France!$B$2:$M$102,3,FALSE))</f>
        <v>0</v>
      </c>
      <c r="N29" s="86">
        <f>IF(VLOOKUP($I29,Max_Load_France!$B$2:$M$102,4,FALSE)="","",VLOOKUP($I29,Max_Load_France!$B$2:$M$102,4,FALSE))</f>
        <v>0</v>
      </c>
      <c r="O29" s="86">
        <f>IF(VLOOKUP($I29,Max_Load_France!$B$2:$M$102,5,FALSE)="","",VLOOKUP($I29,Max_Load_France!$B$2:$M$102,5,FALSE))</f>
        <v>1</v>
      </c>
      <c r="P29" s="86">
        <f>IF(VLOOKUP($I29,Max_Load_France!$B$2:$M$102,6,FALSE)="","",VLOOKUP($I29,Max_Load_France!$B$2:$M$102,6,FALSE))</f>
        <v>1</v>
      </c>
      <c r="Q29" s="86">
        <f>IF(VLOOKUP($I29,Max_Load_France!$B$2:$M$102,7,FALSE)="","",VLOOKUP($I29,Max_Load_France!$B$2:$M$102,7,FALSE))</f>
        <v>1</v>
      </c>
      <c r="R29" s="86" t="str">
        <f>IF(VLOOKUP($I29,Max_Load_France!$B$2:$M$102,8,FALSE)="","",VLOOKUP($I29,Max_Load_France!$B$2:$M$102,8,FALSE))</f>
        <v/>
      </c>
      <c r="S29" s="86" t="str">
        <f>IF(VLOOKUP($I29,Max_Load_France!$B$2:$M$102,9,FALSE)="","",VLOOKUP($I29,Max_Load_France!$B$2:$M$102,9,FALSE))</f>
        <v/>
      </c>
      <c r="T29" s="86" t="str">
        <f>IF(VLOOKUP($I29,Max_Load_France!$B$2:$M$102,10,FALSE)="","",VLOOKUP($I29,Max_Load_France!$B$2:$M$102,10,FALSE))</f>
        <v/>
      </c>
      <c r="U29" s="86" t="str">
        <f>IF(VLOOKUP($I29,Max_Load_France!$B$2:$M$102,11,FALSE)="","",VLOOKUP($I29,Max_Load_France!$B$2:$M$102,11,FALSE))</f>
        <v/>
      </c>
      <c r="V29" s="86">
        <f>IF(VLOOKUP($I29,Max_Load_France!$B$2:$M$102,12,FALSE)="","",VLOOKUP($I29,Max_Load_France!$B$2:$M$102,12,FALSE))</f>
        <v>5</v>
      </c>
      <c r="W29" s="99">
        <f t="shared" si="2"/>
        <v>42.39</v>
      </c>
      <c r="X29" s="100">
        <v>5.77</v>
      </c>
      <c r="Y29" s="100">
        <v>7.9</v>
      </c>
      <c r="Z29" s="100">
        <v>10.5</v>
      </c>
      <c r="AA29" s="100">
        <v>9.4700000000000006</v>
      </c>
      <c r="AB29" s="100">
        <v>8.75</v>
      </c>
      <c r="AC29" s="102"/>
      <c r="AD29" s="102"/>
      <c r="AE29" s="102"/>
      <c r="AF29" s="102"/>
      <c r="AG29" s="75">
        <f t="shared" si="3"/>
        <v>28.72</v>
      </c>
      <c r="AH29" s="75"/>
      <c r="AI29" s="75"/>
      <c r="AJ29" s="75"/>
      <c r="AK29" s="103">
        <f t="shared" si="7"/>
        <v>45.97054026503568</v>
      </c>
      <c r="AL29" s="100">
        <v>5.9558307849133527</v>
      </c>
      <c r="AM29" s="100">
        <v>9.5073598369011219</v>
      </c>
      <c r="AN29" s="100">
        <v>9.9149337410805298</v>
      </c>
      <c r="AO29" s="100">
        <v>10.415188583078491</v>
      </c>
      <c r="AP29" s="100">
        <v>10.177227319062181</v>
      </c>
      <c r="AQ29" s="102"/>
      <c r="AR29" s="102"/>
      <c r="AS29" s="102"/>
      <c r="AT29" s="102"/>
      <c r="AU29" s="75">
        <f t="shared" si="8"/>
        <v>30.507349643221204</v>
      </c>
      <c r="AV29" s="75"/>
      <c r="AW29" s="75"/>
      <c r="AX29" s="75"/>
      <c r="AY29" s="152">
        <f t="shared" si="12"/>
        <v>8.4466625738043866E-2</v>
      </c>
      <c r="AZ29" s="152">
        <f t="shared" si="13"/>
        <v>3.2206375201621E-2</v>
      </c>
      <c r="BA29" s="152">
        <f t="shared" si="14"/>
        <v>0.20346327049381283</v>
      </c>
      <c r="BB29" s="152">
        <f t="shared" si="15"/>
        <v>-5.5720596087568589E-2</v>
      </c>
      <c r="BC29" s="152">
        <f t="shared" si="16"/>
        <v>9.9808720494032763E-2</v>
      </c>
      <c r="BD29" s="152">
        <f t="shared" si="17"/>
        <v>0.16311169360710645</v>
      </c>
      <c r="BE29" s="152" t="str">
        <f t="shared" si="18"/>
        <v/>
      </c>
      <c r="BF29" s="152" t="str">
        <f t="shared" si="19"/>
        <v/>
      </c>
      <c r="BG29" s="152" t="str">
        <f t="shared" si="20"/>
        <v/>
      </c>
      <c r="BH29" s="152" t="str">
        <f t="shared" si="21"/>
        <v/>
      </c>
      <c r="BI29" s="152">
        <f t="shared" si="22"/>
        <v>6.2233622674833046E-2</v>
      </c>
      <c r="BJ29" s="152"/>
      <c r="BK29" s="152"/>
      <c r="BL29" s="152"/>
    </row>
    <row r="30" spans="1:78" s="85" customFormat="1" ht="12.75">
      <c r="A30" s="73" t="s">
        <v>303</v>
      </c>
      <c r="B30" s="74"/>
      <c r="C30" s="91"/>
      <c r="D30" s="87"/>
      <c r="E30" s="96"/>
      <c r="F30" s="87"/>
      <c r="G30" s="87"/>
      <c r="H30" s="86"/>
      <c r="I30" s="61" t="s">
        <v>94</v>
      </c>
      <c r="J30" s="74">
        <f>IF(ISERROR(VLOOKUP(I30,Max_Load_France!$B$2:$C$102,2,FALSE)/1000),"",VLOOKUP(I30,Max_Load_France!$B$2:$C$102,2,FALSE)/1000)</f>
        <v>40</v>
      </c>
      <c r="K30" s="64"/>
      <c r="L30" s="98">
        <f t="shared" si="0"/>
        <v>1.05975</v>
      </c>
      <c r="M30" s="86">
        <f>IF(VLOOKUP($I30,Max_Load_France!$B$2:$M$102,3,FALSE)="","",VLOOKUP($I30,Max_Load_France!$B$2:$M$102,3,FALSE))</f>
        <v>0</v>
      </c>
      <c r="N30" s="86">
        <f>IF(VLOOKUP($I30,Max_Load_France!$B$2:$M$102,4,FALSE)="","",VLOOKUP($I30,Max_Load_France!$B$2:$M$102,4,FALSE))</f>
        <v>0</v>
      </c>
      <c r="O30" s="86">
        <f>IF(VLOOKUP($I30,Max_Load_France!$B$2:$M$102,5,FALSE)="","",VLOOKUP($I30,Max_Load_France!$B$2:$M$102,5,FALSE))</f>
        <v>1</v>
      </c>
      <c r="P30" s="86">
        <f>IF(VLOOKUP($I30,Max_Load_France!$B$2:$M$102,6,FALSE)="","",VLOOKUP($I30,Max_Load_France!$B$2:$M$102,6,FALSE))</f>
        <v>1</v>
      </c>
      <c r="Q30" s="86">
        <f>IF(VLOOKUP($I30,Max_Load_France!$B$2:$M$102,7,FALSE)="","",VLOOKUP($I30,Max_Load_France!$B$2:$M$102,7,FALSE))</f>
        <v>1</v>
      </c>
      <c r="R30" s="86" t="str">
        <f>IF(VLOOKUP($I30,Max_Load_France!$B$2:$M$102,8,FALSE)="","",VLOOKUP($I30,Max_Load_France!$B$2:$M$102,8,FALSE))</f>
        <v/>
      </c>
      <c r="S30" s="86" t="str">
        <f>IF(VLOOKUP($I30,Max_Load_France!$B$2:$M$102,9,FALSE)="","",VLOOKUP($I30,Max_Load_France!$B$2:$M$102,9,FALSE))</f>
        <v/>
      </c>
      <c r="T30" s="86" t="str">
        <f>IF(VLOOKUP($I30,Max_Load_France!$B$2:$M$102,10,FALSE)="","",VLOOKUP($I30,Max_Load_France!$B$2:$M$102,10,FALSE))</f>
        <v/>
      </c>
      <c r="U30" s="86" t="str">
        <f>IF(VLOOKUP($I30,Max_Load_France!$B$2:$M$102,11,FALSE)="","",VLOOKUP($I30,Max_Load_France!$B$2:$M$102,11,FALSE))</f>
        <v/>
      </c>
      <c r="V30" s="86">
        <f>IF(VLOOKUP($I30,Max_Load_France!$B$2:$M$102,12,FALSE)="","",VLOOKUP($I30,Max_Load_France!$B$2:$M$102,12,FALSE))</f>
        <v>5</v>
      </c>
      <c r="W30" s="99">
        <f t="shared" si="2"/>
        <v>42.39</v>
      </c>
      <c r="X30" s="100">
        <v>5.77</v>
      </c>
      <c r="Y30" s="100">
        <v>7.9</v>
      </c>
      <c r="Z30" s="100">
        <v>10.5</v>
      </c>
      <c r="AA30" s="100">
        <v>9.4700000000000006</v>
      </c>
      <c r="AB30" s="100">
        <v>8.75</v>
      </c>
      <c r="AC30" s="102"/>
      <c r="AD30" s="102"/>
      <c r="AE30" s="102"/>
      <c r="AF30" s="102"/>
      <c r="AG30" s="75">
        <f t="shared" si="3"/>
        <v>28.72</v>
      </c>
      <c r="AH30" s="75"/>
      <c r="AI30" s="75"/>
      <c r="AJ30" s="75"/>
      <c r="AK30" s="103">
        <f t="shared" si="7"/>
        <v>54.657319062181443</v>
      </c>
      <c r="AL30" s="100">
        <v>8.7637818552497446</v>
      </c>
      <c r="AM30" s="100">
        <v>12.539449541284403</v>
      </c>
      <c r="AN30" s="100">
        <v>13.182262996941896</v>
      </c>
      <c r="AO30" s="100">
        <v>7.951946992864424</v>
      </c>
      <c r="AP30" s="100">
        <v>12.219877675840978</v>
      </c>
      <c r="AQ30" s="102"/>
      <c r="AR30" s="102"/>
      <c r="AS30" s="102"/>
      <c r="AT30" s="102"/>
      <c r="AU30" s="75">
        <f t="shared" si="8"/>
        <v>33.354087665647299</v>
      </c>
      <c r="AV30" s="75"/>
      <c r="AW30" s="75"/>
      <c r="AX30" s="75"/>
      <c r="AY30" s="152">
        <f t="shared" si="12"/>
        <v>0.28939181557399013</v>
      </c>
      <c r="AZ30" s="152">
        <f t="shared" si="13"/>
        <v>0.51885300784224353</v>
      </c>
      <c r="BA30" s="152">
        <f t="shared" si="14"/>
        <v>0.58727209383346868</v>
      </c>
      <c r="BB30" s="152">
        <f t="shared" si="15"/>
        <v>0.25545361875637101</v>
      </c>
      <c r="BC30" s="152">
        <f t="shared" si="16"/>
        <v>-0.16030126791294366</v>
      </c>
      <c r="BD30" s="152">
        <f t="shared" si="17"/>
        <v>0.39655744866754034</v>
      </c>
      <c r="BE30" s="152" t="str">
        <f t="shared" si="18"/>
        <v/>
      </c>
      <c r="BF30" s="152" t="str">
        <f t="shared" si="19"/>
        <v/>
      </c>
      <c r="BG30" s="152" t="str">
        <f t="shared" si="20"/>
        <v/>
      </c>
      <c r="BH30" s="152" t="str">
        <f t="shared" si="21"/>
        <v/>
      </c>
      <c r="BI30" s="152">
        <f t="shared" si="22"/>
        <v>0.16135402735540738</v>
      </c>
      <c r="BJ30" s="152"/>
      <c r="BK30" s="152"/>
      <c r="BL30" s="152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</row>
    <row r="31" spans="1:78" s="85" customFormat="1" ht="12.75">
      <c r="A31" s="73" t="s">
        <v>304</v>
      </c>
      <c r="B31" s="74"/>
      <c r="C31" s="91"/>
      <c r="D31" s="87"/>
      <c r="E31" s="96"/>
      <c r="F31" s="87"/>
      <c r="G31" s="87"/>
      <c r="H31" s="86"/>
      <c r="I31" s="61" t="s">
        <v>94</v>
      </c>
      <c r="J31" s="74">
        <f>IF(ISERROR(VLOOKUP(I31,Max_Load_France!$B$2:$C$102,2,FALSE)/1000),"",VLOOKUP(I31,Max_Load_France!$B$2:$C$102,2,FALSE)/1000)</f>
        <v>40</v>
      </c>
      <c r="K31" s="64"/>
      <c r="L31" s="98">
        <f t="shared" si="0"/>
        <v>1.05975</v>
      </c>
      <c r="M31" s="86">
        <f>IF(VLOOKUP($I31,Max_Load_France!$B$2:$M$102,3,FALSE)="","",VLOOKUP($I31,Max_Load_France!$B$2:$M$102,3,FALSE))</f>
        <v>0</v>
      </c>
      <c r="N31" s="86">
        <f>IF(VLOOKUP($I31,Max_Load_France!$B$2:$M$102,4,FALSE)="","",VLOOKUP($I31,Max_Load_France!$B$2:$M$102,4,FALSE))</f>
        <v>0</v>
      </c>
      <c r="O31" s="86">
        <f>IF(VLOOKUP($I31,Max_Load_France!$B$2:$M$102,5,FALSE)="","",VLOOKUP($I31,Max_Load_France!$B$2:$M$102,5,FALSE))</f>
        <v>1</v>
      </c>
      <c r="P31" s="86">
        <f>IF(VLOOKUP($I31,Max_Load_France!$B$2:$M$102,6,FALSE)="","",VLOOKUP($I31,Max_Load_France!$B$2:$M$102,6,FALSE))</f>
        <v>1</v>
      </c>
      <c r="Q31" s="86">
        <f>IF(VLOOKUP($I31,Max_Load_France!$B$2:$M$102,7,FALSE)="","",VLOOKUP($I31,Max_Load_France!$B$2:$M$102,7,FALSE))</f>
        <v>1</v>
      </c>
      <c r="R31" s="86" t="str">
        <f>IF(VLOOKUP($I31,Max_Load_France!$B$2:$M$102,8,FALSE)="","",VLOOKUP($I31,Max_Load_France!$B$2:$M$102,8,FALSE))</f>
        <v/>
      </c>
      <c r="S31" s="86" t="str">
        <f>IF(VLOOKUP($I31,Max_Load_France!$B$2:$M$102,9,FALSE)="","",VLOOKUP($I31,Max_Load_France!$B$2:$M$102,9,FALSE))</f>
        <v/>
      </c>
      <c r="T31" s="86" t="str">
        <f>IF(VLOOKUP($I31,Max_Load_France!$B$2:$M$102,10,FALSE)="","",VLOOKUP($I31,Max_Load_France!$B$2:$M$102,10,FALSE))</f>
        <v/>
      </c>
      <c r="U31" s="86" t="str">
        <f>IF(VLOOKUP($I31,Max_Load_France!$B$2:$M$102,11,FALSE)="","",VLOOKUP($I31,Max_Load_France!$B$2:$M$102,11,FALSE))</f>
        <v/>
      </c>
      <c r="V31" s="86">
        <f>IF(VLOOKUP($I31,Max_Load_France!$B$2:$M$102,12,FALSE)="","",VLOOKUP($I31,Max_Load_France!$B$2:$M$102,12,FALSE))</f>
        <v>5</v>
      </c>
      <c r="W31" s="99">
        <f t="shared" si="2"/>
        <v>42.39</v>
      </c>
      <c r="X31" s="100">
        <v>5.77</v>
      </c>
      <c r="Y31" s="100">
        <v>7.9</v>
      </c>
      <c r="Z31" s="100">
        <v>10.5</v>
      </c>
      <c r="AA31" s="100">
        <v>9.4700000000000006</v>
      </c>
      <c r="AB31" s="100">
        <v>8.75</v>
      </c>
      <c r="AC31" s="102"/>
      <c r="AD31" s="102"/>
      <c r="AE31" s="102"/>
      <c r="AF31" s="102"/>
      <c r="AG31" s="75">
        <f t="shared" si="3"/>
        <v>28.72</v>
      </c>
      <c r="AH31" s="75"/>
      <c r="AI31" s="75"/>
      <c r="AJ31" s="75"/>
      <c r="AK31" s="103">
        <f t="shared" si="7"/>
        <v>40.566901121304788</v>
      </c>
      <c r="AL31" s="100">
        <v>4.8041284403669726</v>
      </c>
      <c r="AM31" s="100">
        <v>7.2126197757390411</v>
      </c>
      <c r="AN31" s="100">
        <v>8.721039755351681</v>
      </c>
      <c r="AO31" s="100">
        <v>10.094658511722731</v>
      </c>
      <c r="AP31" s="100">
        <v>9.7344546381243635</v>
      </c>
      <c r="AQ31" s="102"/>
      <c r="AR31" s="102"/>
      <c r="AS31" s="102"/>
      <c r="AT31" s="102"/>
      <c r="AU31" s="75">
        <f t="shared" si="8"/>
        <v>28.550152905198772</v>
      </c>
      <c r="AV31" s="75"/>
      <c r="AW31" s="75"/>
      <c r="AX31" s="75"/>
      <c r="AY31" s="152">
        <f t="shared" si="12"/>
        <v>-4.3007758402812277E-2</v>
      </c>
      <c r="AZ31" s="152">
        <f t="shared" si="13"/>
        <v>-0.16739541761404281</v>
      </c>
      <c r="BA31" s="152">
        <f t="shared" si="14"/>
        <v>-8.7010154969741668E-2</v>
      </c>
      <c r="BB31" s="152">
        <f t="shared" si="15"/>
        <v>-0.1694247852046018</v>
      </c>
      <c r="BC31" s="152">
        <f t="shared" si="16"/>
        <v>6.5961828059422398E-2</v>
      </c>
      <c r="BD31" s="152">
        <f t="shared" si="17"/>
        <v>0.11250910149992725</v>
      </c>
      <c r="BE31" s="152" t="str">
        <f t="shared" si="18"/>
        <v/>
      </c>
      <c r="BF31" s="152" t="str">
        <f t="shared" si="19"/>
        <v/>
      </c>
      <c r="BG31" s="152" t="str">
        <f t="shared" si="20"/>
        <v/>
      </c>
      <c r="BH31" s="152" t="str">
        <f t="shared" si="21"/>
        <v/>
      </c>
      <c r="BI31" s="152">
        <f t="shared" si="22"/>
        <v>-5.9138960585385508E-3</v>
      </c>
      <c r="BJ31" s="152"/>
      <c r="BK31" s="152"/>
      <c r="BL31" s="152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BZ31" s="76"/>
    </row>
    <row r="32" spans="1:78" s="85" customFormat="1" ht="12.75">
      <c r="A32" s="73" t="s">
        <v>305</v>
      </c>
      <c r="B32" s="74"/>
      <c r="C32" s="91"/>
      <c r="D32" s="64"/>
      <c r="E32" s="97"/>
      <c r="F32" s="64"/>
      <c r="G32" s="64"/>
      <c r="H32" s="86"/>
      <c r="I32" s="61" t="s">
        <v>94</v>
      </c>
      <c r="J32" s="74">
        <f>IF(ISERROR(VLOOKUP(I32,Max_Load_France!$B$2:$C$102,2,FALSE)/1000),"",VLOOKUP(I32,Max_Load_France!$B$2:$C$102,2,FALSE)/1000)</f>
        <v>40</v>
      </c>
      <c r="K32" s="64"/>
      <c r="L32" s="98">
        <f t="shared" si="0"/>
        <v>1.05975</v>
      </c>
      <c r="M32" s="86">
        <f>IF(VLOOKUP($I32,Max_Load_France!$B$2:$M$102,3,FALSE)="","",VLOOKUP($I32,Max_Load_France!$B$2:$M$102,3,FALSE))</f>
        <v>0</v>
      </c>
      <c r="N32" s="86">
        <f>IF(VLOOKUP($I32,Max_Load_France!$B$2:$M$102,4,FALSE)="","",VLOOKUP($I32,Max_Load_France!$B$2:$M$102,4,FALSE))</f>
        <v>0</v>
      </c>
      <c r="O32" s="86">
        <f>IF(VLOOKUP($I32,Max_Load_France!$B$2:$M$102,5,FALSE)="","",VLOOKUP($I32,Max_Load_France!$B$2:$M$102,5,FALSE))</f>
        <v>1</v>
      </c>
      <c r="P32" s="86">
        <f>IF(VLOOKUP($I32,Max_Load_France!$B$2:$M$102,6,FALSE)="","",VLOOKUP($I32,Max_Load_France!$B$2:$M$102,6,FALSE))</f>
        <v>1</v>
      </c>
      <c r="Q32" s="86">
        <f>IF(VLOOKUP($I32,Max_Load_France!$B$2:$M$102,7,FALSE)="","",VLOOKUP($I32,Max_Load_France!$B$2:$M$102,7,FALSE))</f>
        <v>1</v>
      </c>
      <c r="R32" s="86" t="str">
        <f>IF(VLOOKUP($I32,Max_Load_France!$B$2:$M$102,8,FALSE)="","",VLOOKUP($I32,Max_Load_France!$B$2:$M$102,8,FALSE))</f>
        <v/>
      </c>
      <c r="S32" s="86" t="str">
        <f>IF(VLOOKUP($I32,Max_Load_France!$B$2:$M$102,9,FALSE)="","",VLOOKUP($I32,Max_Load_France!$B$2:$M$102,9,FALSE))</f>
        <v/>
      </c>
      <c r="T32" s="86" t="str">
        <f>IF(VLOOKUP($I32,Max_Load_France!$B$2:$M$102,10,FALSE)="","",VLOOKUP($I32,Max_Load_France!$B$2:$M$102,10,FALSE))</f>
        <v/>
      </c>
      <c r="U32" s="86" t="str">
        <f>IF(VLOOKUP($I32,Max_Load_France!$B$2:$M$102,11,FALSE)="","",VLOOKUP($I32,Max_Load_France!$B$2:$M$102,11,FALSE))</f>
        <v/>
      </c>
      <c r="V32" s="86">
        <f>IF(VLOOKUP($I32,Max_Load_France!$B$2:$M$102,12,FALSE)="","",VLOOKUP($I32,Max_Load_France!$B$2:$M$102,12,FALSE))</f>
        <v>5</v>
      </c>
      <c r="W32" s="99">
        <f t="shared" si="2"/>
        <v>42.39</v>
      </c>
      <c r="X32" s="100">
        <v>5.77</v>
      </c>
      <c r="Y32" s="100">
        <v>7.9</v>
      </c>
      <c r="Z32" s="100">
        <v>10.5</v>
      </c>
      <c r="AA32" s="100">
        <v>9.4700000000000006</v>
      </c>
      <c r="AB32" s="100">
        <v>8.75</v>
      </c>
      <c r="AC32" s="107"/>
      <c r="AD32" s="107"/>
      <c r="AE32" s="107"/>
      <c r="AF32" s="107"/>
      <c r="AG32" s="75">
        <f t="shared" si="3"/>
        <v>28.72</v>
      </c>
      <c r="AH32" s="75"/>
      <c r="AI32" s="75"/>
      <c r="AJ32" s="75"/>
      <c r="AK32" s="103">
        <f t="shared" si="7"/>
        <v>43.273853211009168</v>
      </c>
      <c r="AL32" s="100">
        <v>5.7327217125382264</v>
      </c>
      <c r="AM32" s="100">
        <v>9.1129459734964318</v>
      </c>
      <c r="AN32" s="100">
        <v>8.4363812436289507</v>
      </c>
      <c r="AO32" s="100">
        <v>11.132008154943934</v>
      </c>
      <c r="AP32" s="109">
        <v>8.8597961264016298</v>
      </c>
      <c r="AQ32" s="108"/>
      <c r="AR32" s="108"/>
      <c r="AS32" s="108"/>
      <c r="AT32" s="108"/>
      <c r="AU32" s="75">
        <f t="shared" si="8"/>
        <v>28.428185524974513</v>
      </c>
      <c r="AV32" s="75"/>
      <c r="AW32" s="75"/>
      <c r="AX32" s="75"/>
      <c r="AY32" s="152">
        <f t="shared" si="12"/>
        <v>2.0850512172898506E-2</v>
      </c>
      <c r="AZ32" s="152">
        <f t="shared" si="13"/>
        <v>-6.460708398920832E-3</v>
      </c>
      <c r="BA32" s="152">
        <f t="shared" si="14"/>
        <v>0.15353746499954826</v>
      </c>
      <c r="BB32" s="152">
        <f t="shared" si="15"/>
        <v>-0.19653511965438564</v>
      </c>
      <c r="BC32" s="152">
        <f t="shared" si="16"/>
        <v>0.17550244508383667</v>
      </c>
      <c r="BD32" s="152">
        <f t="shared" si="17"/>
        <v>1.2548128731614839E-2</v>
      </c>
      <c r="BE32" s="152" t="str">
        <f t="shared" si="18"/>
        <v/>
      </c>
      <c r="BF32" s="152" t="str">
        <f t="shared" si="19"/>
        <v/>
      </c>
      <c r="BG32" s="152" t="str">
        <f t="shared" si="20"/>
        <v/>
      </c>
      <c r="BH32" s="152" t="str">
        <f t="shared" si="21"/>
        <v/>
      </c>
      <c r="BI32" s="152">
        <f t="shared" si="22"/>
        <v>-1.0160671135984891E-2</v>
      </c>
      <c r="BJ32" s="152"/>
      <c r="BK32" s="152"/>
      <c r="BL32" s="152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BZ32" s="76"/>
    </row>
    <row r="33" spans="1:66" s="85" customFormat="1" ht="12.75">
      <c r="A33" s="73" t="s">
        <v>306</v>
      </c>
      <c r="B33" s="74"/>
      <c r="C33" s="91"/>
      <c r="D33" s="87"/>
      <c r="E33" s="96"/>
      <c r="F33" s="87"/>
      <c r="G33" s="87"/>
      <c r="H33" s="86"/>
      <c r="I33" s="61" t="s">
        <v>94</v>
      </c>
      <c r="J33" s="74">
        <f>IF(ISERROR(VLOOKUP(I33,Max_Load_France!$B$2:$C$102,2,FALSE)/1000),"",VLOOKUP(I33,Max_Load_France!$B$2:$C$102,2,FALSE)/1000)</f>
        <v>40</v>
      </c>
      <c r="K33" s="64"/>
      <c r="L33" s="98">
        <f t="shared" si="0"/>
        <v>1.05975</v>
      </c>
      <c r="M33" s="86">
        <f>IF(VLOOKUP($I33,Max_Load_France!$B$2:$M$102,3,FALSE)="","",VLOOKUP($I33,Max_Load_France!$B$2:$M$102,3,FALSE))</f>
        <v>0</v>
      </c>
      <c r="N33" s="86">
        <f>IF(VLOOKUP($I33,Max_Load_France!$B$2:$M$102,4,FALSE)="","",VLOOKUP($I33,Max_Load_France!$B$2:$M$102,4,FALSE))</f>
        <v>0</v>
      </c>
      <c r="O33" s="86">
        <f>IF(VLOOKUP($I33,Max_Load_France!$B$2:$M$102,5,FALSE)="","",VLOOKUP($I33,Max_Load_France!$B$2:$M$102,5,FALSE))</f>
        <v>1</v>
      </c>
      <c r="P33" s="86">
        <f>IF(VLOOKUP($I33,Max_Load_France!$B$2:$M$102,6,FALSE)="","",VLOOKUP($I33,Max_Load_France!$B$2:$M$102,6,FALSE))</f>
        <v>1</v>
      </c>
      <c r="Q33" s="86">
        <f>IF(VLOOKUP($I33,Max_Load_France!$B$2:$M$102,7,FALSE)="","",VLOOKUP($I33,Max_Load_France!$B$2:$M$102,7,FALSE))</f>
        <v>1</v>
      </c>
      <c r="R33" s="86" t="str">
        <f>IF(VLOOKUP($I33,Max_Load_France!$B$2:$M$102,8,FALSE)="","",VLOOKUP($I33,Max_Load_France!$B$2:$M$102,8,FALSE))</f>
        <v/>
      </c>
      <c r="S33" s="86" t="str">
        <f>IF(VLOOKUP($I33,Max_Load_France!$B$2:$M$102,9,FALSE)="","",VLOOKUP($I33,Max_Load_France!$B$2:$M$102,9,FALSE))</f>
        <v/>
      </c>
      <c r="T33" s="86" t="str">
        <f>IF(VLOOKUP($I33,Max_Load_France!$B$2:$M$102,10,FALSE)="","",VLOOKUP($I33,Max_Load_France!$B$2:$M$102,10,FALSE))</f>
        <v/>
      </c>
      <c r="U33" s="86" t="str">
        <f>IF(VLOOKUP($I33,Max_Load_France!$B$2:$M$102,11,FALSE)="","",VLOOKUP($I33,Max_Load_France!$B$2:$M$102,11,FALSE))</f>
        <v/>
      </c>
      <c r="V33" s="86">
        <f>IF(VLOOKUP($I33,Max_Load_France!$B$2:$M$102,12,FALSE)="","",VLOOKUP($I33,Max_Load_France!$B$2:$M$102,12,FALSE))</f>
        <v>5</v>
      </c>
      <c r="W33" s="99">
        <f t="shared" si="2"/>
        <v>42.39</v>
      </c>
      <c r="X33" s="100">
        <v>5.77</v>
      </c>
      <c r="Y33" s="100">
        <v>7.9</v>
      </c>
      <c r="Z33" s="100">
        <v>10.5</v>
      </c>
      <c r="AA33" s="100">
        <v>9.4700000000000006</v>
      </c>
      <c r="AB33" s="100">
        <v>8.75</v>
      </c>
      <c r="AC33" s="102"/>
      <c r="AD33" s="102"/>
      <c r="AE33" s="102"/>
      <c r="AF33" s="102"/>
      <c r="AG33" s="75">
        <f t="shared" si="3"/>
        <v>28.72</v>
      </c>
      <c r="AH33" s="75"/>
      <c r="AI33" s="75"/>
      <c r="AJ33" s="75"/>
      <c r="AK33" s="103">
        <f t="shared" si="7"/>
        <v>44.471773700305803</v>
      </c>
      <c r="AL33" s="100">
        <v>5.9306625891946991</v>
      </c>
      <c r="AM33" s="100">
        <v>8.963160040774719</v>
      </c>
      <c r="AN33" s="100">
        <v>9.9892354740061151</v>
      </c>
      <c r="AO33" s="100">
        <v>9.7872477064220185</v>
      </c>
      <c r="AP33" s="100">
        <v>9.8014678899082561</v>
      </c>
      <c r="AQ33" s="102"/>
      <c r="AR33" s="102"/>
      <c r="AS33" s="102"/>
      <c r="AT33" s="102"/>
      <c r="AU33" s="75">
        <f t="shared" si="8"/>
        <v>29.57795107033639</v>
      </c>
      <c r="AV33" s="75"/>
      <c r="AW33" s="75"/>
      <c r="AX33" s="75"/>
      <c r="AY33" s="152">
        <f t="shared" si="12"/>
        <v>4.9110018879589594E-2</v>
      </c>
      <c r="AZ33" s="152">
        <f t="shared" si="13"/>
        <v>2.7844469531143771E-2</v>
      </c>
      <c r="BA33" s="152">
        <f t="shared" si="14"/>
        <v>0.13457722035123021</v>
      </c>
      <c r="BB33" s="152">
        <f t="shared" si="15"/>
        <v>-4.8644240570846181E-2</v>
      </c>
      <c r="BC33" s="152">
        <f t="shared" si="16"/>
        <v>3.3500285789019833E-2</v>
      </c>
      <c r="BD33" s="152">
        <f t="shared" si="17"/>
        <v>0.12016775884665784</v>
      </c>
      <c r="BE33" s="152" t="str">
        <f t="shared" si="18"/>
        <v/>
      </c>
      <c r="BF33" s="152" t="str">
        <f t="shared" si="19"/>
        <v/>
      </c>
      <c r="BG33" s="152" t="str">
        <f t="shared" si="20"/>
        <v/>
      </c>
      <c r="BH33" s="152" t="str">
        <f t="shared" si="21"/>
        <v/>
      </c>
      <c r="BI33" s="152">
        <f t="shared" si="22"/>
        <v>2.9872948131489933E-2</v>
      </c>
      <c r="BJ33" s="152"/>
      <c r="BK33" s="152"/>
      <c r="BL33" s="152"/>
      <c r="BM33" s="76"/>
      <c r="BN33" s="76"/>
    </row>
    <row r="34" spans="1:66" s="85" customFormat="1" ht="12.75">
      <c r="A34" s="73" t="s">
        <v>307</v>
      </c>
      <c r="B34" s="74"/>
      <c r="C34" s="91"/>
      <c r="D34" s="87"/>
      <c r="E34" s="96"/>
      <c r="F34" s="87"/>
      <c r="G34" s="87"/>
      <c r="H34" s="86"/>
      <c r="I34" s="61" t="s">
        <v>94</v>
      </c>
      <c r="J34" s="74">
        <f>IF(ISERROR(VLOOKUP(I34,Max_Load_France!$B$2:$C$102,2,FALSE)/1000),"",VLOOKUP(I34,Max_Load_France!$B$2:$C$102,2,FALSE)/1000)</f>
        <v>40</v>
      </c>
      <c r="K34" s="64"/>
      <c r="L34" s="98">
        <f t="shared" si="0"/>
        <v>1.05975</v>
      </c>
      <c r="M34" s="86">
        <f>IF(VLOOKUP($I34,Max_Load_France!$B$2:$M$102,3,FALSE)="","",VLOOKUP($I34,Max_Load_France!$B$2:$M$102,3,FALSE))</f>
        <v>0</v>
      </c>
      <c r="N34" s="86">
        <f>IF(VLOOKUP($I34,Max_Load_France!$B$2:$M$102,4,FALSE)="","",VLOOKUP($I34,Max_Load_France!$B$2:$M$102,4,FALSE))</f>
        <v>0</v>
      </c>
      <c r="O34" s="86">
        <f>IF(VLOOKUP($I34,Max_Load_France!$B$2:$M$102,5,FALSE)="","",VLOOKUP($I34,Max_Load_France!$B$2:$M$102,5,FALSE))</f>
        <v>1</v>
      </c>
      <c r="P34" s="86">
        <f>IF(VLOOKUP($I34,Max_Load_France!$B$2:$M$102,6,FALSE)="","",VLOOKUP($I34,Max_Load_France!$B$2:$M$102,6,FALSE))</f>
        <v>1</v>
      </c>
      <c r="Q34" s="86">
        <f>IF(VLOOKUP($I34,Max_Load_France!$B$2:$M$102,7,FALSE)="","",VLOOKUP($I34,Max_Load_France!$B$2:$M$102,7,FALSE))</f>
        <v>1</v>
      </c>
      <c r="R34" s="86" t="str">
        <f>IF(VLOOKUP($I34,Max_Load_France!$B$2:$M$102,8,FALSE)="","",VLOOKUP($I34,Max_Load_France!$B$2:$M$102,8,FALSE))</f>
        <v/>
      </c>
      <c r="S34" s="86" t="str">
        <f>IF(VLOOKUP($I34,Max_Load_France!$B$2:$M$102,9,FALSE)="","",VLOOKUP($I34,Max_Load_France!$B$2:$M$102,9,FALSE))</f>
        <v/>
      </c>
      <c r="T34" s="86" t="str">
        <f>IF(VLOOKUP($I34,Max_Load_France!$B$2:$M$102,10,FALSE)="","",VLOOKUP($I34,Max_Load_France!$B$2:$M$102,10,FALSE))</f>
        <v/>
      </c>
      <c r="U34" s="86" t="str">
        <f>IF(VLOOKUP($I34,Max_Load_France!$B$2:$M$102,11,FALSE)="","",VLOOKUP($I34,Max_Load_France!$B$2:$M$102,11,FALSE))</f>
        <v/>
      </c>
      <c r="V34" s="86">
        <f>IF(VLOOKUP($I34,Max_Load_France!$B$2:$M$102,12,FALSE)="","",VLOOKUP($I34,Max_Load_France!$B$2:$M$102,12,FALSE))</f>
        <v>5</v>
      </c>
      <c r="W34" s="99">
        <f t="shared" si="2"/>
        <v>42.39</v>
      </c>
      <c r="X34" s="100">
        <v>5.77</v>
      </c>
      <c r="Y34" s="100">
        <v>7.9</v>
      </c>
      <c r="Z34" s="100">
        <v>10.5</v>
      </c>
      <c r="AA34" s="100">
        <v>9.4700000000000006</v>
      </c>
      <c r="AB34" s="100">
        <v>8.75</v>
      </c>
      <c r="AC34" s="102"/>
      <c r="AD34" s="102"/>
      <c r="AE34" s="102"/>
      <c r="AF34" s="102"/>
      <c r="AG34" s="75">
        <f t="shared" si="3"/>
        <v>28.72</v>
      </c>
      <c r="AH34" s="75"/>
      <c r="AI34" s="75"/>
      <c r="AJ34" s="75"/>
      <c r="AK34" s="103">
        <f t="shared" si="7"/>
        <v>46.173496432212026</v>
      </c>
      <c r="AL34" s="100">
        <v>6.3985015290519875</v>
      </c>
      <c r="AM34" s="100">
        <v>9.4485626911314977</v>
      </c>
      <c r="AN34" s="100">
        <v>10.296126401630987</v>
      </c>
      <c r="AO34" s="100">
        <v>9.9989908256880735</v>
      </c>
      <c r="AP34" s="100">
        <v>10.03131498470948</v>
      </c>
      <c r="AQ34" s="102"/>
      <c r="AR34" s="102"/>
      <c r="AS34" s="102"/>
      <c r="AT34" s="102"/>
      <c r="AU34" s="75">
        <f t="shared" si="8"/>
        <v>30.326432212028543</v>
      </c>
      <c r="AV34" s="75"/>
      <c r="AW34" s="75"/>
      <c r="AX34" s="75"/>
      <c r="AY34" s="152">
        <f t="shared" si="12"/>
        <v>8.9254456999575973E-2</v>
      </c>
      <c r="AZ34" s="152">
        <f t="shared" si="13"/>
        <v>0.10892574160346413</v>
      </c>
      <c r="BA34" s="152">
        <f t="shared" si="14"/>
        <v>0.19602059381411358</v>
      </c>
      <c r="BB34" s="152">
        <f t="shared" si="15"/>
        <v>-1.9416533178001214E-2</v>
      </c>
      <c r="BC34" s="152">
        <f t="shared" si="16"/>
        <v>5.5859643684062599E-2</v>
      </c>
      <c r="BD34" s="152">
        <f t="shared" si="17"/>
        <v>0.14643599825251202</v>
      </c>
      <c r="BE34" s="152" t="str">
        <f t="shared" si="18"/>
        <v/>
      </c>
      <c r="BF34" s="152" t="str">
        <f t="shared" si="19"/>
        <v/>
      </c>
      <c r="BG34" s="152" t="str">
        <f t="shared" si="20"/>
        <v/>
      </c>
      <c r="BH34" s="152" t="str">
        <f t="shared" si="21"/>
        <v/>
      </c>
      <c r="BI34" s="152">
        <f t="shared" si="22"/>
        <v>5.5934269221049583E-2</v>
      </c>
      <c r="BJ34" s="152"/>
      <c r="BK34" s="152"/>
      <c r="BL34" s="152"/>
      <c r="BM34" s="76"/>
      <c r="BN34" s="76"/>
    </row>
    <row r="35" spans="1:66" s="85" customFormat="1" ht="12.75">
      <c r="A35" s="73" t="s">
        <v>308</v>
      </c>
      <c r="B35" s="74"/>
      <c r="C35" s="91"/>
      <c r="D35" s="87"/>
      <c r="E35" s="96"/>
      <c r="F35" s="87"/>
      <c r="G35" s="87"/>
      <c r="H35" s="86"/>
      <c r="I35" s="61" t="s">
        <v>94</v>
      </c>
      <c r="J35" s="74">
        <f>IF(ISERROR(VLOOKUP(I35,Max_Load_France!$B$2:$C$102,2,FALSE)/1000),"",VLOOKUP(I35,Max_Load_France!$B$2:$C$102,2,FALSE)/1000)</f>
        <v>40</v>
      </c>
      <c r="K35" s="64"/>
      <c r="L35" s="98">
        <f t="shared" si="0"/>
        <v>1.05975</v>
      </c>
      <c r="M35" s="86">
        <f>IF(VLOOKUP($I35,Max_Load_France!$B$2:$M$102,3,FALSE)="","",VLOOKUP($I35,Max_Load_France!$B$2:$M$102,3,FALSE))</f>
        <v>0</v>
      </c>
      <c r="N35" s="86">
        <f>IF(VLOOKUP($I35,Max_Load_France!$B$2:$M$102,4,FALSE)="","",VLOOKUP($I35,Max_Load_France!$B$2:$M$102,4,FALSE))</f>
        <v>0</v>
      </c>
      <c r="O35" s="86">
        <f>IF(VLOOKUP($I35,Max_Load_France!$B$2:$M$102,5,FALSE)="","",VLOOKUP($I35,Max_Load_France!$B$2:$M$102,5,FALSE))</f>
        <v>1</v>
      </c>
      <c r="P35" s="86">
        <f>IF(VLOOKUP($I35,Max_Load_France!$B$2:$M$102,6,FALSE)="","",VLOOKUP($I35,Max_Load_France!$B$2:$M$102,6,FALSE))</f>
        <v>1</v>
      </c>
      <c r="Q35" s="86">
        <f>IF(VLOOKUP($I35,Max_Load_France!$B$2:$M$102,7,FALSE)="","",VLOOKUP($I35,Max_Load_France!$B$2:$M$102,7,FALSE))</f>
        <v>1</v>
      </c>
      <c r="R35" s="86" t="str">
        <f>IF(VLOOKUP($I35,Max_Load_France!$B$2:$M$102,8,FALSE)="","",VLOOKUP($I35,Max_Load_France!$B$2:$M$102,8,FALSE))</f>
        <v/>
      </c>
      <c r="S35" s="86" t="str">
        <f>IF(VLOOKUP($I35,Max_Load_France!$B$2:$M$102,9,FALSE)="","",VLOOKUP($I35,Max_Load_France!$B$2:$M$102,9,FALSE))</f>
        <v/>
      </c>
      <c r="T35" s="86" t="str">
        <f>IF(VLOOKUP($I35,Max_Load_France!$B$2:$M$102,10,FALSE)="","",VLOOKUP($I35,Max_Load_France!$B$2:$M$102,10,FALSE))</f>
        <v/>
      </c>
      <c r="U35" s="86" t="str">
        <f>IF(VLOOKUP($I35,Max_Load_France!$B$2:$M$102,11,FALSE)="","",VLOOKUP($I35,Max_Load_France!$B$2:$M$102,11,FALSE))</f>
        <v/>
      </c>
      <c r="V35" s="86">
        <f>IF(VLOOKUP($I35,Max_Load_France!$B$2:$M$102,12,FALSE)="","",VLOOKUP($I35,Max_Load_France!$B$2:$M$102,12,FALSE))</f>
        <v>5</v>
      </c>
      <c r="W35" s="99">
        <f t="shared" si="2"/>
        <v>42.39</v>
      </c>
      <c r="X35" s="100">
        <v>5.77</v>
      </c>
      <c r="Y35" s="100">
        <v>7.9</v>
      </c>
      <c r="Z35" s="100">
        <v>10.5</v>
      </c>
      <c r="AA35" s="100">
        <v>9.4700000000000006</v>
      </c>
      <c r="AB35" s="100">
        <v>8.75</v>
      </c>
      <c r="AC35" s="102"/>
      <c r="AD35" s="102"/>
      <c r="AE35" s="102"/>
      <c r="AF35" s="102"/>
      <c r="AG35" s="75">
        <f t="shared" si="3"/>
        <v>28.72</v>
      </c>
      <c r="AH35" s="75"/>
      <c r="AI35" s="75"/>
      <c r="AJ35" s="75"/>
      <c r="AK35" s="103">
        <f t="shared" si="7"/>
        <v>35.938552497451582</v>
      </c>
      <c r="AL35" s="100">
        <v>4.2451478083588174</v>
      </c>
      <c r="AM35" s="100">
        <v>6.3460040774719673</v>
      </c>
      <c r="AN35" s="100">
        <v>7.1902752293577983</v>
      </c>
      <c r="AO35" s="100">
        <v>10.829357798165137</v>
      </c>
      <c r="AP35" s="100">
        <v>7.3277675840978596</v>
      </c>
      <c r="AQ35" s="102"/>
      <c r="AR35" s="102"/>
      <c r="AS35" s="102"/>
      <c r="AT35" s="102"/>
      <c r="AU35" s="75">
        <f t="shared" si="8"/>
        <v>25.347400611620795</v>
      </c>
      <c r="AV35" s="75"/>
      <c r="AW35" s="75"/>
      <c r="AX35" s="75"/>
      <c r="AY35" s="152">
        <f t="shared" si="12"/>
        <v>-0.15219267521935406</v>
      </c>
      <c r="AZ35" s="152">
        <f t="shared" si="13"/>
        <v>-0.26427247688755323</v>
      </c>
      <c r="BA35" s="152">
        <f t="shared" si="14"/>
        <v>-0.19670834462380166</v>
      </c>
      <c r="BB35" s="152">
        <f t="shared" si="15"/>
        <v>-0.31521188291830493</v>
      </c>
      <c r="BC35" s="152">
        <f t="shared" si="16"/>
        <v>0.14354359009135551</v>
      </c>
      <c r="BD35" s="152">
        <f t="shared" si="17"/>
        <v>-0.16254084753167319</v>
      </c>
      <c r="BE35" s="152" t="str">
        <f t="shared" si="18"/>
        <v/>
      </c>
      <c r="BF35" s="152" t="str">
        <f t="shared" si="19"/>
        <v/>
      </c>
      <c r="BG35" s="152" t="str">
        <f t="shared" si="20"/>
        <v/>
      </c>
      <c r="BH35" s="152" t="str">
        <f t="shared" si="21"/>
        <v/>
      </c>
      <c r="BI35" s="152">
        <f t="shared" si="22"/>
        <v>-0.11743034082100291</v>
      </c>
      <c r="BJ35" s="152"/>
      <c r="BK35" s="152"/>
      <c r="BL35" s="152"/>
      <c r="BM35" s="76"/>
      <c r="BN35" s="76"/>
    </row>
    <row r="36" spans="1:66" s="85" customFormat="1" ht="12.75">
      <c r="A36" s="73" t="s">
        <v>309</v>
      </c>
      <c r="B36" s="74"/>
      <c r="C36" s="91"/>
      <c r="D36" s="87"/>
      <c r="E36" s="96"/>
      <c r="F36" s="87"/>
      <c r="G36" s="87"/>
      <c r="H36" s="86"/>
      <c r="I36" s="61" t="s">
        <v>94</v>
      </c>
      <c r="J36" s="74">
        <f>IF(ISERROR(VLOOKUP(I36,Max_Load_France!$B$2:$C$102,2,FALSE)/1000),"",VLOOKUP(I36,Max_Load_France!$B$2:$C$102,2,FALSE)/1000)</f>
        <v>40</v>
      </c>
      <c r="K36" s="64"/>
      <c r="L36" s="98">
        <f t="shared" si="0"/>
        <v>1.05975</v>
      </c>
      <c r="M36" s="86">
        <f>IF(VLOOKUP($I36,Max_Load_France!$B$2:$M$102,3,FALSE)="","",VLOOKUP($I36,Max_Load_France!$B$2:$M$102,3,FALSE))</f>
        <v>0</v>
      </c>
      <c r="N36" s="86">
        <f>IF(VLOOKUP($I36,Max_Load_France!$B$2:$M$102,4,FALSE)="","",VLOOKUP($I36,Max_Load_France!$B$2:$M$102,4,FALSE))</f>
        <v>0</v>
      </c>
      <c r="O36" s="86">
        <f>IF(VLOOKUP($I36,Max_Load_France!$B$2:$M$102,5,FALSE)="","",VLOOKUP($I36,Max_Load_France!$B$2:$M$102,5,FALSE))</f>
        <v>1</v>
      </c>
      <c r="P36" s="86">
        <f>IF(VLOOKUP($I36,Max_Load_France!$B$2:$M$102,6,FALSE)="","",VLOOKUP($I36,Max_Load_France!$B$2:$M$102,6,FALSE))</f>
        <v>1</v>
      </c>
      <c r="Q36" s="86">
        <f>IF(VLOOKUP($I36,Max_Load_France!$B$2:$M$102,7,FALSE)="","",VLOOKUP($I36,Max_Load_France!$B$2:$M$102,7,FALSE))</f>
        <v>1</v>
      </c>
      <c r="R36" s="86" t="str">
        <f>IF(VLOOKUP($I36,Max_Load_France!$B$2:$M$102,8,FALSE)="","",VLOOKUP($I36,Max_Load_France!$B$2:$M$102,8,FALSE))</f>
        <v/>
      </c>
      <c r="S36" s="86" t="str">
        <f>IF(VLOOKUP($I36,Max_Load_France!$B$2:$M$102,9,FALSE)="","",VLOOKUP($I36,Max_Load_France!$B$2:$M$102,9,FALSE))</f>
        <v/>
      </c>
      <c r="T36" s="86" t="str">
        <f>IF(VLOOKUP($I36,Max_Load_France!$B$2:$M$102,10,FALSE)="","",VLOOKUP($I36,Max_Load_France!$B$2:$M$102,10,FALSE))</f>
        <v/>
      </c>
      <c r="U36" s="86" t="str">
        <f>IF(VLOOKUP($I36,Max_Load_France!$B$2:$M$102,11,FALSE)="","",VLOOKUP($I36,Max_Load_France!$B$2:$M$102,11,FALSE))</f>
        <v/>
      </c>
      <c r="V36" s="86">
        <f>IF(VLOOKUP($I36,Max_Load_France!$B$2:$M$102,12,FALSE)="","",VLOOKUP($I36,Max_Load_France!$B$2:$M$102,12,FALSE))</f>
        <v>5</v>
      </c>
      <c r="W36" s="99">
        <f t="shared" si="2"/>
        <v>42.39</v>
      </c>
      <c r="X36" s="100">
        <v>5.77</v>
      </c>
      <c r="Y36" s="100">
        <v>7.9</v>
      </c>
      <c r="Z36" s="100">
        <v>10.5</v>
      </c>
      <c r="AA36" s="100">
        <v>9.4700000000000006</v>
      </c>
      <c r="AB36" s="100">
        <v>8.75</v>
      </c>
      <c r="AC36" s="102"/>
      <c r="AD36" s="102"/>
      <c r="AE36" s="102"/>
      <c r="AF36" s="102"/>
      <c r="AG36" s="75">
        <f t="shared" si="3"/>
        <v>28.72</v>
      </c>
      <c r="AH36" s="75"/>
      <c r="AI36" s="75"/>
      <c r="AJ36" s="75"/>
      <c r="AK36" s="103">
        <f t="shared" si="7"/>
        <v>41.389143730886843</v>
      </c>
      <c r="AL36" s="100">
        <v>4.469887869520897</v>
      </c>
      <c r="AM36" s="100">
        <v>13.334148827726809</v>
      </c>
      <c r="AN36" s="100">
        <v>7.153088685015291</v>
      </c>
      <c r="AO36" s="100">
        <v>8.2065749235474001</v>
      </c>
      <c r="AP36" s="100">
        <v>8.2254434250764508</v>
      </c>
      <c r="AQ36" s="102"/>
      <c r="AR36" s="102"/>
      <c r="AS36" s="102"/>
      <c r="AT36" s="102"/>
      <c r="AU36" s="75">
        <f t="shared" si="8"/>
        <v>23.58510703363914</v>
      </c>
      <c r="AV36" s="75"/>
      <c r="AW36" s="75"/>
      <c r="AX36" s="75"/>
      <c r="AY36" s="152">
        <f t="shared" si="12"/>
        <v>-2.3610669240697268E-2</v>
      </c>
      <c r="AZ36" s="152">
        <f t="shared" si="13"/>
        <v>-0.22532272625287741</v>
      </c>
      <c r="BA36" s="152">
        <f t="shared" si="14"/>
        <v>0.6878669402185833</v>
      </c>
      <c r="BB36" s="152">
        <f t="shared" si="15"/>
        <v>-0.31875345856997228</v>
      </c>
      <c r="BC36" s="152">
        <f t="shared" si="16"/>
        <v>-0.1334134188439916</v>
      </c>
      <c r="BD36" s="152">
        <f t="shared" si="17"/>
        <v>-5.994932284840563E-2</v>
      </c>
      <c r="BE36" s="152" t="str">
        <f t="shared" si="18"/>
        <v/>
      </c>
      <c r="BF36" s="152" t="str">
        <f t="shared" si="19"/>
        <v/>
      </c>
      <c r="BG36" s="152" t="str">
        <f t="shared" si="20"/>
        <v/>
      </c>
      <c r="BH36" s="152" t="str">
        <f t="shared" si="21"/>
        <v/>
      </c>
      <c r="BI36" s="152">
        <f t="shared" si="22"/>
        <v>-0.17879153782593521</v>
      </c>
      <c r="BJ36" s="152"/>
      <c r="BK36" s="152"/>
      <c r="BL36" s="152"/>
      <c r="BM36" s="76"/>
      <c r="BN36" s="76"/>
    </row>
    <row r="37" spans="1:66" s="89" customFormat="1" ht="12.75">
      <c r="A37" s="73"/>
      <c r="B37" s="74"/>
      <c r="C37" s="91"/>
      <c r="D37" s="87"/>
      <c r="E37" s="96"/>
      <c r="F37" s="87"/>
      <c r="G37" s="87"/>
      <c r="H37" s="86"/>
      <c r="I37" s="74"/>
      <c r="J37" s="74"/>
      <c r="K37" s="64"/>
      <c r="L37" s="98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99"/>
      <c r="X37" s="100"/>
      <c r="Y37" s="100"/>
      <c r="Z37" s="100"/>
      <c r="AA37" s="100"/>
      <c r="AB37" s="100"/>
      <c r="AC37" s="102"/>
      <c r="AD37" s="102"/>
      <c r="AE37" s="102"/>
      <c r="AF37" s="102"/>
      <c r="AG37" s="75"/>
      <c r="AH37" s="75"/>
      <c r="AI37" s="75"/>
      <c r="AJ37" s="75"/>
      <c r="AK37" s="106"/>
      <c r="AL37" s="96"/>
      <c r="AM37" s="96"/>
      <c r="AN37" s="96"/>
      <c r="AO37" s="96"/>
      <c r="AP37" s="96"/>
      <c r="AQ37" s="102"/>
      <c r="AR37" s="102"/>
      <c r="AS37" s="102"/>
      <c r="AT37" s="102"/>
      <c r="AU37" s="75"/>
      <c r="AV37" s="75"/>
      <c r="AW37" s="75"/>
      <c r="AX37" s="75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76"/>
      <c r="BN37" s="76"/>
    </row>
    <row r="38" spans="1:66" ht="12.75">
      <c r="A38" s="73"/>
      <c r="B38" s="74"/>
      <c r="C38" s="91"/>
      <c r="H38" s="86"/>
      <c r="I38" s="74"/>
      <c r="J38" s="74"/>
      <c r="K38" s="64"/>
      <c r="L38" s="98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99"/>
      <c r="X38" s="100"/>
      <c r="Y38" s="100"/>
      <c r="Z38" s="100"/>
      <c r="AA38" s="100"/>
      <c r="AB38" s="100"/>
      <c r="AC38" s="102"/>
      <c r="AD38" s="102"/>
      <c r="AE38" s="102"/>
      <c r="AF38" s="102"/>
      <c r="AG38" s="75"/>
      <c r="AH38" s="75"/>
      <c r="AI38" s="75"/>
      <c r="AJ38" s="75"/>
      <c r="AK38" s="106"/>
      <c r="AQ38" s="102"/>
      <c r="AR38" s="102"/>
      <c r="AS38" s="102"/>
      <c r="AT38" s="102"/>
      <c r="AU38" s="75"/>
      <c r="AV38" s="75"/>
      <c r="AW38" s="75"/>
      <c r="AX38" s="75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76"/>
      <c r="BN38" s="76"/>
    </row>
    <row r="39" spans="1:66" ht="12.75">
      <c r="A39" s="73"/>
      <c r="B39" s="74"/>
      <c r="C39" s="91"/>
      <c r="H39" s="86"/>
      <c r="I39" s="74"/>
      <c r="J39" s="74"/>
      <c r="K39" s="64"/>
      <c r="L39" s="98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99"/>
      <c r="X39" s="100"/>
      <c r="Y39" s="100"/>
      <c r="Z39" s="100"/>
      <c r="AA39" s="100"/>
      <c r="AB39" s="100"/>
      <c r="AC39" s="102"/>
      <c r="AD39" s="102"/>
      <c r="AE39" s="102"/>
      <c r="AF39" s="102"/>
      <c r="AG39" s="75"/>
      <c r="AH39" s="75"/>
      <c r="AI39" s="75"/>
      <c r="AJ39" s="75"/>
      <c r="AK39" s="106"/>
      <c r="AL39" s="100"/>
      <c r="AM39" s="100"/>
      <c r="AN39" s="100"/>
      <c r="AO39" s="100"/>
      <c r="AP39" s="100"/>
      <c r="AQ39" s="102"/>
      <c r="AR39" s="102"/>
      <c r="AS39" s="102"/>
      <c r="AT39" s="102"/>
      <c r="AU39" s="75"/>
      <c r="AV39" s="75"/>
      <c r="AW39" s="75"/>
      <c r="AX39" s="75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76"/>
      <c r="BN39" s="76"/>
    </row>
  </sheetData>
  <dataConsolidate/>
  <mergeCells count="28">
    <mergeCell ref="AY10:BL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  <mergeCell ref="C5:H5"/>
    <mergeCell ref="Z5:AG5"/>
    <mergeCell ref="AQ5:AX5"/>
    <mergeCell ref="C6:H6"/>
    <mergeCell ref="Z6:AG6"/>
    <mergeCell ref="AQ6:AX6"/>
    <mergeCell ref="C3:H3"/>
    <mergeCell ref="Z3:AK3"/>
    <mergeCell ref="AQ3:BB3"/>
    <mergeCell ref="C4:H4"/>
    <mergeCell ref="Z4:AG4"/>
    <mergeCell ref="AQ4:AX4"/>
  </mergeCells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I12:I36</xm:sqref>
        </x14:dataValidation>
        <x14:dataValidation type="list" allowBlank="1" showInputMessage="1" showErrorMessage="1" errorTitle="Donnée non valide" error="Ce type n'existe pas">
          <x14:formula1>
            <xm:f>Max_Load_France!$B$3:$B$100</xm:f>
          </x14:formula1>
          <xm:sqref>I37:I39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FF0000"/>
    <pageSetUpPr fitToPage="1"/>
  </sheetPr>
  <dimension ref="A1:BZ36"/>
  <sheetViews>
    <sheetView topLeftCell="A16" zoomScale="85" zoomScaleNormal="85" workbookViewId="0">
      <selection activeCell="A37" sqref="A37:XFD1048576"/>
    </sheetView>
  </sheetViews>
  <sheetFormatPr baseColWidth="10" defaultColWidth="11.5703125" defaultRowHeight="11.25"/>
  <cols>
    <col min="1" max="1" width="19.28515625" style="87" bestFit="1" customWidth="1"/>
    <col min="2" max="2" width="18.140625" style="87" customWidth="1"/>
    <col min="3" max="4" width="13.85546875" style="87" customWidth="1"/>
    <col min="5" max="5" width="4.140625" style="96" customWidth="1"/>
    <col min="6" max="6" width="3.140625" style="87" customWidth="1"/>
    <col min="7" max="7" width="4" style="87" customWidth="1"/>
    <col min="8" max="8" width="4.85546875" style="87" customWidth="1"/>
    <col min="9" max="9" width="5.28515625" style="87" bestFit="1" customWidth="1"/>
    <col min="10" max="10" width="6.5703125" style="87" customWidth="1"/>
    <col min="11" max="11" width="4.140625" style="87" bestFit="1" customWidth="1"/>
    <col min="12" max="12" width="9.7109375" style="96" customWidth="1"/>
    <col min="13" max="13" width="3.7109375" style="87" customWidth="1"/>
    <col min="14" max="15" width="3.5703125" style="87" customWidth="1"/>
    <col min="16" max="16" width="3.42578125" style="87" customWidth="1"/>
    <col min="17" max="17" width="4.42578125" style="87" customWidth="1"/>
    <col min="18" max="18" width="3.85546875" style="87" customWidth="1"/>
    <col min="19" max="19" width="3.7109375" style="87" hidden="1" customWidth="1"/>
    <col min="20" max="21" width="3.42578125" style="87" hidden="1" customWidth="1"/>
    <col min="22" max="22" width="4.42578125" style="87" customWidth="1"/>
    <col min="23" max="23" width="5.28515625" style="88" customWidth="1"/>
    <col min="24" max="25" width="4" style="96" bestFit="1" customWidth="1"/>
    <col min="26" max="26" width="4.85546875" style="96" bestFit="1" customWidth="1"/>
    <col min="27" max="28" width="4" style="96" bestFit="1" customWidth="1"/>
    <col min="29" max="29" width="5" style="96" customWidth="1"/>
    <col min="30" max="32" width="5" style="96" hidden="1" customWidth="1"/>
    <col min="33" max="33" width="7" style="90" customWidth="1"/>
    <col min="34" max="34" width="6.7109375" style="90" customWidth="1"/>
    <col min="35" max="35" width="7.140625" style="90" customWidth="1"/>
    <col min="36" max="36" width="6.5703125" style="90" customWidth="1"/>
    <col min="37" max="37" width="5.28515625" style="88" bestFit="1" customWidth="1"/>
    <col min="38" max="38" width="4" style="96" bestFit="1" customWidth="1"/>
    <col min="39" max="42" width="4.85546875" style="96" bestFit="1" customWidth="1"/>
    <col min="43" max="46" width="2.7109375" style="96" bestFit="1" customWidth="1"/>
    <col min="47" max="47" width="4.85546875" style="90" bestFit="1" customWidth="1"/>
    <col min="48" max="50" width="3.85546875" style="90" bestFit="1" customWidth="1"/>
    <col min="51" max="56" width="6.85546875" style="88" bestFit="1" customWidth="1"/>
    <col min="57" max="57" width="6.7109375" style="88" customWidth="1"/>
    <col min="58" max="60" width="6.7109375" style="88" hidden="1" customWidth="1"/>
    <col min="61" max="61" width="7.7109375" style="88" customWidth="1"/>
    <col min="62" max="64" width="5.42578125" style="88" customWidth="1"/>
    <col min="65" max="16384" width="11.5703125" style="77"/>
  </cols>
  <sheetData>
    <row r="1" spans="1:7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</row>
    <row r="2" spans="1:78" ht="1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8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</row>
    <row r="3" spans="1:78" ht="27" customHeight="1">
      <c r="A3" s="77"/>
      <c r="B3" s="395" t="s">
        <v>0</v>
      </c>
      <c r="C3" s="406" t="s">
        <v>89</v>
      </c>
      <c r="D3" s="406"/>
      <c r="E3" s="406"/>
      <c r="F3" s="406"/>
      <c r="G3" s="406"/>
      <c r="H3" s="406"/>
      <c r="I3" s="77"/>
      <c r="J3" s="77"/>
      <c r="K3" s="77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Y3" s="77"/>
      <c r="Z3" s="421" t="s">
        <v>202</v>
      </c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3"/>
      <c r="AL3" s="77"/>
      <c r="AM3" s="77"/>
      <c r="AN3" s="77"/>
      <c r="AO3" s="77"/>
      <c r="AP3" s="77"/>
      <c r="AQ3" s="421" t="s">
        <v>196</v>
      </c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3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</row>
    <row r="4" spans="1:78" ht="12.75" customHeight="1">
      <c r="A4" s="77"/>
      <c r="B4" s="395" t="s">
        <v>1</v>
      </c>
      <c r="C4" s="406" t="s">
        <v>200</v>
      </c>
      <c r="D4" s="406"/>
      <c r="E4" s="406"/>
      <c r="F4" s="406"/>
      <c r="G4" s="406"/>
      <c r="H4" s="406"/>
      <c r="I4" s="77"/>
      <c r="J4" s="77"/>
      <c r="K4" s="77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Y4" s="77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L4" s="77"/>
      <c r="AM4" s="77"/>
      <c r="AN4" s="77"/>
      <c r="AO4" s="77"/>
      <c r="AP4" s="77"/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C4" s="77"/>
      <c r="BD4" s="77"/>
      <c r="BE4" s="77"/>
      <c r="BF4" s="77"/>
      <c r="BG4" s="77"/>
      <c r="BH4" s="66"/>
      <c r="BI4" s="77"/>
      <c r="BJ4" s="77"/>
      <c r="BK4" s="77"/>
      <c r="BL4" s="77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</row>
    <row r="5" spans="1:78" ht="12.75" customHeight="1">
      <c r="A5" s="77"/>
      <c r="B5" s="395" t="s">
        <v>7</v>
      </c>
      <c r="C5" s="406" t="s">
        <v>201</v>
      </c>
      <c r="D5" s="406"/>
      <c r="E5" s="406"/>
      <c r="F5" s="406"/>
      <c r="G5" s="406"/>
      <c r="H5" s="406"/>
      <c r="I5" s="77"/>
      <c r="J5" s="77"/>
      <c r="K5" s="77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Y5" s="77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C6</f>
        <v>23</v>
      </c>
      <c r="AI5" s="80">
        <f>COUNTIF($M$12:$U$36,"&gt;=0")</f>
        <v>110</v>
      </c>
      <c r="AJ5" s="80">
        <f>COUNTIF($M$12:$U$36,"&gt;=1")</f>
        <v>66</v>
      </c>
      <c r="AK5" s="80">
        <f>COUNTIF($AG$12:$AJ$36,"&gt;0")</f>
        <v>22</v>
      </c>
      <c r="AL5" s="77"/>
      <c r="AM5" s="77"/>
      <c r="AN5" s="77"/>
      <c r="AO5" s="77"/>
      <c r="AP5" s="77"/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C6</f>
        <v>23</v>
      </c>
      <c r="AZ5" s="80">
        <f>COUNTIF($M$12:$U$36,"&gt;=0")</f>
        <v>110</v>
      </c>
      <c r="BA5" s="80">
        <f>COUNTIF($M$12:$U$36,"&gt;=1")</f>
        <v>66</v>
      </c>
      <c r="BB5" s="80">
        <f>COUNTIF($AG$12:$AJ$36,"&gt;0")</f>
        <v>22</v>
      </c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</row>
    <row r="6" spans="1:78" ht="12.75" customHeight="1">
      <c r="A6" s="77"/>
      <c r="B6" s="395" t="s">
        <v>9</v>
      </c>
      <c r="C6" s="406">
        <f>COUNTA(A12:A33,"&gt;0")</f>
        <v>23</v>
      </c>
      <c r="D6" s="406"/>
      <c r="E6" s="406"/>
      <c r="F6" s="406"/>
      <c r="G6" s="406"/>
      <c r="H6" s="406"/>
      <c r="I6" s="77"/>
      <c r="J6" s="77"/>
      <c r="K6" s="77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Y6" s="77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AVERAGEIF($L$12:$L$36,"&gt;0,9",$AY$12:$AY$36)</f>
        <v>4.9046020084931315E-2</v>
      </c>
      <c r="AI6" s="115" t="e">
        <f>AVERAGE(IF($L$12:$L$36&gt;0.9,IF($M$12:$U$36=0,$AZ$12:$BH$36,"")))</f>
        <v>#VALUE!</v>
      </c>
      <c r="AJ6" s="115" t="e">
        <f t="array" ref="AJ6">AVERAGE(IF($L$12:$L$36&gt;0.9,IF($M$12:$U$25&gt;=1,$AZ$12:$BH$36,"")))</f>
        <v>#N/A</v>
      </c>
      <c r="AK6" s="115">
        <f t="array" ref="AK6">AVERAGE(IF($L$12:$L$36&gt;0.9,IF($AG$12:$AJ$36&gt;0,$BI$12:$BL$36,"")))</f>
        <v>1.0632515931174197E-2</v>
      </c>
      <c r="AL6" s="77"/>
      <c r="AM6" s="77"/>
      <c r="AN6" s="77"/>
      <c r="AO6" s="77"/>
      <c r="AP6" s="77"/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AVERAGE($AY$12:$AY$36)</f>
        <v>4.9046020084931315E-2</v>
      </c>
      <c r="AZ6" s="115">
        <f>AVERAGEIF($M$12:$U$36,"0",$AZ$12:$BH$36)</f>
        <v>8.0988258171195135E-2</v>
      </c>
      <c r="BA6" s="115">
        <f>AVERAGEIF($M$12:$U$36,"&gt;=1",$AZ$12:$BH$36)</f>
        <v>3.7217568903820934E-2</v>
      </c>
      <c r="BB6" s="115">
        <f>AVERAGEIF($AG$12:$AJ$36,"&gt;0",$BI$12:$BL$36)</f>
        <v>3.0930955436143118E-2</v>
      </c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</row>
    <row r="7" spans="1:78" ht="12.75" customHeight="1">
      <c r="A7" s="77"/>
      <c r="B7" s="81"/>
      <c r="C7" s="76"/>
      <c r="D7" s="76"/>
      <c r="E7" s="81"/>
      <c r="F7" s="81"/>
      <c r="G7" s="77"/>
      <c r="H7" s="77"/>
      <c r="I7" s="77"/>
      <c r="J7" s="77"/>
      <c r="K7" s="77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Y7" s="77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STDEV(IF($L$12:$L$36&gt;0.9,$AY$12:$AY$36))</f>
        <v>9.9611289030910308E-2</v>
      </c>
      <c r="AI7" s="115">
        <f t="array" ref="AI7">STDEV(IF($L$12:$L$36&gt;0.9,IF($M$12:$U$36=0,$AZ$12:$BH$36,"")))</f>
        <v>0.16460137305520517</v>
      </c>
      <c r="AJ7" s="115">
        <f t="array" ref="AJ7">STDEV(IF($L$12:$L$36&gt;0.9,IF($M$12:$U$36&gt;=1,$AZ$12:$BH$36,"")))</f>
        <v>0.13892805215194745</v>
      </c>
      <c r="AK7" s="115">
        <f t="array" ref="AK7">STDEV(IF($L$12:$L$36&gt;0.9,IF($AG$12:$AJ$36&gt;0,$BI$12:$BL$36,"")))</f>
        <v>4.6242567476882455E-2</v>
      </c>
      <c r="AL7" s="77"/>
      <c r="AM7" s="77"/>
      <c r="AN7" s="77"/>
      <c r="AO7" s="77"/>
      <c r="AP7" s="77"/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STDEV($AY$12:$AY$36)</f>
        <v>9.9611289030910308E-2</v>
      </c>
      <c r="AZ7" s="115">
        <f t="array" ref="AZ7">STDEV(IF($M$12:$U$25=0,$AZ$12:$BH$25))</f>
        <v>0.16735993065165494</v>
      </c>
      <c r="BA7" s="115">
        <f t="array" ref="BA7">STDEV(IF($M$12:$U$36&gt;=1,$AZ$12:$BH$36))</f>
        <v>0.13892805215194745</v>
      </c>
      <c r="BB7" s="115">
        <f t="array" ref="BB7">STDEV(IF($AG$12:$AJ$25&gt;0,$BI$12:$BL$25))</f>
        <v>4.4768776743872057E-2</v>
      </c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</row>
    <row r="8" spans="1:78" ht="12.75" customHeight="1">
      <c r="A8" s="77"/>
      <c r="B8" s="81"/>
      <c r="C8" s="76"/>
      <c r="D8" s="76"/>
      <c r="E8" s="81"/>
      <c r="F8" s="81"/>
      <c r="G8" s="77"/>
      <c r="H8" s="77"/>
      <c r="I8" s="77"/>
      <c r="J8" s="77"/>
      <c r="K8" s="77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</row>
    <row r="9" spans="1:78" ht="12.75" customHeight="1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</row>
    <row r="10" spans="1:78" ht="12.75" customHeight="1">
      <c r="A10" s="450" t="s">
        <v>181</v>
      </c>
      <c r="B10" s="450" t="s">
        <v>180</v>
      </c>
      <c r="C10" s="450" t="s">
        <v>182</v>
      </c>
      <c r="D10" s="450" t="s">
        <v>183</v>
      </c>
      <c r="E10" s="450" t="s">
        <v>13</v>
      </c>
      <c r="F10" s="450" t="s">
        <v>14</v>
      </c>
      <c r="G10" s="450" t="s">
        <v>15</v>
      </c>
      <c r="H10" s="450" t="s">
        <v>16</v>
      </c>
      <c r="I10" s="449" t="s">
        <v>17</v>
      </c>
      <c r="J10" s="449"/>
      <c r="K10" s="449"/>
      <c r="L10" s="452" t="s">
        <v>95</v>
      </c>
      <c r="M10" s="449" t="s">
        <v>18</v>
      </c>
      <c r="N10" s="449"/>
      <c r="O10" s="449"/>
      <c r="P10" s="449"/>
      <c r="Q10" s="449"/>
      <c r="R10" s="449"/>
      <c r="S10" s="449"/>
      <c r="T10" s="449"/>
      <c r="U10" s="449"/>
      <c r="V10" s="449"/>
      <c r="W10" s="449" t="s">
        <v>31</v>
      </c>
      <c r="X10" s="449"/>
      <c r="Y10" s="449"/>
      <c r="Z10" s="449"/>
      <c r="AA10" s="449"/>
      <c r="AB10" s="449"/>
      <c r="AC10" s="449"/>
      <c r="AD10" s="449"/>
      <c r="AE10" s="449"/>
      <c r="AF10" s="449"/>
      <c r="AG10" s="449"/>
      <c r="AH10" s="449"/>
      <c r="AI10" s="449"/>
      <c r="AJ10" s="449"/>
      <c r="AK10" s="449" t="s">
        <v>30</v>
      </c>
      <c r="AL10" s="449"/>
      <c r="AM10" s="449"/>
      <c r="AN10" s="449"/>
      <c r="AO10" s="449"/>
      <c r="AP10" s="449"/>
      <c r="AQ10" s="449"/>
      <c r="AR10" s="449"/>
      <c r="AS10" s="449"/>
      <c r="AT10" s="449"/>
      <c r="AU10" s="449"/>
      <c r="AV10" s="449"/>
      <c r="AW10" s="449"/>
      <c r="AX10" s="449"/>
      <c r="AY10" s="449" t="s">
        <v>19</v>
      </c>
      <c r="AZ10" s="449"/>
      <c r="BA10" s="449"/>
      <c r="BB10" s="449"/>
      <c r="BC10" s="449"/>
      <c r="BD10" s="449"/>
      <c r="BE10" s="449"/>
      <c r="BF10" s="449"/>
      <c r="BG10" s="449"/>
      <c r="BH10" s="449"/>
      <c r="BI10" s="449"/>
      <c r="BJ10" s="449"/>
      <c r="BK10" s="449"/>
      <c r="BL10" s="449"/>
      <c r="BM10" s="92"/>
      <c r="BN10" s="92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</row>
    <row r="11" spans="1:78" ht="12.75" customHeight="1">
      <c r="A11" s="451"/>
      <c r="B11" s="451"/>
      <c r="C11" s="451"/>
      <c r="D11" s="451"/>
      <c r="E11" s="451"/>
      <c r="F11" s="451"/>
      <c r="G11" s="451"/>
      <c r="H11" s="451"/>
      <c r="I11" s="396" t="s">
        <v>20</v>
      </c>
      <c r="J11" s="396" t="s">
        <v>165</v>
      </c>
      <c r="K11" s="396" t="s">
        <v>21</v>
      </c>
      <c r="L11" s="453"/>
      <c r="M11" s="396" t="s">
        <v>186</v>
      </c>
      <c r="N11" s="396" t="s">
        <v>187</v>
      </c>
      <c r="O11" s="396" t="s">
        <v>188</v>
      </c>
      <c r="P11" s="396" t="s">
        <v>189</v>
      </c>
      <c r="Q11" s="396" t="s">
        <v>190</v>
      </c>
      <c r="R11" s="396" t="s">
        <v>191</v>
      </c>
      <c r="S11" s="396" t="s">
        <v>192</v>
      </c>
      <c r="T11" s="396" t="s">
        <v>193</v>
      </c>
      <c r="U11" s="396" t="s">
        <v>194</v>
      </c>
      <c r="V11" s="396" t="s">
        <v>185</v>
      </c>
      <c r="W11" s="396" t="s">
        <v>3</v>
      </c>
      <c r="X11" s="396" t="s">
        <v>22</v>
      </c>
      <c r="Y11" s="396" t="s">
        <v>23</v>
      </c>
      <c r="Z11" s="396" t="s">
        <v>24</v>
      </c>
      <c r="AA11" s="396" t="s">
        <v>25</v>
      </c>
      <c r="AB11" s="396" t="s">
        <v>26</v>
      </c>
      <c r="AC11" s="396" t="s">
        <v>27</v>
      </c>
      <c r="AD11" s="396" t="s">
        <v>90</v>
      </c>
      <c r="AE11" s="396" t="s">
        <v>91</v>
      </c>
      <c r="AF11" s="396" t="s">
        <v>184</v>
      </c>
      <c r="AG11" s="396" t="s">
        <v>28</v>
      </c>
      <c r="AH11" s="396" t="s">
        <v>29</v>
      </c>
      <c r="AI11" s="396" t="s">
        <v>92</v>
      </c>
      <c r="AJ11" s="396" t="s">
        <v>93</v>
      </c>
      <c r="AK11" s="396" t="s">
        <v>3</v>
      </c>
      <c r="AL11" s="396" t="s">
        <v>22</v>
      </c>
      <c r="AM11" s="396" t="s">
        <v>23</v>
      </c>
      <c r="AN11" s="396" t="s">
        <v>24</v>
      </c>
      <c r="AO11" s="396" t="s">
        <v>25</v>
      </c>
      <c r="AP11" s="396" t="s">
        <v>26</v>
      </c>
      <c r="AQ11" s="396" t="s">
        <v>27</v>
      </c>
      <c r="AR11" s="396" t="s">
        <v>90</v>
      </c>
      <c r="AS11" s="396" t="s">
        <v>91</v>
      </c>
      <c r="AT11" s="396" t="s">
        <v>184</v>
      </c>
      <c r="AU11" s="396" t="s">
        <v>28</v>
      </c>
      <c r="AV11" s="396" t="s">
        <v>29</v>
      </c>
      <c r="AW11" s="396" t="s">
        <v>92</v>
      </c>
      <c r="AX11" s="396" t="s">
        <v>93</v>
      </c>
      <c r="AY11" s="396" t="s">
        <v>3</v>
      </c>
      <c r="AZ11" s="396" t="s">
        <v>22</v>
      </c>
      <c r="BA11" s="396" t="s">
        <v>23</v>
      </c>
      <c r="BB11" s="396" t="s">
        <v>24</v>
      </c>
      <c r="BC11" s="396" t="s">
        <v>25</v>
      </c>
      <c r="BD11" s="396" t="s">
        <v>26</v>
      </c>
      <c r="BE11" s="396" t="s">
        <v>27</v>
      </c>
      <c r="BF11" s="396" t="s">
        <v>90</v>
      </c>
      <c r="BG11" s="396" t="s">
        <v>91</v>
      </c>
      <c r="BH11" s="396" t="s">
        <v>184</v>
      </c>
      <c r="BI11" s="396" t="s">
        <v>28</v>
      </c>
      <c r="BJ11" s="396" t="s">
        <v>29</v>
      </c>
      <c r="BK11" s="396" t="s">
        <v>92</v>
      </c>
      <c r="BL11" s="396" t="s">
        <v>93</v>
      </c>
      <c r="BM11" s="93"/>
      <c r="BN11" s="94"/>
      <c r="BO11" s="94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</row>
    <row r="12" spans="1:78" s="89" customFormat="1">
      <c r="A12" s="163" t="s">
        <v>285</v>
      </c>
      <c r="B12" s="164"/>
      <c r="C12" s="165"/>
      <c r="D12" s="155"/>
      <c r="E12" s="156"/>
      <c r="F12" s="155"/>
      <c r="G12" s="155"/>
      <c r="H12" s="166"/>
      <c r="I12" s="164" t="s">
        <v>94</v>
      </c>
      <c r="J12" s="167">
        <f>IF(ISERROR(VLOOKUP(I12,Max_Load_France!$B$2:$C$102,2,FALSE)/1000),"",VLOOKUP(I12,Max_Load_France!$B$2:$C$102,2,FALSE)/1000)</f>
        <v>40</v>
      </c>
      <c r="K12" s="157"/>
      <c r="L12" s="158">
        <f t="shared" ref="L12:L33" si="0">W12/J12</f>
        <v>1.05975</v>
      </c>
      <c r="M12" s="160">
        <f>IF(VLOOKUP($I12,Max_Load_France!$B$2:$M$102,3,FALSE)="","",VLOOKUP($I12,Max_Load_France!$B$2:$M$102,3,FALSE))</f>
        <v>0</v>
      </c>
      <c r="N12" s="160">
        <f>IF(VLOOKUP($I12,Max_Load_France!$B$2:$M$102,4,FALSE)="","",VLOOKUP($I12,Max_Load_France!$B$2:$M$102,4,FALSE))</f>
        <v>0</v>
      </c>
      <c r="O12" s="160">
        <f>IF(VLOOKUP($I12,Max_Load_France!$B$2:$M$102,5,FALSE)="","",VLOOKUP($I12,Max_Load_France!$B$2:$M$102,5,FALSE))</f>
        <v>1</v>
      </c>
      <c r="P12" s="160">
        <f>IF(VLOOKUP($I12,Max_Load_France!$B$2:$M$102,6,FALSE)="","",VLOOKUP($I12,Max_Load_France!$B$2:$M$102,6,FALSE))</f>
        <v>1</v>
      </c>
      <c r="Q12" s="160">
        <f>IF(VLOOKUP($I12,Max_Load_France!$B$2:$M$102,7,FALSE)="","",VLOOKUP($I12,Max_Load_France!$B$2:$M$102,7,FALSE))</f>
        <v>1</v>
      </c>
      <c r="R12" s="160" t="str">
        <f>IF(VLOOKUP($I12,Max_Load_France!$B$2:$M$102,8,FALSE)="","",VLOOKUP($I12,Max_Load_France!$B$2:$M$102,8,FALSE))</f>
        <v/>
      </c>
      <c r="S12" s="160" t="str">
        <f>IF(VLOOKUP($I12,Max_Load_France!$B$2:$M$102,9,FALSE)="","",VLOOKUP($I12,Max_Load_France!$B$2:$M$102,9,FALSE))</f>
        <v/>
      </c>
      <c r="T12" s="160" t="str">
        <f>IF(VLOOKUP($I12,Max_Load_France!$B$2:$M$102,10,FALSE)="","",VLOOKUP($I12,Max_Load_France!$B$2:$M$102,10,FALSE))</f>
        <v/>
      </c>
      <c r="U12" s="160" t="str">
        <f>IF(VLOOKUP($I12,Max_Load_France!$B$2:$M$102,11,FALSE)="","",VLOOKUP($I12,Max_Load_France!$B$2:$M$102,11,FALSE))</f>
        <v/>
      </c>
      <c r="V12" s="160">
        <f>IF(VLOOKUP($I12,Max_Load_France!$B$2:$M$102,12,FALSE)="","",VLOOKUP($I12,Max_Load_France!$B$2:$M$102,12,FALSE))</f>
        <v>5</v>
      </c>
      <c r="W12" s="172">
        <f>SUM($X12:$AF12)</f>
        <v>42.39</v>
      </c>
      <c r="X12" s="173">
        <v>5.77</v>
      </c>
      <c r="Y12" s="173">
        <v>7.9</v>
      </c>
      <c r="Z12" s="173">
        <v>10.5</v>
      </c>
      <c r="AA12" s="173">
        <v>9.4700000000000006</v>
      </c>
      <c r="AB12" s="173">
        <v>8.75</v>
      </c>
      <c r="AC12" s="174"/>
      <c r="AD12" s="175"/>
      <c r="AE12" s="175"/>
      <c r="AF12" s="175"/>
      <c r="AG12" s="176">
        <f>IF(SUMIF($M12:$U12,"=1",$X12:$AF12)=0,"",SUMIF($M12:$U12,"=1",$X12:$AF12))</f>
        <v>28.72</v>
      </c>
      <c r="AH12" s="176" t="str">
        <f>IF(SUMIF($M12:$U12,"=2",$X12:$AF12)=0,"",SUMIF($M12:$U12,"=2",$X12:$AF12))</f>
        <v/>
      </c>
      <c r="AI12" s="176" t="str">
        <f>IF(SUMIF($M12:$U12,"=3",$X12:$AF12)=0,"",SUMIF($M12:$U12,"=3",$X12:$AF12))</f>
        <v/>
      </c>
      <c r="AJ12" s="176" t="str">
        <f>IF(SUMIF($M12:$U12,"=4",$X12:$AF12)=0,"",SUMIF($M12:$U12,"=4",$X12:$AF12))</f>
        <v/>
      </c>
      <c r="AK12" s="177">
        <f>SUM(AL12:AP12)</f>
        <v>46.161987767584101</v>
      </c>
      <c r="AL12" s="173">
        <v>6.6146381243628944</v>
      </c>
      <c r="AM12" s="173">
        <v>9.4182059123343524</v>
      </c>
      <c r="AN12" s="173">
        <v>9.775667686034657</v>
      </c>
      <c r="AO12" s="173">
        <v>10.77716615698267</v>
      </c>
      <c r="AP12" s="173">
        <v>9.5763098878695203</v>
      </c>
      <c r="AQ12" s="174"/>
      <c r="AR12" s="175"/>
      <c r="AS12" s="175"/>
      <c r="AT12" s="175"/>
      <c r="AU12" s="176">
        <f>IF(SUMIF($M12:$U12,"=1",$AL12:$AT12)=0,"",SUMIF($M12:$U12,"=1",$AL12:$AT12))</f>
        <v>30.129143730886845</v>
      </c>
      <c r="AV12" s="176" t="str">
        <f>IF(SUMIF($M12:$U12,"=2",$AL12:$AT12)=0,"",SUMIF($M12:$U12,"=2",$AL12:$AT12))</f>
        <v/>
      </c>
      <c r="AW12" s="176" t="str">
        <f>IF(SUMIF($M12:$U12,"=3",$AL12:$AT12)=0,"",SUMIF($M12:$U12,"=3",$AL12:$AT12))</f>
        <v/>
      </c>
      <c r="AX12" s="176" t="str">
        <f>IF(SUMIF($M12:$U12,"=4",$AL12:$AT12)=0,"",SUMIF($M12:$U12,"=4",$AL12:$AT12))</f>
        <v/>
      </c>
      <c r="AY12" s="170">
        <f t="shared" ref="AY12:BI26" si="1">IF(W12&gt;0,(AK12-W12)/W12,"")</f>
        <v>8.8982962198256674E-2</v>
      </c>
      <c r="AZ12" s="170">
        <f t="shared" si="1"/>
        <v>0.14638442363308404</v>
      </c>
      <c r="BA12" s="170">
        <f t="shared" si="1"/>
        <v>0.19217796358662684</v>
      </c>
      <c r="BB12" s="170">
        <f t="shared" si="1"/>
        <v>-6.8984029901461241E-2</v>
      </c>
      <c r="BC12" s="170">
        <f t="shared" si="1"/>
        <v>0.13803232914283728</v>
      </c>
      <c r="BD12" s="170">
        <f t="shared" si="1"/>
        <v>9.4435415756516608E-2</v>
      </c>
      <c r="BE12" s="168" t="str">
        <f t="shared" si="1"/>
        <v/>
      </c>
      <c r="BF12" s="168" t="str">
        <f t="shared" si="1"/>
        <v/>
      </c>
      <c r="BG12" s="168" t="str">
        <f t="shared" si="1"/>
        <v/>
      </c>
      <c r="BH12" s="168" t="str">
        <f t="shared" si="1"/>
        <v/>
      </c>
      <c r="BI12" s="170">
        <f t="shared" si="1"/>
        <v>4.9064893136728641E-2</v>
      </c>
      <c r="BJ12" s="168"/>
      <c r="BK12" s="168"/>
      <c r="BL12" s="168"/>
      <c r="BM12" s="76"/>
      <c r="BN12" s="94"/>
      <c r="BO12" s="94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</row>
    <row r="13" spans="1:78" s="89" customFormat="1">
      <c r="A13" s="163" t="s">
        <v>286</v>
      </c>
      <c r="B13" s="164"/>
      <c r="C13" s="165"/>
      <c r="D13" s="155"/>
      <c r="E13" s="156"/>
      <c r="F13" s="155"/>
      <c r="G13" s="155"/>
      <c r="H13" s="166"/>
      <c r="I13" s="164" t="s">
        <v>94</v>
      </c>
      <c r="J13" s="167">
        <f>IF(ISERROR(VLOOKUP(I13,Max_Load_France!$B$2:$C$102,2,FALSE)/1000),"",VLOOKUP(I13,Max_Load_France!$B$2:$C$102,2,FALSE)/1000)</f>
        <v>40</v>
      </c>
      <c r="K13" s="157"/>
      <c r="L13" s="158">
        <f t="shared" si="0"/>
        <v>1.05975</v>
      </c>
      <c r="M13" s="160">
        <f>IF(VLOOKUP($I13,Max_Load_France!$B$2:$M$102,3,FALSE)="","",VLOOKUP($I13,Max_Load_France!$B$2:$M$102,3,FALSE))</f>
        <v>0</v>
      </c>
      <c r="N13" s="160">
        <f>IF(VLOOKUP($I13,Max_Load_France!$B$2:$M$102,4,FALSE)="","",VLOOKUP($I13,Max_Load_France!$B$2:$M$102,4,FALSE))</f>
        <v>0</v>
      </c>
      <c r="O13" s="160">
        <f>IF(VLOOKUP($I13,Max_Load_France!$B$2:$M$102,5,FALSE)="","",VLOOKUP($I13,Max_Load_France!$B$2:$M$102,5,FALSE))</f>
        <v>1</v>
      </c>
      <c r="P13" s="160">
        <f>IF(VLOOKUP($I13,Max_Load_France!$B$2:$M$102,6,FALSE)="","",VLOOKUP($I13,Max_Load_France!$B$2:$M$102,6,FALSE))</f>
        <v>1</v>
      </c>
      <c r="Q13" s="160">
        <f>IF(VLOOKUP($I13,Max_Load_France!$B$2:$M$102,7,FALSE)="","",VLOOKUP($I13,Max_Load_France!$B$2:$M$102,7,FALSE))</f>
        <v>1</v>
      </c>
      <c r="R13" s="160" t="str">
        <f>IF(VLOOKUP($I13,Max_Load_France!$B$2:$M$102,8,FALSE)="","",VLOOKUP($I13,Max_Load_France!$B$2:$M$102,8,FALSE))</f>
        <v/>
      </c>
      <c r="S13" s="160" t="str">
        <f>IF(VLOOKUP($I13,Max_Load_France!$B$2:$M$102,9,FALSE)="","",VLOOKUP($I13,Max_Load_France!$B$2:$M$102,9,FALSE))</f>
        <v/>
      </c>
      <c r="T13" s="160" t="str">
        <f>IF(VLOOKUP($I13,Max_Load_France!$B$2:$M$102,10,FALSE)="","",VLOOKUP($I13,Max_Load_France!$B$2:$M$102,10,FALSE))</f>
        <v/>
      </c>
      <c r="U13" s="160" t="str">
        <f>IF(VLOOKUP($I13,Max_Load_France!$B$2:$M$102,11,FALSE)="","",VLOOKUP($I13,Max_Load_France!$B$2:$M$102,11,FALSE))</f>
        <v/>
      </c>
      <c r="V13" s="160">
        <f>IF(VLOOKUP($I13,Max_Load_France!$B$2:$M$102,12,FALSE)="","",VLOOKUP($I13,Max_Load_France!$B$2:$M$102,12,FALSE))</f>
        <v>5</v>
      </c>
      <c r="W13" s="172">
        <f t="shared" ref="W13:W33" si="2">SUM($X13:$AF13)</f>
        <v>42.39</v>
      </c>
      <c r="X13" s="173">
        <v>5.77</v>
      </c>
      <c r="Y13" s="173">
        <v>7.9</v>
      </c>
      <c r="Z13" s="173">
        <v>10.5</v>
      </c>
      <c r="AA13" s="173">
        <v>9.4700000000000006</v>
      </c>
      <c r="AB13" s="173">
        <v>8.75</v>
      </c>
      <c r="AC13" s="174"/>
      <c r="AD13" s="175"/>
      <c r="AE13" s="175"/>
      <c r="AF13" s="175"/>
      <c r="AG13" s="176">
        <f t="shared" ref="AG13:AG33" si="3">IF(SUMIF($M13:$U13,"=1",$X13:$AF13)=0,"",SUMIF($M13:$U13,"=1",$X13:$AF13))</f>
        <v>28.72</v>
      </c>
      <c r="AH13" s="176" t="str">
        <f t="shared" ref="AH13:AH25" si="4">IF(SUMIF($M13:$U13,"=2",$X13:$AF13)=0,"",SUMIF($M13:$U13,"=2",$X13:$AF13))</f>
        <v/>
      </c>
      <c r="AI13" s="176" t="str">
        <f t="shared" ref="AI13:AI25" si="5">IF(SUMIF($M13:$U13,"=3",$X13:$AF13)=0,"",SUMIF($M13:$U13,"=3",$X13:$AF13))</f>
        <v/>
      </c>
      <c r="AJ13" s="176" t="str">
        <f t="shared" ref="AJ13:AJ25" si="6">IF(SUMIF($M13:$U13,"=4",$X13:$AF13)=0,"",SUMIF($M13:$U13,"=4",$X13:$AF13))</f>
        <v/>
      </c>
      <c r="AK13" s="177">
        <f t="shared" ref="AK13:AK33" si="7">SUM(AL13:AP13)</f>
        <v>49.342609582059119</v>
      </c>
      <c r="AL13" s="173">
        <v>7.1707543323139653</v>
      </c>
      <c r="AM13" s="173">
        <v>10.170733944954128</v>
      </c>
      <c r="AN13" s="173">
        <v>10.433333333333334</v>
      </c>
      <c r="AO13" s="173">
        <v>10.726299694189601</v>
      </c>
      <c r="AP13" s="173">
        <v>10.841488277268093</v>
      </c>
      <c r="AQ13" s="174"/>
      <c r="AR13" s="175"/>
      <c r="AS13" s="175"/>
      <c r="AT13" s="175"/>
      <c r="AU13" s="176">
        <f t="shared" ref="AU13:AU33" si="8">IF(SUMIF($M13:$U13,"=1",$AL13:$AT13)=0,"",SUMIF($M13:$U13,"=1",$AL13:$AT13))</f>
        <v>32.001121304791027</v>
      </c>
      <c r="AV13" s="176" t="str">
        <f t="shared" ref="AV13:AV25" si="9">IF(SUMIF($M13:$U13,"=2",$AL13:$AT13)=0,"",SUMIF($M13:$U13,"=2",$AL13:$AT13))</f>
        <v/>
      </c>
      <c r="AW13" s="176" t="str">
        <f t="shared" ref="AW13:AW25" si="10">IF(SUMIF($M13:$U13,"=3",$AL13:$AT13)=0,"",SUMIF($M13:$U13,"=3",$AL13:$AT13))</f>
        <v/>
      </c>
      <c r="AX13" s="176" t="str">
        <f t="shared" ref="AX13:AX25" si="11">IF(SUMIF($M13:$U13,"=4",$AL13:$AT13)=0,"",SUMIF($M13:$U13,"=4",$AL13:$AT13))</f>
        <v/>
      </c>
      <c r="AY13" s="170">
        <f t="shared" si="1"/>
        <v>0.1640153239457211</v>
      </c>
      <c r="AZ13" s="170">
        <f t="shared" si="1"/>
        <v>0.24276504892789702</v>
      </c>
      <c r="BA13" s="170">
        <f t="shared" si="1"/>
        <v>0.28743467657647181</v>
      </c>
      <c r="BB13" s="170">
        <f t="shared" si="1"/>
        <v>-6.3492063492063266E-3</v>
      </c>
      <c r="BC13" s="170">
        <f t="shared" si="1"/>
        <v>0.13266100255434005</v>
      </c>
      <c r="BD13" s="170">
        <f t="shared" si="1"/>
        <v>0.23902723168778206</v>
      </c>
      <c r="BE13" s="168" t="str">
        <f t="shared" si="1"/>
        <v/>
      </c>
      <c r="BF13" s="168" t="str">
        <f t="shared" si="1"/>
        <v/>
      </c>
      <c r="BG13" s="168" t="str">
        <f t="shared" si="1"/>
        <v/>
      </c>
      <c r="BH13" s="168" t="str">
        <f t="shared" si="1"/>
        <v/>
      </c>
      <c r="BI13" s="170">
        <f t="shared" si="1"/>
        <v>0.11424517077963192</v>
      </c>
      <c r="BJ13" s="168"/>
      <c r="BK13" s="168"/>
      <c r="BL13" s="168"/>
      <c r="BM13" s="76"/>
      <c r="BN13" s="94"/>
      <c r="BO13" s="94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</row>
    <row r="14" spans="1:78" s="89" customFormat="1">
      <c r="A14" s="163" t="s">
        <v>287</v>
      </c>
      <c r="B14" s="164"/>
      <c r="C14" s="165"/>
      <c r="D14" s="155"/>
      <c r="E14" s="156"/>
      <c r="F14" s="155"/>
      <c r="G14" s="155"/>
      <c r="H14" s="166"/>
      <c r="I14" s="164" t="s">
        <v>94</v>
      </c>
      <c r="J14" s="167">
        <f>IF(ISERROR(VLOOKUP(I14,Max_Load_France!$B$2:$C$102,2,FALSE)/1000),"",VLOOKUP(I14,Max_Load_France!$B$2:$C$102,2,FALSE)/1000)</f>
        <v>40</v>
      </c>
      <c r="K14" s="157"/>
      <c r="L14" s="158">
        <f t="shared" si="0"/>
        <v>1.05975</v>
      </c>
      <c r="M14" s="160">
        <f>IF(VLOOKUP($I14,Max_Load_France!$B$2:$M$102,3,FALSE)="","",VLOOKUP($I14,Max_Load_France!$B$2:$M$102,3,FALSE))</f>
        <v>0</v>
      </c>
      <c r="N14" s="160">
        <f>IF(VLOOKUP($I14,Max_Load_France!$B$2:$M$102,4,FALSE)="","",VLOOKUP($I14,Max_Load_France!$B$2:$M$102,4,FALSE))</f>
        <v>0</v>
      </c>
      <c r="O14" s="160">
        <f>IF(VLOOKUP($I14,Max_Load_France!$B$2:$M$102,5,FALSE)="","",VLOOKUP($I14,Max_Load_France!$B$2:$M$102,5,FALSE))</f>
        <v>1</v>
      </c>
      <c r="P14" s="160">
        <f>IF(VLOOKUP($I14,Max_Load_France!$B$2:$M$102,6,FALSE)="","",VLOOKUP($I14,Max_Load_France!$B$2:$M$102,6,FALSE))</f>
        <v>1</v>
      </c>
      <c r="Q14" s="160">
        <f>IF(VLOOKUP($I14,Max_Load_France!$B$2:$M$102,7,FALSE)="","",VLOOKUP($I14,Max_Load_France!$B$2:$M$102,7,FALSE))</f>
        <v>1</v>
      </c>
      <c r="R14" s="160" t="str">
        <f>IF(VLOOKUP($I14,Max_Load_France!$B$2:$M$102,8,FALSE)="","",VLOOKUP($I14,Max_Load_France!$B$2:$M$102,8,FALSE))</f>
        <v/>
      </c>
      <c r="S14" s="160" t="str">
        <f>IF(VLOOKUP($I14,Max_Load_France!$B$2:$M$102,9,FALSE)="","",VLOOKUP($I14,Max_Load_France!$B$2:$M$102,9,FALSE))</f>
        <v/>
      </c>
      <c r="T14" s="160" t="str">
        <f>IF(VLOOKUP($I14,Max_Load_France!$B$2:$M$102,10,FALSE)="","",VLOOKUP($I14,Max_Load_France!$B$2:$M$102,10,FALSE))</f>
        <v/>
      </c>
      <c r="U14" s="160" t="str">
        <f>IF(VLOOKUP($I14,Max_Load_France!$B$2:$M$102,11,FALSE)="","",VLOOKUP($I14,Max_Load_France!$B$2:$M$102,11,FALSE))</f>
        <v/>
      </c>
      <c r="V14" s="160">
        <f>IF(VLOOKUP($I14,Max_Load_France!$B$2:$M$102,12,FALSE)="","",VLOOKUP($I14,Max_Load_France!$B$2:$M$102,12,FALSE))</f>
        <v>5</v>
      </c>
      <c r="W14" s="172">
        <f t="shared" si="2"/>
        <v>42.39</v>
      </c>
      <c r="X14" s="173">
        <v>5.77</v>
      </c>
      <c r="Y14" s="173">
        <v>7.9</v>
      </c>
      <c r="Z14" s="173">
        <v>10.5</v>
      </c>
      <c r="AA14" s="173">
        <v>9.4700000000000006</v>
      </c>
      <c r="AB14" s="173">
        <v>8.75</v>
      </c>
      <c r="AC14" s="174"/>
      <c r="AD14" s="175"/>
      <c r="AE14" s="175"/>
      <c r="AF14" s="175"/>
      <c r="AG14" s="176">
        <f t="shared" si="3"/>
        <v>28.72</v>
      </c>
      <c r="AH14" s="176" t="str">
        <f t="shared" si="4"/>
        <v/>
      </c>
      <c r="AI14" s="176" t="str">
        <f t="shared" si="5"/>
        <v/>
      </c>
      <c r="AJ14" s="176" t="str">
        <f t="shared" si="6"/>
        <v/>
      </c>
      <c r="AK14" s="177">
        <f t="shared" si="7"/>
        <v>44.063557594291538</v>
      </c>
      <c r="AL14" s="173">
        <v>5.5885524974515803</v>
      </c>
      <c r="AM14" s="173">
        <v>8.6054740061162089</v>
      </c>
      <c r="AN14" s="173">
        <v>9.6563302752293581</v>
      </c>
      <c r="AO14" s="173">
        <v>10.449949031600406</v>
      </c>
      <c r="AP14" s="173">
        <v>9.7632517838939847</v>
      </c>
      <c r="AQ14" s="174"/>
      <c r="AR14" s="175"/>
      <c r="AS14" s="175"/>
      <c r="AT14" s="175"/>
      <c r="AU14" s="176">
        <f t="shared" si="8"/>
        <v>29.869531090723747</v>
      </c>
      <c r="AV14" s="176" t="str">
        <f t="shared" si="9"/>
        <v/>
      </c>
      <c r="AW14" s="176" t="str">
        <f t="shared" si="10"/>
        <v/>
      </c>
      <c r="AX14" s="176" t="str">
        <f t="shared" si="11"/>
        <v/>
      </c>
      <c r="AY14" s="170">
        <f t="shared" si="1"/>
        <v>3.948000930152247E-2</v>
      </c>
      <c r="AZ14" s="170">
        <f t="shared" si="1"/>
        <v>-3.1446707547386349E-2</v>
      </c>
      <c r="BA14" s="170">
        <f t="shared" si="1"/>
        <v>8.9300507103317536E-2</v>
      </c>
      <c r="BB14" s="170">
        <f t="shared" si="1"/>
        <v>-8.0349497597204E-2</v>
      </c>
      <c r="BC14" s="170">
        <f t="shared" si="1"/>
        <v>0.10347930639919803</v>
      </c>
      <c r="BD14" s="170">
        <f t="shared" si="1"/>
        <v>0.11580020387359825</v>
      </c>
      <c r="BE14" s="168" t="str">
        <f t="shared" si="1"/>
        <v/>
      </c>
      <c r="BF14" s="168" t="str">
        <f t="shared" si="1"/>
        <v/>
      </c>
      <c r="BG14" s="168" t="str">
        <f t="shared" si="1"/>
        <v/>
      </c>
      <c r="BH14" s="168" t="str">
        <f t="shared" si="1"/>
        <v/>
      </c>
      <c r="BI14" s="170">
        <f t="shared" si="1"/>
        <v>4.0025455805144439E-2</v>
      </c>
      <c r="BJ14" s="168"/>
      <c r="BK14" s="168"/>
      <c r="BL14" s="168"/>
      <c r="BM14" s="76"/>
      <c r="BN14" s="94"/>
      <c r="BO14" s="94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</row>
    <row r="15" spans="1:78" s="89" customFormat="1">
      <c r="A15" s="163" t="s">
        <v>289</v>
      </c>
      <c r="B15" s="164"/>
      <c r="C15" s="165"/>
      <c r="D15" s="155"/>
      <c r="E15" s="156"/>
      <c r="F15" s="155"/>
      <c r="G15" s="155"/>
      <c r="H15" s="166"/>
      <c r="I15" s="164" t="s">
        <v>94</v>
      </c>
      <c r="J15" s="167">
        <f>IF(ISERROR(VLOOKUP(I15,Max_Load_France!$B$2:$C$102,2,FALSE)/1000),"",VLOOKUP(I15,Max_Load_France!$B$2:$C$102,2,FALSE)/1000)</f>
        <v>40</v>
      </c>
      <c r="K15" s="157"/>
      <c r="L15" s="158">
        <f t="shared" si="0"/>
        <v>1.05975</v>
      </c>
      <c r="M15" s="160">
        <f>IF(VLOOKUP($I15,Max_Load_France!$B$2:$M$102,3,FALSE)="","",VLOOKUP($I15,Max_Load_France!$B$2:$M$102,3,FALSE))</f>
        <v>0</v>
      </c>
      <c r="N15" s="160">
        <f>IF(VLOOKUP($I15,Max_Load_France!$B$2:$M$102,4,FALSE)="","",VLOOKUP($I15,Max_Load_France!$B$2:$M$102,4,FALSE))</f>
        <v>0</v>
      </c>
      <c r="O15" s="160">
        <f>IF(VLOOKUP($I15,Max_Load_France!$B$2:$M$102,5,FALSE)="","",VLOOKUP($I15,Max_Load_France!$B$2:$M$102,5,FALSE))</f>
        <v>1</v>
      </c>
      <c r="P15" s="160">
        <f>IF(VLOOKUP($I15,Max_Load_France!$B$2:$M$102,6,FALSE)="","",VLOOKUP($I15,Max_Load_France!$B$2:$M$102,6,FALSE))</f>
        <v>1</v>
      </c>
      <c r="Q15" s="160">
        <f>IF(VLOOKUP($I15,Max_Load_France!$B$2:$M$102,7,FALSE)="","",VLOOKUP($I15,Max_Load_France!$B$2:$M$102,7,FALSE))</f>
        <v>1</v>
      </c>
      <c r="R15" s="160" t="str">
        <f>IF(VLOOKUP($I15,Max_Load_France!$B$2:$M$102,8,FALSE)="","",VLOOKUP($I15,Max_Load_France!$B$2:$M$102,8,FALSE))</f>
        <v/>
      </c>
      <c r="S15" s="160" t="str">
        <f>IF(VLOOKUP($I15,Max_Load_France!$B$2:$M$102,9,FALSE)="","",VLOOKUP($I15,Max_Load_France!$B$2:$M$102,9,FALSE))</f>
        <v/>
      </c>
      <c r="T15" s="160" t="str">
        <f>IF(VLOOKUP($I15,Max_Load_France!$B$2:$M$102,10,FALSE)="","",VLOOKUP($I15,Max_Load_France!$B$2:$M$102,10,FALSE))</f>
        <v/>
      </c>
      <c r="U15" s="160" t="str">
        <f>IF(VLOOKUP($I15,Max_Load_France!$B$2:$M$102,11,FALSE)="","",VLOOKUP($I15,Max_Load_France!$B$2:$M$102,11,FALSE))</f>
        <v/>
      </c>
      <c r="V15" s="160">
        <f>IF(VLOOKUP($I15,Max_Load_France!$B$2:$M$102,12,FALSE)="","",VLOOKUP($I15,Max_Load_France!$B$2:$M$102,12,FALSE))</f>
        <v>5</v>
      </c>
      <c r="W15" s="172">
        <f t="shared" si="2"/>
        <v>42.39</v>
      </c>
      <c r="X15" s="173">
        <v>5.77</v>
      </c>
      <c r="Y15" s="173">
        <v>7.9</v>
      </c>
      <c r="Z15" s="173">
        <v>10.5</v>
      </c>
      <c r="AA15" s="173">
        <v>9.4700000000000006</v>
      </c>
      <c r="AB15" s="173">
        <v>8.75</v>
      </c>
      <c r="AC15" s="174"/>
      <c r="AD15" s="175"/>
      <c r="AE15" s="175"/>
      <c r="AF15" s="175"/>
      <c r="AG15" s="176">
        <f t="shared" si="3"/>
        <v>28.72</v>
      </c>
      <c r="AH15" s="176" t="str">
        <f t="shared" si="4"/>
        <v/>
      </c>
      <c r="AI15" s="176" t="str">
        <f t="shared" si="5"/>
        <v/>
      </c>
      <c r="AJ15" s="176" t="str">
        <f t="shared" si="6"/>
        <v/>
      </c>
      <c r="AK15" s="177">
        <f t="shared" si="7"/>
        <v>47.769887869520886</v>
      </c>
      <c r="AL15" s="173">
        <v>6.6576860346585107</v>
      </c>
      <c r="AM15" s="173">
        <v>9.8284709480122316</v>
      </c>
      <c r="AN15" s="173">
        <v>9.9492762487257895</v>
      </c>
      <c r="AO15" s="173">
        <v>10.813761467889908</v>
      </c>
      <c r="AP15" s="173">
        <v>10.520693170234454</v>
      </c>
      <c r="AQ15" s="174"/>
      <c r="AR15" s="175"/>
      <c r="AS15" s="175"/>
      <c r="AT15" s="175"/>
      <c r="AU15" s="176">
        <f t="shared" si="8"/>
        <v>31.283730886850151</v>
      </c>
      <c r="AV15" s="176" t="str">
        <f t="shared" si="9"/>
        <v/>
      </c>
      <c r="AW15" s="176" t="str">
        <f t="shared" si="10"/>
        <v/>
      </c>
      <c r="AX15" s="176" t="str">
        <f t="shared" si="11"/>
        <v/>
      </c>
      <c r="AY15" s="170">
        <f t="shared" si="1"/>
        <v>0.12691408043219829</v>
      </c>
      <c r="AZ15" s="170">
        <f t="shared" si="1"/>
        <v>0.15384506666525324</v>
      </c>
      <c r="BA15" s="170">
        <f t="shared" si="1"/>
        <v>0.24411024658382674</v>
      </c>
      <c r="BB15" s="170">
        <f t="shared" si="1"/>
        <v>-5.2449881073734328E-2</v>
      </c>
      <c r="BC15" s="170">
        <f t="shared" si="1"/>
        <v>0.14189667031572406</v>
      </c>
      <c r="BD15" s="170">
        <f t="shared" si="1"/>
        <v>0.20236493374108042</v>
      </c>
      <c r="BE15" s="168" t="str">
        <f t="shared" si="1"/>
        <v/>
      </c>
      <c r="BF15" s="168" t="str">
        <f t="shared" si="1"/>
        <v/>
      </c>
      <c r="BG15" s="168" t="str">
        <f t="shared" si="1"/>
        <v/>
      </c>
      <c r="BH15" s="168" t="str">
        <f t="shared" si="1"/>
        <v/>
      </c>
      <c r="BI15" s="170">
        <f t="shared" si="1"/>
        <v>8.926639578169053E-2</v>
      </c>
      <c r="BJ15" s="168"/>
      <c r="BK15" s="168"/>
      <c r="BL15" s="168"/>
      <c r="BM15" s="76"/>
      <c r="BN15" s="94"/>
      <c r="BO15" s="94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</row>
    <row r="16" spans="1:78" s="89" customFormat="1">
      <c r="A16" s="163" t="s">
        <v>290</v>
      </c>
      <c r="B16" s="164"/>
      <c r="C16" s="165"/>
      <c r="D16" s="155"/>
      <c r="E16" s="156"/>
      <c r="F16" s="155"/>
      <c r="G16" s="155"/>
      <c r="H16" s="166"/>
      <c r="I16" s="164" t="s">
        <v>94</v>
      </c>
      <c r="J16" s="167">
        <f>IF(ISERROR(VLOOKUP(I16,Max_Load_France!$B$2:$C$102,2,FALSE)/1000),"",VLOOKUP(I16,Max_Load_France!$B$2:$C$102,2,FALSE)/1000)</f>
        <v>40</v>
      </c>
      <c r="K16" s="157"/>
      <c r="L16" s="158">
        <f t="shared" si="0"/>
        <v>1.05975</v>
      </c>
      <c r="M16" s="160">
        <f>IF(VLOOKUP($I16,Max_Load_France!$B$2:$M$102,3,FALSE)="","",VLOOKUP($I16,Max_Load_France!$B$2:$M$102,3,FALSE))</f>
        <v>0</v>
      </c>
      <c r="N16" s="160">
        <f>IF(VLOOKUP($I16,Max_Load_France!$B$2:$M$102,4,FALSE)="","",VLOOKUP($I16,Max_Load_France!$B$2:$M$102,4,FALSE))</f>
        <v>0</v>
      </c>
      <c r="O16" s="160">
        <f>IF(VLOOKUP($I16,Max_Load_France!$B$2:$M$102,5,FALSE)="","",VLOOKUP($I16,Max_Load_France!$B$2:$M$102,5,FALSE))</f>
        <v>1</v>
      </c>
      <c r="P16" s="160">
        <f>IF(VLOOKUP($I16,Max_Load_France!$B$2:$M$102,6,FALSE)="","",VLOOKUP($I16,Max_Load_France!$B$2:$M$102,6,FALSE))</f>
        <v>1</v>
      </c>
      <c r="Q16" s="160">
        <f>IF(VLOOKUP($I16,Max_Load_France!$B$2:$M$102,7,FALSE)="","",VLOOKUP($I16,Max_Load_France!$B$2:$M$102,7,FALSE))</f>
        <v>1</v>
      </c>
      <c r="R16" s="160" t="str">
        <f>IF(VLOOKUP($I16,Max_Load_France!$B$2:$M$102,8,FALSE)="","",VLOOKUP($I16,Max_Load_France!$B$2:$M$102,8,FALSE))</f>
        <v/>
      </c>
      <c r="S16" s="160" t="str">
        <f>IF(VLOOKUP($I16,Max_Load_France!$B$2:$M$102,9,FALSE)="","",VLOOKUP($I16,Max_Load_France!$B$2:$M$102,9,FALSE))</f>
        <v/>
      </c>
      <c r="T16" s="160" t="str">
        <f>IF(VLOOKUP($I16,Max_Load_France!$B$2:$M$102,10,FALSE)="","",VLOOKUP($I16,Max_Load_France!$B$2:$M$102,10,FALSE))</f>
        <v/>
      </c>
      <c r="U16" s="160" t="str">
        <f>IF(VLOOKUP($I16,Max_Load_France!$B$2:$M$102,11,FALSE)="","",VLOOKUP($I16,Max_Load_France!$B$2:$M$102,11,FALSE))</f>
        <v/>
      </c>
      <c r="V16" s="160">
        <f>IF(VLOOKUP($I16,Max_Load_France!$B$2:$M$102,12,FALSE)="","",VLOOKUP($I16,Max_Load_France!$B$2:$M$102,12,FALSE))</f>
        <v>5</v>
      </c>
      <c r="W16" s="172">
        <f t="shared" si="2"/>
        <v>42.39</v>
      </c>
      <c r="X16" s="173">
        <v>5.77</v>
      </c>
      <c r="Y16" s="173">
        <v>7.9</v>
      </c>
      <c r="Z16" s="173">
        <v>10.5</v>
      </c>
      <c r="AA16" s="173">
        <v>9.4700000000000006</v>
      </c>
      <c r="AB16" s="173">
        <v>8.75</v>
      </c>
      <c r="AC16" s="174"/>
      <c r="AD16" s="175"/>
      <c r="AE16" s="175"/>
      <c r="AF16" s="175"/>
      <c r="AG16" s="176">
        <f t="shared" si="3"/>
        <v>28.72</v>
      </c>
      <c r="AH16" s="176" t="str">
        <f t="shared" si="4"/>
        <v/>
      </c>
      <c r="AI16" s="176" t="str">
        <f t="shared" si="5"/>
        <v/>
      </c>
      <c r="AJ16" s="176" t="str">
        <f t="shared" si="6"/>
        <v/>
      </c>
      <c r="AK16" s="177">
        <f t="shared" si="7"/>
        <v>50.046177370030577</v>
      </c>
      <c r="AL16" s="173">
        <v>6.6767787971457695</v>
      </c>
      <c r="AM16" s="173">
        <v>10.095494393476045</v>
      </c>
      <c r="AN16" s="173">
        <v>10.920183486238532</v>
      </c>
      <c r="AO16" s="173">
        <v>11.478185524974515</v>
      </c>
      <c r="AP16" s="173">
        <v>10.875535168195718</v>
      </c>
      <c r="AQ16" s="174"/>
      <c r="AR16" s="175"/>
      <c r="AS16" s="175"/>
      <c r="AT16" s="175"/>
      <c r="AU16" s="176">
        <f t="shared" si="8"/>
        <v>33.273904179408767</v>
      </c>
      <c r="AV16" s="176" t="str">
        <f t="shared" si="9"/>
        <v/>
      </c>
      <c r="AW16" s="176" t="str">
        <f t="shared" si="10"/>
        <v/>
      </c>
      <c r="AX16" s="176" t="str">
        <f t="shared" si="11"/>
        <v/>
      </c>
      <c r="AY16" s="170">
        <f t="shared" si="1"/>
        <v>0.18061281835410653</v>
      </c>
      <c r="AZ16" s="170">
        <f t="shared" si="1"/>
        <v>0.15715403763358232</v>
      </c>
      <c r="BA16" s="170">
        <f t="shared" si="1"/>
        <v>0.27791068271848668</v>
      </c>
      <c r="BB16" s="170">
        <f t="shared" si="1"/>
        <v>4.0017474879860175E-2</v>
      </c>
      <c r="BC16" s="170">
        <f t="shared" si="1"/>
        <v>0.21205760559392972</v>
      </c>
      <c r="BD16" s="170">
        <f t="shared" si="1"/>
        <v>0.24291830493665348</v>
      </c>
      <c r="BE16" s="168" t="str">
        <f t="shared" si="1"/>
        <v/>
      </c>
      <c r="BF16" s="168" t="str">
        <f t="shared" si="1"/>
        <v/>
      </c>
      <c r="BG16" s="168" t="str">
        <f t="shared" si="1"/>
        <v/>
      </c>
      <c r="BH16" s="168" t="str">
        <f t="shared" si="1"/>
        <v/>
      </c>
      <c r="BI16" s="170">
        <f t="shared" si="1"/>
        <v>0.15856212323846686</v>
      </c>
      <c r="BJ16" s="168"/>
      <c r="BK16" s="168"/>
      <c r="BL16" s="168"/>
      <c r="BM16" s="76"/>
      <c r="BN16" s="94"/>
      <c r="BO16" s="94"/>
      <c r="BP16" s="76"/>
      <c r="BQ16" s="76"/>
      <c r="BR16" s="76"/>
      <c r="BS16" s="70"/>
      <c r="BT16" s="76"/>
      <c r="BU16" s="76"/>
      <c r="BV16" s="76"/>
      <c r="BW16" s="76"/>
      <c r="BX16" s="76"/>
      <c r="BY16" s="76"/>
      <c r="BZ16" s="76"/>
    </row>
    <row r="17" spans="1:78" s="89" customFormat="1">
      <c r="A17" s="163" t="s">
        <v>291</v>
      </c>
      <c r="B17" s="164"/>
      <c r="C17" s="165"/>
      <c r="D17" s="159"/>
      <c r="E17" s="156"/>
      <c r="F17" s="155"/>
      <c r="G17" s="155"/>
      <c r="H17" s="166"/>
      <c r="I17" s="164" t="s">
        <v>94</v>
      </c>
      <c r="J17" s="167">
        <f>IF(ISERROR(VLOOKUP(I17,Max_Load_France!$B$2:$C$102,2,FALSE)/1000),"",VLOOKUP(I17,Max_Load_France!$B$2:$C$102,2,FALSE)/1000)</f>
        <v>40</v>
      </c>
      <c r="K17" s="157"/>
      <c r="L17" s="158">
        <f t="shared" si="0"/>
        <v>1.05975</v>
      </c>
      <c r="M17" s="160">
        <f>IF(VLOOKUP($I17,Max_Load_France!$B$2:$M$102,3,FALSE)="","",VLOOKUP($I17,Max_Load_France!$B$2:$M$102,3,FALSE))</f>
        <v>0</v>
      </c>
      <c r="N17" s="160">
        <f>IF(VLOOKUP($I17,Max_Load_France!$B$2:$M$102,4,FALSE)="","",VLOOKUP($I17,Max_Load_France!$B$2:$M$102,4,FALSE))</f>
        <v>0</v>
      </c>
      <c r="O17" s="160">
        <f>IF(VLOOKUP($I17,Max_Load_France!$B$2:$M$102,5,FALSE)="","",VLOOKUP($I17,Max_Load_France!$B$2:$M$102,5,FALSE))</f>
        <v>1</v>
      </c>
      <c r="P17" s="160">
        <f>IF(VLOOKUP($I17,Max_Load_France!$B$2:$M$102,6,FALSE)="","",VLOOKUP($I17,Max_Load_France!$B$2:$M$102,6,FALSE))</f>
        <v>1</v>
      </c>
      <c r="Q17" s="160">
        <f>IF(VLOOKUP($I17,Max_Load_France!$B$2:$M$102,7,FALSE)="","",VLOOKUP($I17,Max_Load_France!$B$2:$M$102,7,FALSE))</f>
        <v>1</v>
      </c>
      <c r="R17" s="160" t="str">
        <f>IF(VLOOKUP($I17,Max_Load_France!$B$2:$M$102,8,FALSE)="","",VLOOKUP($I17,Max_Load_France!$B$2:$M$102,8,FALSE))</f>
        <v/>
      </c>
      <c r="S17" s="160" t="str">
        <f>IF(VLOOKUP($I17,Max_Load_France!$B$2:$M$102,9,FALSE)="","",VLOOKUP($I17,Max_Load_France!$B$2:$M$102,9,FALSE))</f>
        <v/>
      </c>
      <c r="T17" s="160" t="str">
        <f>IF(VLOOKUP($I17,Max_Load_France!$B$2:$M$102,10,FALSE)="","",VLOOKUP($I17,Max_Load_France!$B$2:$M$102,10,FALSE))</f>
        <v/>
      </c>
      <c r="U17" s="160" t="str">
        <f>IF(VLOOKUP($I17,Max_Load_France!$B$2:$M$102,11,FALSE)="","",VLOOKUP($I17,Max_Load_France!$B$2:$M$102,11,FALSE))</f>
        <v/>
      </c>
      <c r="V17" s="160">
        <f>IF(VLOOKUP($I17,Max_Load_France!$B$2:$M$102,12,FALSE)="","",VLOOKUP($I17,Max_Load_France!$B$2:$M$102,12,FALSE))</f>
        <v>5</v>
      </c>
      <c r="W17" s="172">
        <f t="shared" si="2"/>
        <v>42.39</v>
      </c>
      <c r="X17" s="173">
        <v>5.77</v>
      </c>
      <c r="Y17" s="173">
        <v>7.9</v>
      </c>
      <c r="Z17" s="173">
        <v>10.5</v>
      </c>
      <c r="AA17" s="173">
        <v>9.4700000000000006</v>
      </c>
      <c r="AB17" s="173">
        <v>8.75</v>
      </c>
      <c r="AC17" s="174"/>
      <c r="AD17" s="175"/>
      <c r="AE17" s="175"/>
      <c r="AF17" s="175"/>
      <c r="AG17" s="176">
        <f t="shared" si="3"/>
        <v>28.72</v>
      </c>
      <c r="AH17" s="176" t="str">
        <f t="shared" si="4"/>
        <v/>
      </c>
      <c r="AI17" s="176" t="str">
        <f t="shared" si="5"/>
        <v/>
      </c>
      <c r="AJ17" s="176" t="str">
        <f t="shared" si="6"/>
        <v/>
      </c>
      <c r="AK17" s="177">
        <f t="shared" si="7"/>
        <v>48.570193679918454</v>
      </c>
      <c r="AL17" s="173">
        <v>6.7110091743119256</v>
      </c>
      <c r="AM17" s="173">
        <v>9.8398165137614679</v>
      </c>
      <c r="AN17" s="173">
        <v>10.450050968399593</v>
      </c>
      <c r="AO17" s="173">
        <v>10.773700305810397</v>
      </c>
      <c r="AP17" s="173">
        <v>10.795616717635065</v>
      </c>
      <c r="AQ17" s="174"/>
      <c r="AR17" s="175"/>
      <c r="AS17" s="175"/>
      <c r="AT17" s="175"/>
      <c r="AU17" s="176">
        <f t="shared" si="8"/>
        <v>32.019367991845051</v>
      </c>
      <c r="AV17" s="176" t="str">
        <f t="shared" si="9"/>
        <v/>
      </c>
      <c r="AW17" s="176" t="str">
        <f t="shared" si="10"/>
        <v/>
      </c>
      <c r="AX17" s="176" t="str">
        <f t="shared" si="11"/>
        <v/>
      </c>
      <c r="AY17" s="170">
        <f t="shared" si="1"/>
        <v>0.14579367020331335</v>
      </c>
      <c r="AZ17" s="170">
        <f t="shared" si="1"/>
        <v>0.16308651201246552</v>
      </c>
      <c r="BA17" s="170">
        <f t="shared" si="1"/>
        <v>0.2455463941470212</v>
      </c>
      <c r="BB17" s="170">
        <f t="shared" si="1"/>
        <v>-4.7570506286102304E-3</v>
      </c>
      <c r="BC17" s="170">
        <f t="shared" si="1"/>
        <v>0.13766634697047483</v>
      </c>
      <c r="BD17" s="170">
        <f t="shared" si="1"/>
        <v>0.2337847677297217</v>
      </c>
      <c r="BE17" s="168" t="str">
        <f t="shared" si="1"/>
        <v/>
      </c>
      <c r="BF17" s="168" t="str">
        <f t="shared" si="1"/>
        <v/>
      </c>
      <c r="BG17" s="168" t="str">
        <f t="shared" si="1"/>
        <v/>
      </c>
      <c r="BH17" s="168" t="str">
        <f t="shared" si="1"/>
        <v/>
      </c>
      <c r="BI17" s="170">
        <f t="shared" si="1"/>
        <v>0.11488050110881103</v>
      </c>
      <c r="BJ17" s="168"/>
      <c r="BK17" s="168"/>
      <c r="BL17" s="168"/>
      <c r="BM17" s="76"/>
      <c r="BN17" s="94"/>
      <c r="BO17" s="94"/>
      <c r="BP17" s="76"/>
      <c r="BQ17" s="76"/>
      <c r="BR17" s="76"/>
      <c r="BS17" s="70"/>
      <c r="BT17" s="76"/>
      <c r="BU17" s="76"/>
      <c r="BV17" s="76"/>
      <c r="BW17" s="76"/>
      <c r="BX17" s="76"/>
      <c r="BY17" s="76"/>
      <c r="BZ17" s="76"/>
    </row>
    <row r="18" spans="1:78" s="89" customFormat="1">
      <c r="A18" s="163" t="s">
        <v>292</v>
      </c>
      <c r="B18" s="164"/>
      <c r="C18" s="165"/>
      <c r="D18" s="159"/>
      <c r="E18" s="156"/>
      <c r="F18" s="155"/>
      <c r="G18" s="155"/>
      <c r="H18" s="166"/>
      <c r="I18" s="164" t="s">
        <v>94</v>
      </c>
      <c r="J18" s="167">
        <f>IF(ISERROR(VLOOKUP(I18,Max_Load_France!$B$2:$C$102,2,FALSE)/1000),"",VLOOKUP(I18,Max_Load_France!$B$2:$C$102,2,FALSE)/1000)</f>
        <v>40</v>
      </c>
      <c r="K18" s="157"/>
      <c r="L18" s="158">
        <f t="shared" si="0"/>
        <v>1.05975</v>
      </c>
      <c r="M18" s="160">
        <f>IF(VLOOKUP($I18,Max_Load_France!$B$2:$M$102,3,FALSE)="","",VLOOKUP($I18,Max_Load_France!$B$2:$M$102,3,FALSE))</f>
        <v>0</v>
      </c>
      <c r="N18" s="160">
        <f>IF(VLOOKUP($I18,Max_Load_France!$B$2:$M$102,4,FALSE)="","",VLOOKUP($I18,Max_Load_France!$B$2:$M$102,4,FALSE))</f>
        <v>0</v>
      </c>
      <c r="O18" s="160">
        <f>IF(VLOOKUP($I18,Max_Load_France!$B$2:$M$102,5,FALSE)="","",VLOOKUP($I18,Max_Load_France!$B$2:$M$102,5,FALSE))</f>
        <v>1</v>
      </c>
      <c r="P18" s="160">
        <f>IF(VLOOKUP($I18,Max_Load_France!$B$2:$M$102,6,FALSE)="","",VLOOKUP($I18,Max_Load_France!$B$2:$M$102,6,FALSE))</f>
        <v>1</v>
      </c>
      <c r="Q18" s="160">
        <f>IF(VLOOKUP($I18,Max_Load_France!$B$2:$M$102,7,FALSE)="","",VLOOKUP($I18,Max_Load_France!$B$2:$M$102,7,FALSE))</f>
        <v>1</v>
      </c>
      <c r="R18" s="160" t="str">
        <f>IF(VLOOKUP($I18,Max_Load_France!$B$2:$M$102,8,FALSE)="","",VLOOKUP($I18,Max_Load_France!$B$2:$M$102,8,FALSE))</f>
        <v/>
      </c>
      <c r="S18" s="160" t="str">
        <f>IF(VLOOKUP($I18,Max_Load_France!$B$2:$M$102,9,FALSE)="","",VLOOKUP($I18,Max_Load_France!$B$2:$M$102,9,FALSE))</f>
        <v/>
      </c>
      <c r="T18" s="160" t="str">
        <f>IF(VLOOKUP($I18,Max_Load_France!$B$2:$M$102,10,FALSE)="","",VLOOKUP($I18,Max_Load_France!$B$2:$M$102,10,FALSE))</f>
        <v/>
      </c>
      <c r="U18" s="160" t="str">
        <f>IF(VLOOKUP($I18,Max_Load_France!$B$2:$M$102,11,FALSE)="","",VLOOKUP($I18,Max_Load_France!$B$2:$M$102,11,FALSE))</f>
        <v/>
      </c>
      <c r="V18" s="160">
        <f>IF(VLOOKUP($I18,Max_Load_France!$B$2:$M$102,12,FALSE)="","",VLOOKUP($I18,Max_Load_France!$B$2:$M$102,12,FALSE))</f>
        <v>5</v>
      </c>
      <c r="W18" s="172">
        <f t="shared" si="2"/>
        <v>42.39</v>
      </c>
      <c r="X18" s="173">
        <v>5.77</v>
      </c>
      <c r="Y18" s="173">
        <v>7.9</v>
      </c>
      <c r="Z18" s="173">
        <v>10.5</v>
      </c>
      <c r="AA18" s="173">
        <v>9.4700000000000006</v>
      </c>
      <c r="AB18" s="173">
        <v>8.75</v>
      </c>
      <c r="AC18" s="174"/>
      <c r="AD18" s="175"/>
      <c r="AE18" s="175"/>
      <c r="AF18" s="175"/>
      <c r="AG18" s="176">
        <f t="shared" si="3"/>
        <v>28.72</v>
      </c>
      <c r="AH18" s="176" t="str">
        <f t="shared" si="4"/>
        <v/>
      </c>
      <c r="AI18" s="176" t="str">
        <f t="shared" si="5"/>
        <v/>
      </c>
      <c r="AJ18" s="176" t="str">
        <f t="shared" si="6"/>
        <v/>
      </c>
      <c r="AK18" s="177">
        <f t="shared" si="7"/>
        <v>44.060540265035677</v>
      </c>
      <c r="AL18" s="173">
        <v>6.1366666666666658</v>
      </c>
      <c r="AM18" s="173">
        <v>8.7974617737003058</v>
      </c>
      <c r="AN18" s="173">
        <v>9.5127115188583069</v>
      </c>
      <c r="AO18" s="173">
        <v>10.17683995922528</v>
      </c>
      <c r="AP18" s="173">
        <v>9.4368603465851155</v>
      </c>
      <c r="AQ18" s="174"/>
      <c r="AR18" s="175"/>
      <c r="AS18" s="175"/>
      <c r="AT18" s="175"/>
      <c r="AU18" s="176">
        <f t="shared" si="8"/>
        <v>29.1264118246687</v>
      </c>
      <c r="AV18" s="176" t="str">
        <f t="shared" si="9"/>
        <v/>
      </c>
      <c r="AW18" s="176" t="str">
        <f t="shared" si="10"/>
        <v/>
      </c>
      <c r="AX18" s="176" t="str">
        <f t="shared" si="11"/>
        <v/>
      </c>
      <c r="AY18" s="170">
        <f t="shared" si="1"/>
        <v>3.9408829087890444E-2</v>
      </c>
      <c r="AZ18" s="170">
        <f t="shared" si="1"/>
        <v>6.3547082611207326E-2</v>
      </c>
      <c r="BA18" s="170">
        <f t="shared" si="1"/>
        <v>0.11360275616459561</v>
      </c>
      <c r="BB18" s="170">
        <f t="shared" si="1"/>
        <v>-9.4027474394446961E-2</v>
      </c>
      <c r="BC18" s="170">
        <f t="shared" si="1"/>
        <v>7.4639911217030536E-2</v>
      </c>
      <c r="BD18" s="170">
        <f t="shared" si="1"/>
        <v>7.8498325324013199E-2</v>
      </c>
      <c r="BE18" s="168" t="str">
        <f t="shared" si="1"/>
        <v/>
      </c>
      <c r="BF18" s="168" t="str">
        <f t="shared" si="1"/>
        <v/>
      </c>
      <c r="BG18" s="168" t="str">
        <f t="shared" si="1"/>
        <v/>
      </c>
      <c r="BH18" s="168" t="str">
        <f t="shared" si="1"/>
        <v/>
      </c>
      <c r="BI18" s="170">
        <f t="shared" si="1"/>
        <v>1.4150829549745879E-2</v>
      </c>
      <c r="BJ18" s="168"/>
      <c r="BK18" s="168"/>
      <c r="BL18" s="168"/>
      <c r="BM18" s="76"/>
      <c r="BN18" s="94"/>
      <c r="BO18" s="94"/>
      <c r="BP18" s="76"/>
      <c r="BQ18" s="76"/>
      <c r="BR18" s="76"/>
      <c r="BS18" s="76"/>
      <c r="BT18" s="76"/>
      <c r="BU18" s="76"/>
      <c r="BV18" s="76"/>
      <c r="BW18" s="76"/>
      <c r="BX18" s="76"/>
      <c r="BY18" s="76"/>
      <c r="BZ18" s="76"/>
    </row>
    <row r="19" spans="1:78" s="89" customFormat="1">
      <c r="A19" s="163" t="s">
        <v>293</v>
      </c>
      <c r="B19" s="164"/>
      <c r="C19" s="165"/>
      <c r="D19" s="155"/>
      <c r="E19" s="156"/>
      <c r="F19" s="155"/>
      <c r="G19" s="155"/>
      <c r="H19" s="166"/>
      <c r="I19" s="164" t="s">
        <v>94</v>
      </c>
      <c r="J19" s="167">
        <f>IF(ISERROR(VLOOKUP(I19,Max_Load_France!$B$2:$C$102,2,FALSE)/1000),"",VLOOKUP(I19,Max_Load_France!$B$2:$C$102,2,FALSE)/1000)</f>
        <v>40</v>
      </c>
      <c r="K19" s="157"/>
      <c r="L19" s="158">
        <f t="shared" si="0"/>
        <v>1.05975</v>
      </c>
      <c r="M19" s="160">
        <f>IF(VLOOKUP($I19,Max_Load_France!$B$2:$M$102,3,FALSE)="","",VLOOKUP($I19,Max_Load_France!$B$2:$M$102,3,FALSE))</f>
        <v>0</v>
      </c>
      <c r="N19" s="160">
        <f>IF(VLOOKUP($I19,Max_Load_France!$B$2:$M$102,4,FALSE)="","",VLOOKUP($I19,Max_Load_France!$B$2:$M$102,4,FALSE))</f>
        <v>0</v>
      </c>
      <c r="O19" s="160">
        <f>IF(VLOOKUP($I19,Max_Load_France!$B$2:$M$102,5,FALSE)="","",VLOOKUP($I19,Max_Load_France!$B$2:$M$102,5,FALSE))</f>
        <v>1</v>
      </c>
      <c r="P19" s="160">
        <f>IF(VLOOKUP($I19,Max_Load_France!$B$2:$M$102,6,FALSE)="","",VLOOKUP($I19,Max_Load_France!$B$2:$M$102,6,FALSE))</f>
        <v>1</v>
      </c>
      <c r="Q19" s="160">
        <f>IF(VLOOKUP($I19,Max_Load_France!$B$2:$M$102,7,FALSE)="","",VLOOKUP($I19,Max_Load_France!$B$2:$M$102,7,FALSE))</f>
        <v>1</v>
      </c>
      <c r="R19" s="160" t="str">
        <f>IF(VLOOKUP($I19,Max_Load_France!$B$2:$M$102,8,FALSE)="","",VLOOKUP($I19,Max_Load_France!$B$2:$M$102,8,FALSE))</f>
        <v/>
      </c>
      <c r="S19" s="160" t="str">
        <f>IF(VLOOKUP($I19,Max_Load_France!$B$2:$M$102,9,FALSE)="","",VLOOKUP($I19,Max_Load_France!$B$2:$M$102,9,FALSE))</f>
        <v/>
      </c>
      <c r="T19" s="160" t="str">
        <f>IF(VLOOKUP($I19,Max_Load_France!$B$2:$M$102,10,FALSE)="","",VLOOKUP($I19,Max_Load_France!$B$2:$M$102,10,FALSE))</f>
        <v/>
      </c>
      <c r="U19" s="160" t="str">
        <f>IF(VLOOKUP($I19,Max_Load_France!$B$2:$M$102,11,FALSE)="","",VLOOKUP($I19,Max_Load_France!$B$2:$M$102,11,FALSE))</f>
        <v/>
      </c>
      <c r="V19" s="160">
        <f>IF(VLOOKUP($I19,Max_Load_France!$B$2:$M$102,12,FALSE)="","",VLOOKUP($I19,Max_Load_France!$B$2:$M$102,12,FALSE))</f>
        <v>5</v>
      </c>
      <c r="W19" s="172">
        <f t="shared" si="2"/>
        <v>42.39</v>
      </c>
      <c r="X19" s="173">
        <v>5.77</v>
      </c>
      <c r="Y19" s="173">
        <v>7.9</v>
      </c>
      <c r="Z19" s="173">
        <v>10.5</v>
      </c>
      <c r="AA19" s="173">
        <v>9.4700000000000006</v>
      </c>
      <c r="AB19" s="173">
        <v>8.75</v>
      </c>
      <c r="AC19" s="174"/>
      <c r="AD19" s="175"/>
      <c r="AE19" s="175"/>
      <c r="AF19" s="175"/>
      <c r="AG19" s="176">
        <f t="shared" si="3"/>
        <v>28.72</v>
      </c>
      <c r="AH19" s="176" t="str">
        <f t="shared" si="4"/>
        <v/>
      </c>
      <c r="AI19" s="176" t="str">
        <f t="shared" si="5"/>
        <v/>
      </c>
      <c r="AJ19" s="176" t="str">
        <f t="shared" si="6"/>
        <v/>
      </c>
      <c r="AK19" s="177">
        <f t="shared" si="7"/>
        <v>41.825871559633022</v>
      </c>
      <c r="AL19" s="173">
        <v>5.1803873598369012</v>
      </c>
      <c r="AM19" s="173">
        <v>8.1305300713557589</v>
      </c>
      <c r="AN19" s="173">
        <v>8.7923649337410801</v>
      </c>
      <c r="AO19" s="173">
        <v>10.804791029561672</v>
      </c>
      <c r="AP19" s="173">
        <v>8.9177981651376133</v>
      </c>
      <c r="AQ19" s="174"/>
      <c r="AR19" s="175"/>
      <c r="AS19" s="175"/>
      <c r="AT19" s="175"/>
      <c r="AU19" s="176">
        <f t="shared" si="8"/>
        <v>28.514954128440365</v>
      </c>
      <c r="AV19" s="176" t="str">
        <f t="shared" si="9"/>
        <v/>
      </c>
      <c r="AW19" s="176" t="str">
        <f t="shared" si="10"/>
        <v/>
      </c>
      <c r="AX19" s="176" t="str">
        <f t="shared" si="11"/>
        <v/>
      </c>
      <c r="AY19" s="170">
        <f t="shared" si="1"/>
        <v>-1.3308054738546323E-2</v>
      </c>
      <c r="AZ19" s="170">
        <f t="shared" si="1"/>
        <v>-0.10218589950833594</v>
      </c>
      <c r="BA19" s="170">
        <f t="shared" si="1"/>
        <v>2.9181021690602344E-2</v>
      </c>
      <c r="BB19" s="170">
        <f t="shared" si="1"/>
        <v>-0.16263191107227809</v>
      </c>
      <c r="BC19" s="170">
        <f t="shared" si="1"/>
        <v>0.14094942234019761</v>
      </c>
      <c r="BD19" s="170">
        <f t="shared" si="1"/>
        <v>1.9176933158584372E-2</v>
      </c>
      <c r="BE19" s="168" t="str">
        <f t="shared" si="1"/>
        <v/>
      </c>
      <c r="BF19" s="168" t="str">
        <f t="shared" si="1"/>
        <v/>
      </c>
      <c r="BG19" s="168" t="str">
        <f t="shared" si="1"/>
        <v/>
      </c>
      <c r="BH19" s="168" t="str">
        <f t="shared" si="1"/>
        <v/>
      </c>
      <c r="BI19" s="170">
        <f t="shared" si="1"/>
        <v>-7.1394802075081306E-3</v>
      </c>
      <c r="BJ19" s="168"/>
      <c r="BK19" s="168"/>
      <c r="BL19" s="168"/>
      <c r="BM19" s="76"/>
      <c r="BN19" s="94"/>
      <c r="BO19" s="94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</row>
    <row r="20" spans="1:78" s="89" customFormat="1">
      <c r="A20" s="163" t="s">
        <v>294</v>
      </c>
      <c r="B20" s="164"/>
      <c r="C20" s="165"/>
      <c r="D20" s="155"/>
      <c r="E20" s="156"/>
      <c r="F20" s="155"/>
      <c r="G20" s="155"/>
      <c r="H20" s="166"/>
      <c r="I20" s="164" t="s">
        <v>94</v>
      </c>
      <c r="J20" s="167">
        <f>IF(ISERROR(VLOOKUP(I20,Max_Load_France!$B$2:$C$102,2,FALSE)/1000),"",VLOOKUP(I20,Max_Load_France!$B$2:$C$102,2,FALSE)/1000)</f>
        <v>40</v>
      </c>
      <c r="K20" s="157"/>
      <c r="L20" s="158">
        <f t="shared" si="0"/>
        <v>1.05975</v>
      </c>
      <c r="M20" s="160">
        <f>IF(VLOOKUP($I20,Max_Load_France!$B$2:$M$102,3,FALSE)="","",VLOOKUP($I20,Max_Load_France!$B$2:$M$102,3,FALSE))</f>
        <v>0</v>
      </c>
      <c r="N20" s="160">
        <f>IF(VLOOKUP($I20,Max_Load_France!$B$2:$M$102,4,FALSE)="","",VLOOKUP($I20,Max_Load_France!$B$2:$M$102,4,FALSE))</f>
        <v>0</v>
      </c>
      <c r="O20" s="160">
        <f>IF(VLOOKUP($I20,Max_Load_France!$B$2:$M$102,5,FALSE)="","",VLOOKUP($I20,Max_Load_France!$B$2:$M$102,5,FALSE))</f>
        <v>1</v>
      </c>
      <c r="P20" s="160">
        <f>IF(VLOOKUP($I20,Max_Load_France!$B$2:$M$102,6,FALSE)="","",VLOOKUP($I20,Max_Load_France!$B$2:$M$102,6,FALSE))</f>
        <v>1</v>
      </c>
      <c r="Q20" s="160">
        <f>IF(VLOOKUP($I20,Max_Load_France!$B$2:$M$102,7,FALSE)="","",VLOOKUP($I20,Max_Load_France!$B$2:$M$102,7,FALSE))</f>
        <v>1</v>
      </c>
      <c r="R20" s="160" t="str">
        <f>IF(VLOOKUP($I20,Max_Load_France!$B$2:$M$102,8,FALSE)="","",VLOOKUP($I20,Max_Load_France!$B$2:$M$102,8,FALSE))</f>
        <v/>
      </c>
      <c r="S20" s="160" t="str">
        <f>IF(VLOOKUP($I20,Max_Load_France!$B$2:$M$102,9,FALSE)="","",VLOOKUP($I20,Max_Load_France!$B$2:$M$102,9,FALSE))</f>
        <v/>
      </c>
      <c r="T20" s="160" t="str">
        <f>IF(VLOOKUP($I20,Max_Load_France!$B$2:$M$102,10,FALSE)="","",VLOOKUP($I20,Max_Load_France!$B$2:$M$102,10,FALSE))</f>
        <v/>
      </c>
      <c r="U20" s="160" t="str">
        <f>IF(VLOOKUP($I20,Max_Load_France!$B$2:$M$102,11,FALSE)="","",VLOOKUP($I20,Max_Load_France!$B$2:$M$102,11,FALSE))</f>
        <v/>
      </c>
      <c r="V20" s="160">
        <f>IF(VLOOKUP($I20,Max_Load_France!$B$2:$M$102,12,FALSE)="","",VLOOKUP($I20,Max_Load_France!$B$2:$M$102,12,FALSE))</f>
        <v>5</v>
      </c>
      <c r="W20" s="172">
        <f t="shared" si="2"/>
        <v>42.39</v>
      </c>
      <c r="X20" s="173">
        <v>5.77</v>
      </c>
      <c r="Y20" s="173">
        <v>7.9</v>
      </c>
      <c r="Z20" s="173">
        <v>10.5</v>
      </c>
      <c r="AA20" s="173">
        <v>9.4700000000000006</v>
      </c>
      <c r="AB20" s="173">
        <v>8.75</v>
      </c>
      <c r="AC20" s="174"/>
      <c r="AD20" s="175"/>
      <c r="AE20" s="175"/>
      <c r="AF20" s="175"/>
      <c r="AG20" s="176">
        <f t="shared" si="3"/>
        <v>28.72</v>
      </c>
      <c r="AH20" s="176" t="str">
        <f t="shared" si="4"/>
        <v/>
      </c>
      <c r="AI20" s="176" t="str">
        <f t="shared" si="5"/>
        <v/>
      </c>
      <c r="AJ20" s="176" t="str">
        <f t="shared" si="6"/>
        <v/>
      </c>
      <c r="AK20" s="177">
        <f t="shared" si="7"/>
        <v>49.825056065239551</v>
      </c>
      <c r="AL20" s="173">
        <v>7.124831804281345</v>
      </c>
      <c r="AM20" s="173">
        <v>10.53078491335372</v>
      </c>
      <c r="AN20" s="173">
        <v>11.065749235474007</v>
      </c>
      <c r="AO20" s="173">
        <v>10.058328236493374</v>
      </c>
      <c r="AP20" s="173">
        <v>11.045361875637106</v>
      </c>
      <c r="AQ20" s="174"/>
      <c r="AR20" s="175"/>
      <c r="AS20" s="175"/>
      <c r="AT20" s="175"/>
      <c r="AU20" s="176">
        <f t="shared" si="8"/>
        <v>32.169439347604488</v>
      </c>
      <c r="AV20" s="176" t="str">
        <f t="shared" si="9"/>
        <v/>
      </c>
      <c r="AW20" s="176" t="str">
        <f t="shared" si="10"/>
        <v/>
      </c>
      <c r="AX20" s="176" t="str">
        <f t="shared" si="11"/>
        <v/>
      </c>
      <c r="AY20" s="170">
        <f t="shared" si="1"/>
        <v>0.17539646296861405</v>
      </c>
      <c r="AZ20" s="170">
        <f t="shared" si="1"/>
        <v>0.23480620524806681</v>
      </c>
      <c r="BA20" s="170">
        <f t="shared" si="1"/>
        <v>0.33301074852578733</v>
      </c>
      <c r="BB20" s="170">
        <f t="shared" si="1"/>
        <v>5.388087956895303E-2</v>
      </c>
      <c r="BC20" s="170">
        <f t="shared" si="1"/>
        <v>6.2125473758539919E-2</v>
      </c>
      <c r="BD20" s="170">
        <f t="shared" si="1"/>
        <v>0.26232707150138351</v>
      </c>
      <c r="BE20" s="168" t="str">
        <f t="shared" si="1"/>
        <v/>
      </c>
      <c r="BF20" s="168" t="str">
        <f t="shared" si="1"/>
        <v/>
      </c>
      <c r="BG20" s="168" t="str">
        <f t="shared" si="1"/>
        <v/>
      </c>
      <c r="BH20" s="168" t="str">
        <f t="shared" si="1"/>
        <v/>
      </c>
      <c r="BI20" s="170">
        <f t="shared" si="1"/>
        <v>0.12010582686645158</v>
      </c>
      <c r="BJ20" s="168"/>
      <c r="BK20" s="168"/>
      <c r="BL20" s="168"/>
      <c r="BM20" s="76"/>
      <c r="BN20" s="94"/>
      <c r="BO20" s="94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</row>
    <row r="21" spans="1:78" s="89" customFormat="1">
      <c r="A21" s="163" t="s">
        <v>295</v>
      </c>
      <c r="B21" s="164"/>
      <c r="C21" s="165"/>
      <c r="D21" s="155"/>
      <c r="E21" s="156"/>
      <c r="F21" s="155"/>
      <c r="G21" s="155"/>
      <c r="H21" s="166"/>
      <c r="I21" s="164" t="s">
        <v>94</v>
      </c>
      <c r="J21" s="167">
        <f>IF(ISERROR(VLOOKUP(I21,Max_Load_France!$B$2:$C$102,2,FALSE)/1000),"",VLOOKUP(I21,Max_Load_France!$B$2:$C$102,2,FALSE)/1000)</f>
        <v>40</v>
      </c>
      <c r="K21" s="157"/>
      <c r="L21" s="158">
        <f t="shared" si="0"/>
        <v>1.05975</v>
      </c>
      <c r="M21" s="160">
        <f>IF(VLOOKUP($I21,Max_Load_France!$B$2:$M$102,3,FALSE)="","",VLOOKUP($I21,Max_Load_France!$B$2:$M$102,3,FALSE))</f>
        <v>0</v>
      </c>
      <c r="N21" s="160">
        <f>IF(VLOOKUP($I21,Max_Load_France!$B$2:$M$102,4,FALSE)="","",VLOOKUP($I21,Max_Load_France!$B$2:$M$102,4,FALSE))</f>
        <v>0</v>
      </c>
      <c r="O21" s="160">
        <f>IF(VLOOKUP($I21,Max_Load_France!$B$2:$M$102,5,FALSE)="","",VLOOKUP($I21,Max_Load_France!$B$2:$M$102,5,FALSE))</f>
        <v>1</v>
      </c>
      <c r="P21" s="160">
        <f>IF(VLOOKUP($I21,Max_Load_France!$B$2:$M$102,6,FALSE)="","",VLOOKUP($I21,Max_Load_France!$B$2:$M$102,6,FALSE))</f>
        <v>1</v>
      </c>
      <c r="Q21" s="160">
        <f>IF(VLOOKUP($I21,Max_Load_France!$B$2:$M$102,7,FALSE)="","",VLOOKUP($I21,Max_Load_France!$B$2:$M$102,7,FALSE))</f>
        <v>1</v>
      </c>
      <c r="R21" s="160" t="str">
        <f>IF(VLOOKUP($I21,Max_Load_France!$B$2:$M$102,8,FALSE)="","",VLOOKUP($I21,Max_Load_France!$B$2:$M$102,8,FALSE))</f>
        <v/>
      </c>
      <c r="S21" s="160" t="str">
        <f>IF(VLOOKUP($I21,Max_Load_France!$B$2:$M$102,9,FALSE)="","",VLOOKUP($I21,Max_Load_France!$B$2:$M$102,9,FALSE))</f>
        <v/>
      </c>
      <c r="T21" s="160" t="str">
        <f>IF(VLOOKUP($I21,Max_Load_France!$B$2:$M$102,10,FALSE)="","",VLOOKUP($I21,Max_Load_France!$B$2:$M$102,10,FALSE))</f>
        <v/>
      </c>
      <c r="U21" s="160" t="str">
        <f>IF(VLOOKUP($I21,Max_Load_France!$B$2:$M$102,11,FALSE)="","",VLOOKUP($I21,Max_Load_France!$B$2:$M$102,11,FALSE))</f>
        <v/>
      </c>
      <c r="V21" s="160">
        <f>IF(VLOOKUP($I21,Max_Load_France!$B$2:$M$102,12,FALSE)="","",VLOOKUP($I21,Max_Load_France!$B$2:$M$102,12,FALSE))</f>
        <v>5</v>
      </c>
      <c r="W21" s="172">
        <f t="shared" si="2"/>
        <v>42.39</v>
      </c>
      <c r="X21" s="173">
        <v>5.77</v>
      </c>
      <c r="Y21" s="173">
        <v>7.9</v>
      </c>
      <c r="Z21" s="173">
        <v>10.5</v>
      </c>
      <c r="AA21" s="173">
        <v>9.4700000000000006</v>
      </c>
      <c r="AB21" s="173">
        <v>8.75</v>
      </c>
      <c r="AC21" s="174"/>
      <c r="AD21" s="175"/>
      <c r="AE21" s="175"/>
      <c r="AF21" s="175"/>
      <c r="AG21" s="176">
        <f t="shared" si="3"/>
        <v>28.72</v>
      </c>
      <c r="AH21" s="176" t="str">
        <f t="shared" si="4"/>
        <v/>
      </c>
      <c r="AI21" s="176" t="str">
        <f t="shared" si="5"/>
        <v/>
      </c>
      <c r="AJ21" s="176" t="str">
        <f t="shared" si="6"/>
        <v/>
      </c>
      <c r="AK21" s="177">
        <f t="shared" si="7"/>
        <v>47.901121304791033</v>
      </c>
      <c r="AL21" s="173">
        <v>6.651345565749236</v>
      </c>
      <c r="AM21" s="173">
        <v>9.9805096839959226</v>
      </c>
      <c r="AN21" s="173">
        <v>10.722222222222221</v>
      </c>
      <c r="AO21" s="173">
        <v>9.5842507645259936</v>
      </c>
      <c r="AP21" s="173">
        <v>10.962793068297655</v>
      </c>
      <c r="AQ21" s="174"/>
      <c r="AR21" s="175"/>
      <c r="AS21" s="175"/>
      <c r="AT21" s="175"/>
      <c r="AU21" s="176">
        <f t="shared" si="8"/>
        <v>31.269266055045868</v>
      </c>
      <c r="AV21" s="176" t="str">
        <f t="shared" si="9"/>
        <v/>
      </c>
      <c r="AW21" s="176" t="str">
        <f t="shared" si="10"/>
        <v/>
      </c>
      <c r="AX21" s="176" t="str">
        <f t="shared" si="11"/>
        <v/>
      </c>
      <c r="AY21" s="170">
        <f t="shared" si="1"/>
        <v>0.13000993877780215</v>
      </c>
      <c r="AZ21" s="170">
        <f t="shared" si="1"/>
        <v>0.15274619857005831</v>
      </c>
      <c r="BA21" s="170">
        <f t="shared" si="1"/>
        <v>0.26335565620201545</v>
      </c>
      <c r="BB21" s="170">
        <f t="shared" si="1"/>
        <v>2.116402116402109E-2</v>
      </c>
      <c r="BC21" s="170">
        <f t="shared" si="1"/>
        <v>1.2064494670115408E-2</v>
      </c>
      <c r="BD21" s="170">
        <f t="shared" si="1"/>
        <v>0.25289063637687487</v>
      </c>
      <c r="BE21" s="168" t="str">
        <f t="shared" si="1"/>
        <v/>
      </c>
      <c r="BF21" s="168" t="str">
        <f t="shared" si="1"/>
        <v/>
      </c>
      <c r="BG21" s="168" t="str">
        <f t="shared" si="1"/>
        <v/>
      </c>
      <c r="BH21" s="168" t="str">
        <f t="shared" si="1"/>
        <v/>
      </c>
      <c r="BI21" s="170">
        <f t="shared" si="1"/>
        <v>8.8762745649229438E-2</v>
      </c>
      <c r="BJ21" s="168"/>
      <c r="BK21" s="168"/>
      <c r="BL21" s="168"/>
      <c r="BM21" s="76"/>
      <c r="BN21" s="94"/>
      <c r="BO21" s="94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</row>
    <row r="22" spans="1:78" s="89" customFormat="1">
      <c r="A22" s="163" t="s">
        <v>296</v>
      </c>
      <c r="B22" s="164"/>
      <c r="C22" s="165"/>
      <c r="D22" s="155"/>
      <c r="E22" s="156"/>
      <c r="F22" s="155"/>
      <c r="G22" s="155"/>
      <c r="H22" s="166"/>
      <c r="I22" s="164" t="s">
        <v>94</v>
      </c>
      <c r="J22" s="167">
        <f>IF(ISERROR(VLOOKUP(I22,Max_Load_France!$B$2:$C$102,2,FALSE)/1000),"",VLOOKUP(I22,Max_Load_France!$B$2:$C$102,2,FALSE)/1000)</f>
        <v>40</v>
      </c>
      <c r="K22" s="157"/>
      <c r="L22" s="158">
        <f t="shared" si="0"/>
        <v>1.05975</v>
      </c>
      <c r="M22" s="160">
        <f>IF(VLOOKUP($I22,Max_Load_France!$B$2:$M$102,3,FALSE)="","",VLOOKUP($I22,Max_Load_France!$B$2:$M$102,3,FALSE))</f>
        <v>0</v>
      </c>
      <c r="N22" s="160">
        <f>IF(VLOOKUP($I22,Max_Load_France!$B$2:$M$102,4,FALSE)="","",VLOOKUP($I22,Max_Load_France!$B$2:$M$102,4,FALSE))</f>
        <v>0</v>
      </c>
      <c r="O22" s="160">
        <f>IF(VLOOKUP($I22,Max_Load_France!$B$2:$M$102,5,FALSE)="","",VLOOKUP($I22,Max_Load_France!$B$2:$M$102,5,FALSE))</f>
        <v>1</v>
      </c>
      <c r="P22" s="160">
        <f>IF(VLOOKUP($I22,Max_Load_France!$B$2:$M$102,6,FALSE)="","",VLOOKUP($I22,Max_Load_France!$B$2:$M$102,6,FALSE))</f>
        <v>1</v>
      </c>
      <c r="Q22" s="160">
        <f>IF(VLOOKUP($I22,Max_Load_France!$B$2:$M$102,7,FALSE)="","",VLOOKUP($I22,Max_Load_France!$B$2:$M$102,7,FALSE))</f>
        <v>1</v>
      </c>
      <c r="R22" s="160" t="str">
        <f>IF(VLOOKUP($I22,Max_Load_France!$B$2:$M$102,8,FALSE)="","",VLOOKUP($I22,Max_Load_France!$B$2:$M$102,8,FALSE))</f>
        <v/>
      </c>
      <c r="S22" s="160" t="str">
        <f>IF(VLOOKUP($I22,Max_Load_France!$B$2:$M$102,9,FALSE)="","",VLOOKUP($I22,Max_Load_France!$B$2:$M$102,9,FALSE))</f>
        <v/>
      </c>
      <c r="T22" s="160" t="str">
        <f>IF(VLOOKUP($I22,Max_Load_France!$B$2:$M$102,10,FALSE)="","",VLOOKUP($I22,Max_Load_France!$B$2:$M$102,10,FALSE))</f>
        <v/>
      </c>
      <c r="U22" s="160" t="str">
        <f>IF(VLOOKUP($I22,Max_Load_France!$B$2:$M$102,11,FALSE)="","",VLOOKUP($I22,Max_Load_France!$B$2:$M$102,11,FALSE))</f>
        <v/>
      </c>
      <c r="V22" s="160">
        <f>IF(VLOOKUP($I22,Max_Load_France!$B$2:$M$102,12,FALSE)="","",VLOOKUP($I22,Max_Load_France!$B$2:$M$102,12,FALSE))</f>
        <v>5</v>
      </c>
      <c r="W22" s="172">
        <f t="shared" si="2"/>
        <v>42.39</v>
      </c>
      <c r="X22" s="173">
        <v>5.77</v>
      </c>
      <c r="Y22" s="173">
        <v>7.9</v>
      </c>
      <c r="Z22" s="173">
        <v>10.5</v>
      </c>
      <c r="AA22" s="173">
        <v>9.4700000000000006</v>
      </c>
      <c r="AB22" s="173">
        <v>8.75</v>
      </c>
      <c r="AC22" s="174"/>
      <c r="AD22" s="175"/>
      <c r="AE22" s="175"/>
      <c r="AF22" s="175"/>
      <c r="AG22" s="176">
        <f t="shared" si="3"/>
        <v>28.72</v>
      </c>
      <c r="AH22" s="176" t="str">
        <f t="shared" si="4"/>
        <v/>
      </c>
      <c r="AI22" s="176" t="str">
        <f t="shared" si="5"/>
        <v/>
      </c>
      <c r="AJ22" s="176" t="str">
        <f t="shared" si="6"/>
        <v/>
      </c>
      <c r="AK22" s="177">
        <f t="shared" si="7"/>
        <v>45.166330275229356</v>
      </c>
      <c r="AL22" s="173">
        <v>7.6676146788990822</v>
      </c>
      <c r="AM22" s="173">
        <v>8.2457696228338424</v>
      </c>
      <c r="AN22" s="173">
        <v>9.9384913353720687</v>
      </c>
      <c r="AO22" s="173">
        <v>9.781865443425076</v>
      </c>
      <c r="AP22" s="173">
        <v>9.5325891946992858</v>
      </c>
      <c r="AQ22" s="174"/>
      <c r="AR22" s="175"/>
      <c r="AS22" s="175"/>
      <c r="AT22" s="175"/>
      <c r="AU22" s="176">
        <f t="shared" si="8"/>
        <v>29.252945973496431</v>
      </c>
      <c r="AV22" s="176" t="str">
        <f t="shared" si="9"/>
        <v/>
      </c>
      <c r="AW22" s="176" t="str">
        <f t="shared" si="10"/>
        <v/>
      </c>
      <c r="AX22" s="176" t="str">
        <f t="shared" si="11"/>
        <v/>
      </c>
      <c r="AY22" s="170">
        <f t="shared" si="1"/>
        <v>6.5494934541857883E-2</v>
      </c>
      <c r="AZ22" s="170">
        <f t="shared" si="1"/>
        <v>0.32887602753883582</v>
      </c>
      <c r="BA22" s="170">
        <f t="shared" si="1"/>
        <v>4.3768306687828107E-2</v>
      </c>
      <c r="BB22" s="170">
        <f t="shared" si="1"/>
        <v>-5.3477015678850597E-2</v>
      </c>
      <c r="BC22" s="170">
        <f t="shared" si="1"/>
        <v>3.2931937003703837E-2</v>
      </c>
      <c r="BD22" s="170">
        <f t="shared" si="1"/>
        <v>8.9438765108489804E-2</v>
      </c>
      <c r="BE22" s="168" t="str">
        <f t="shared" si="1"/>
        <v/>
      </c>
      <c r="BF22" s="168" t="str">
        <f t="shared" si="1"/>
        <v/>
      </c>
      <c r="BG22" s="168" t="str">
        <f t="shared" si="1"/>
        <v/>
      </c>
      <c r="BH22" s="168" t="str">
        <f t="shared" si="1"/>
        <v/>
      </c>
      <c r="BI22" s="170">
        <f t="shared" si="1"/>
        <v>1.85566146760596E-2</v>
      </c>
      <c r="BJ22" s="168"/>
      <c r="BK22" s="168"/>
      <c r="BL22" s="168"/>
      <c r="BM22" s="76"/>
      <c r="BN22" s="94"/>
      <c r="BO22" s="94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</row>
    <row r="23" spans="1:78" s="89" customFormat="1">
      <c r="A23" s="163" t="s">
        <v>297</v>
      </c>
      <c r="B23" s="164"/>
      <c r="C23" s="165"/>
      <c r="D23" s="155"/>
      <c r="E23" s="156"/>
      <c r="F23" s="155"/>
      <c r="G23" s="155"/>
      <c r="H23" s="166"/>
      <c r="I23" s="164" t="s">
        <v>94</v>
      </c>
      <c r="J23" s="167">
        <f>IF(ISERROR(VLOOKUP(I23,Max_Load_France!$B$2:$C$102,2,FALSE)/1000),"",VLOOKUP(I23,Max_Load_France!$B$2:$C$102,2,FALSE)/1000)</f>
        <v>40</v>
      </c>
      <c r="K23" s="157"/>
      <c r="L23" s="158">
        <f t="shared" si="0"/>
        <v>1.05975</v>
      </c>
      <c r="M23" s="160">
        <f>IF(VLOOKUP($I23,Max_Load_France!$B$2:$M$102,3,FALSE)="","",VLOOKUP($I23,Max_Load_France!$B$2:$M$102,3,FALSE))</f>
        <v>0</v>
      </c>
      <c r="N23" s="160">
        <f>IF(VLOOKUP($I23,Max_Load_France!$B$2:$M$102,4,FALSE)="","",VLOOKUP($I23,Max_Load_France!$B$2:$M$102,4,FALSE))</f>
        <v>0</v>
      </c>
      <c r="O23" s="160">
        <f>IF(VLOOKUP($I23,Max_Load_France!$B$2:$M$102,5,FALSE)="","",VLOOKUP($I23,Max_Load_France!$B$2:$M$102,5,FALSE))</f>
        <v>1</v>
      </c>
      <c r="P23" s="160">
        <f>IF(VLOOKUP($I23,Max_Load_France!$B$2:$M$102,6,FALSE)="","",VLOOKUP($I23,Max_Load_France!$B$2:$M$102,6,FALSE))</f>
        <v>1</v>
      </c>
      <c r="Q23" s="160">
        <f>IF(VLOOKUP($I23,Max_Load_France!$B$2:$M$102,7,FALSE)="","",VLOOKUP($I23,Max_Load_France!$B$2:$M$102,7,FALSE))</f>
        <v>1</v>
      </c>
      <c r="R23" s="160" t="str">
        <f>IF(VLOOKUP($I23,Max_Load_France!$B$2:$M$102,8,FALSE)="","",VLOOKUP($I23,Max_Load_France!$B$2:$M$102,8,FALSE))</f>
        <v/>
      </c>
      <c r="S23" s="160" t="str">
        <f>IF(VLOOKUP($I23,Max_Load_France!$B$2:$M$102,9,FALSE)="","",VLOOKUP($I23,Max_Load_France!$B$2:$M$102,9,FALSE))</f>
        <v/>
      </c>
      <c r="T23" s="160" t="str">
        <f>IF(VLOOKUP($I23,Max_Load_France!$B$2:$M$102,10,FALSE)="","",VLOOKUP($I23,Max_Load_France!$B$2:$M$102,10,FALSE))</f>
        <v/>
      </c>
      <c r="U23" s="160" t="str">
        <f>IF(VLOOKUP($I23,Max_Load_France!$B$2:$M$102,11,FALSE)="","",VLOOKUP($I23,Max_Load_France!$B$2:$M$102,11,FALSE))</f>
        <v/>
      </c>
      <c r="V23" s="160">
        <f>IF(VLOOKUP($I23,Max_Load_France!$B$2:$M$102,12,FALSE)="","",VLOOKUP($I23,Max_Load_France!$B$2:$M$102,12,FALSE))</f>
        <v>5</v>
      </c>
      <c r="W23" s="172">
        <f t="shared" si="2"/>
        <v>42.39</v>
      </c>
      <c r="X23" s="173">
        <v>5.77</v>
      </c>
      <c r="Y23" s="173">
        <v>7.9</v>
      </c>
      <c r="Z23" s="173">
        <v>10.5</v>
      </c>
      <c r="AA23" s="173">
        <v>9.4700000000000006</v>
      </c>
      <c r="AB23" s="173">
        <v>8.75</v>
      </c>
      <c r="AC23" s="174"/>
      <c r="AD23" s="175"/>
      <c r="AE23" s="175"/>
      <c r="AF23" s="175"/>
      <c r="AG23" s="176">
        <f t="shared" si="3"/>
        <v>28.72</v>
      </c>
      <c r="AH23" s="176" t="str">
        <f t="shared" si="4"/>
        <v/>
      </c>
      <c r="AI23" s="176" t="str">
        <f t="shared" si="5"/>
        <v/>
      </c>
      <c r="AJ23" s="176" t="str">
        <f t="shared" si="6"/>
        <v/>
      </c>
      <c r="AK23" s="177">
        <f t="shared" si="7"/>
        <v>43.07085626911315</v>
      </c>
      <c r="AL23" s="173">
        <v>5.6942303771661562</v>
      </c>
      <c r="AM23" s="173">
        <v>8.5718144750254837</v>
      </c>
      <c r="AN23" s="178">
        <v>8.8913251783893976</v>
      </c>
      <c r="AO23" s="173">
        <v>10.734046890927624</v>
      </c>
      <c r="AP23" s="173">
        <v>9.1794393476044842</v>
      </c>
      <c r="AQ23" s="174"/>
      <c r="AR23" s="175"/>
      <c r="AS23" s="175"/>
      <c r="AT23" s="175"/>
      <c r="AU23" s="176">
        <f t="shared" si="8"/>
        <v>28.80481141692151</v>
      </c>
      <c r="AV23" s="176" t="str">
        <f t="shared" si="9"/>
        <v/>
      </c>
      <c r="AW23" s="176" t="str">
        <f t="shared" si="10"/>
        <v/>
      </c>
      <c r="AX23" s="176" t="str">
        <f t="shared" si="11"/>
        <v/>
      </c>
      <c r="AY23" s="170">
        <f t="shared" si="1"/>
        <v>1.6061719016587636E-2</v>
      </c>
      <c r="AZ23" s="170">
        <f t="shared" si="1"/>
        <v>-1.3131650404478921E-2</v>
      </c>
      <c r="BA23" s="170">
        <f t="shared" si="1"/>
        <v>8.5039806965251041E-2</v>
      </c>
      <c r="BB23" s="170">
        <f t="shared" si="1"/>
        <v>-0.15320712586767643</v>
      </c>
      <c r="BC23" s="170">
        <f t="shared" si="1"/>
        <v>0.13347908035138581</v>
      </c>
      <c r="BD23" s="170">
        <f t="shared" si="1"/>
        <v>4.9078782583369625E-2</v>
      </c>
      <c r="BE23" s="168" t="str">
        <f t="shared" si="1"/>
        <v/>
      </c>
      <c r="BF23" s="168" t="str">
        <f t="shared" si="1"/>
        <v/>
      </c>
      <c r="BG23" s="168" t="str">
        <f t="shared" si="1"/>
        <v/>
      </c>
      <c r="BH23" s="168" t="str">
        <f t="shared" si="1"/>
        <v/>
      </c>
      <c r="BI23" s="170">
        <f t="shared" si="1"/>
        <v>2.9530437646765615E-3</v>
      </c>
      <c r="BJ23" s="168"/>
      <c r="BK23" s="168"/>
      <c r="BL23" s="168"/>
      <c r="BM23" s="76"/>
      <c r="BN23" s="70"/>
      <c r="BO23" s="70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</row>
    <row r="24" spans="1:78" s="89" customFormat="1">
      <c r="A24" s="163" t="s">
        <v>298</v>
      </c>
      <c r="B24" s="164"/>
      <c r="C24" s="165"/>
      <c r="D24" s="155"/>
      <c r="E24" s="156"/>
      <c r="F24" s="155"/>
      <c r="G24" s="155"/>
      <c r="H24" s="166"/>
      <c r="I24" s="164" t="s">
        <v>94</v>
      </c>
      <c r="J24" s="167">
        <f>IF(ISERROR(VLOOKUP(I24,Max_Load_France!$B$2:$C$102,2,FALSE)/1000),"",VLOOKUP(I24,Max_Load_France!$B$2:$C$102,2,FALSE)/1000)</f>
        <v>40</v>
      </c>
      <c r="K24" s="157"/>
      <c r="L24" s="158">
        <f t="shared" si="0"/>
        <v>1.05975</v>
      </c>
      <c r="M24" s="160">
        <f>IF(VLOOKUP($I24,Max_Load_France!$B$2:$M$102,3,FALSE)="","",VLOOKUP($I24,Max_Load_France!$B$2:$M$102,3,FALSE))</f>
        <v>0</v>
      </c>
      <c r="N24" s="160">
        <f>IF(VLOOKUP($I24,Max_Load_France!$B$2:$M$102,4,FALSE)="","",VLOOKUP($I24,Max_Load_France!$B$2:$M$102,4,FALSE))</f>
        <v>0</v>
      </c>
      <c r="O24" s="160">
        <f>IF(VLOOKUP($I24,Max_Load_France!$B$2:$M$102,5,FALSE)="","",VLOOKUP($I24,Max_Load_France!$B$2:$M$102,5,FALSE))</f>
        <v>1</v>
      </c>
      <c r="P24" s="160">
        <f>IF(VLOOKUP($I24,Max_Load_France!$B$2:$M$102,6,FALSE)="","",VLOOKUP($I24,Max_Load_France!$B$2:$M$102,6,FALSE))</f>
        <v>1</v>
      </c>
      <c r="Q24" s="160">
        <f>IF(VLOOKUP($I24,Max_Load_France!$B$2:$M$102,7,FALSE)="","",VLOOKUP($I24,Max_Load_France!$B$2:$M$102,7,FALSE))</f>
        <v>1</v>
      </c>
      <c r="R24" s="160" t="str">
        <f>IF(VLOOKUP($I24,Max_Load_France!$B$2:$M$102,8,FALSE)="","",VLOOKUP($I24,Max_Load_France!$B$2:$M$102,8,FALSE))</f>
        <v/>
      </c>
      <c r="S24" s="160" t="str">
        <f>IF(VLOOKUP($I24,Max_Load_France!$B$2:$M$102,9,FALSE)="","",VLOOKUP($I24,Max_Load_France!$B$2:$M$102,9,FALSE))</f>
        <v/>
      </c>
      <c r="T24" s="160" t="str">
        <f>IF(VLOOKUP($I24,Max_Load_France!$B$2:$M$102,10,FALSE)="","",VLOOKUP($I24,Max_Load_France!$B$2:$M$102,10,FALSE))</f>
        <v/>
      </c>
      <c r="U24" s="160" t="str">
        <f>IF(VLOOKUP($I24,Max_Load_France!$B$2:$M$102,11,FALSE)="","",VLOOKUP($I24,Max_Load_France!$B$2:$M$102,11,FALSE))</f>
        <v/>
      </c>
      <c r="V24" s="160">
        <f>IF(VLOOKUP($I24,Max_Load_France!$B$2:$M$102,12,FALSE)="","",VLOOKUP($I24,Max_Load_France!$B$2:$M$102,12,FALSE))</f>
        <v>5</v>
      </c>
      <c r="W24" s="172">
        <f t="shared" si="2"/>
        <v>42.39</v>
      </c>
      <c r="X24" s="173">
        <v>5.77</v>
      </c>
      <c r="Y24" s="173">
        <v>7.9</v>
      </c>
      <c r="Z24" s="173">
        <v>10.5</v>
      </c>
      <c r="AA24" s="173">
        <v>9.4700000000000006</v>
      </c>
      <c r="AB24" s="173">
        <v>8.75</v>
      </c>
      <c r="AC24" s="174"/>
      <c r="AD24" s="175"/>
      <c r="AE24" s="175"/>
      <c r="AF24" s="175"/>
      <c r="AG24" s="176">
        <f t="shared" si="3"/>
        <v>28.72</v>
      </c>
      <c r="AH24" s="176" t="str">
        <f t="shared" si="4"/>
        <v/>
      </c>
      <c r="AI24" s="176" t="str">
        <f t="shared" si="5"/>
        <v/>
      </c>
      <c r="AJ24" s="176" t="str">
        <f t="shared" si="6"/>
        <v/>
      </c>
      <c r="AK24" s="177">
        <f t="shared" si="7"/>
        <v>44.793537206931703</v>
      </c>
      <c r="AL24" s="173">
        <v>6.3200611620795106</v>
      </c>
      <c r="AM24" s="173">
        <v>9.1269928644240554</v>
      </c>
      <c r="AN24" s="173">
        <v>9.1176962283384295</v>
      </c>
      <c r="AO24" s="173">
        <v>10.751885830784913</v>
      </c>
      <c r="AP24" s="173">
        <v>9.47690112130479</v>
      </c>
      <c r="AQ24" s="174"/>
      <c r="AR24" s="175"/>
      <c r="AS24" s="175"/>
      <c r="AT24" s="175"/>
      <c r="AU24" s="176">
        <f t="shared" si="8"/>
        <v>29.34648318042813</v>
      </c>
      <c r="AV24" s="176" t="str">
        <f t="shared" si="9"/>
        <v/>
      </c>
      <c r="AW24" s="176" t="str">
        <f t="shared" si="10"/>
        <v/>
      </c>
      <c r="AX24" s="176" t="str">
        <f t="shared" si="11"/>
        <v/>
      </c>
      <c r="AY24" s="170">
        <f t="shared" si="1"/>
        <v>5.6700571052882801E-2</v>
      </c>
      <c r="AZ24" s="170">
        <f t="shared" si="1"/>
        <v>9.533122393059118E-2</v>
      </c>
      <c r="BA24" s="170">
        <f t="shared" si="1"/>
        <v>0.15531555245874115</v>
      </c>
      <c r="BB24" s="170">
        <f t="shared" si="1"/>
        <v>-0.1316479782534829</v>
      </c>
      <c r="BC24" s="170">
        <f t="shared" si="1"/>
        <v>0.13536281212089882</v>
      </c>
      <c r="BD24" s="170">
        <f t="shared" si="1"/>
        <v>8.307441386340457E-2</v>
      </c>
      <c r="BE24" s="168" t="str">
        <f t="shared" si="1"/>
        <v/>
      </c>
      <c r="BF24" s="168" t="str">
        <f t="shared" si="1"/>
        <v/>
      </c>
      <c r="BG24" s="168" t="str">
        <f t="shared" si="1"/>
        <v/>
      </c>
      <c r="BH24" s="168" t="str">
        <f t="shared" si="1"/>
        <v/>
      </c>
      <c r="BI24" s="170">
        <f t="shared" si="1"/>
        <v>2.1813481212678672E-2</v>
      </c>
      <c r="BJ24" s="168"/>
      <c r="BK24" s="168"/>
      <c r="BL24" s="168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</row>
    <row r="25" spans="1:78" s="89" customFormat="1">
      <c r="A25" s="163" t="s">
        <v>299</v>
      </c>
      <c r="B25" s="164"/>
      <c r="C25" s="165"/>
      <c r="D25" s="155"/>
      <c r="E25" s="156"/>
      <c r="F25" s="155"/>
      <c r="G25" s="155"/>
      <c r="H25" s="166"/>
      <c r="I25" s="164" t="s">
        <v>94</v>
      </c>
      <c r="J25" s="167">
        <f>IF(ISERROR(VLOOKUP(I25,Max_Load_France!$B$2:$C$102,2,FALSE)/1000),"",VLOOKUP(I25,Max_Load_France!$B$2:$C$102,2,FALSE)/1000)</f>
        <v>40</v>
      </c>
      <c r="K25" s="157"/>
      <c r="L25" s="158">
        <f t="shared" si="0"/>
        <v>1.05975</v>
      </c>
      <c r="M25" s="160">
        <f>IF(VLOOKUP($I25,Max_Load_France!$B$2:$M$102,3,FALSE)="","",VLOOKUP($I25,Max_Load_France!$B$2:$M$102,3,FALSE))</f>
        <v>0</v>
      </c>
      <c r="N25" s="160">
        <f>IF(VLOOKUP($I25,Max_Load_France!$B$2:$M$102,4,FALSE)="","",VLOOKUP($I25,Max_Load_France!$B$2:$M$102,4,FALSE))</f>
        <v>0</v>
      </c>
      <c r="O25" s="160">
        <f>IF(VLOOKUP($I25,Max_Load_France!$B$2:$M$102,5,FALSE)="","",VLOOKUP($I25,Max_Load_France!$B$2:$M$102,5,FALSE))</f>
        <v>1</v>
      </c>
      <c r="P25" s="160">
        <f>IF(VLOOKUP($I25,Max_Load_France!$B$2:$M$102,6,FALSE)="","",VLOOKUP($I25,Max_Load_France!$B$2:$M$102,6,FALSE))</f>
        <v>1</v>
      </c>
      <c r="Q25" s="160">
        <f>IF(VLOOKUP($I25,Max_Load_France!$B$2:$M$102,7,FALSE)="","",VLOOKUP($I25,Max_Load_France!$B$2:$M$102,7,FALSE))</f>
        <v>1</v>
      </c>
      <c r="R25" s="160" t="str">
        <f>IF(VLOOKUP($I25,Max_Load_France!$B$2:$M$102,8,FALSE)="","",VLOOKUP($I25,Max_Load_France!$B$2:$M$102,8,FALSE))</f>
        <v/>
      </c>
      <c r="S25" s="160" t="str">
        <f>IF(VLOOKUP($I25,Max_Load_France!$B$2:$M$102,9,FALSE)="","",VLOOKUP($I25,Max_Load_France!$B$2:$M$102,9,FALSE))</f>
        <v/>
      </c>
      <c r="T25" s="160" t="str">
        <f>IF(VLOOKUP($I25,Max_Load_France!$B$2:$M$102,10,FALSE)="","",VLOOKUP($I25,Max_Load_France!$B$2:$M$102,10,FALSE))</f>
        <v/>
      </c>
      <c r="U25" s="160" t="str">
        <f>IF(VLOOKUP($I25,Max_Load_France!$B$2:$M$102,11,FALSE)="","",VLOOKUP($I25,Max_Load_France!$B$2:$M$102,11,FALSE))</f>
        <v/>
      </c>
      <c r="V25" s="160">
        <f>IF(VLOOKUP($I25,Max_Load_France!$B$2:$M$102,12,FALSE)="","",VLOOKUP($I25,Max_Load_France!$B$2:$M$102,12,FALSE))</f>
        <v>5</v>
      </c>
      <c r="W25" s="172">
        <f t="shared" si="2"/>
        <v>42.39</v>
      </c>
      <c r="X25" s="173">
        <v>5.77</v>
      </c>
      <c r="Y25" s="173">
        <v>7.9</v>
      </c>
      <c r="Z25" s="173">
        <v>10.5</v>
      </c>
      <c r="AA25" s="173">
        <v>9.4700000000000006</v>
      </c>
      <c r="AB25" s="173">
        <v>8.75</v>
      </c>
      <c r="AC25" s="174"/>
      <c r="AD25" s="175"/>
      <c r="AE25" s="175"/>
      <c r="AF25" s="175"/>
      <c r="AG25" s="176">
        <f t="shared" si="3"/>
        <v>28.72</v>
      </c>
      <c r="AH25" s="176" t="str">
        <f t="shared" si="4"/>
        <v/>
      </c>
      <c r="AI25" s="176" t="str">
        <f t="shared" si="5"/>
        <v/>
      </c>
      <c r="AJ25" s="176" t="str">
        <f t="shared" si="6"/>
        <v/>
      </c>
      <c r="AK25" s="177">
        <f t="shared" si="7"/>
        <v>32.892242609582055</v>
      </c>
      <c r="AL25" s="173">
        <v>3.6042915392456676</v>
      </c>
      <c r="AM25" s="173">
        <v>5.6250356778797146</v>
      </c>
      <c r="AN25" s="173">
        <v>6.7200611620795101</v>
      </c>
      <c r="AO25" s="173">
        <v>10.84750254841998</v>
      </c>
      <c r="AP25" s="173">
        <v>6.0953516819571867</v>
      </c>
      <c r="AQ25" s="174"/>
      <c r="AR25" s="175"/>
      <c r="AS25" s="175"/>
      <c r="AT25" s="175"/>
      <c r="AU25" s="176">
        <f t="shared" si="8"/>
        <v>23.662915392456679</v>
      </c>
      <c r="AV25" s="176" t="str">
        <f t="shared" si="9"/>
        <v/>
      </c>
      <c r="AW25" s="176" t="str">
        <f t="shared" si="10"/>
        <v/>
      </c>
      <c r="AX25" s="176" t="str">
        <f t="shared" si="11"/>
        <v/>
      </c>
      <c r="AY25" s="170">
        <f t="shared" si="1"/>
        <v>-0.22405655556541507</v>
      </c>
      <c r="AZ25" s="170">
        <f t="shared" si="1"/>
        <v>-0.37533942127458098</v>
      </c>
      <c r="BA25" s="170">
        <f t="shared" si="1"/>
        <v>-0.28797016735699821</v>
      </c>
      <c r="BB25" s="170">
        <f t="shared" si="1"/>
        <v>-0.35999417504004666</v>
      </c>
      <c r="BC25" s="170">
        <f t="shared" si="1"/>
        <v>0.14545961440548885</v>
      </c>
      <c r="BD25" s="170">
        <f t="shared" si="1"/>
        <v>-0.30338837920489298</v>
      </c>
      <c r="BE25" s="168" t="str">
        <f t="shared" si="1"/>
        <v/>
      </c>
      <c r="BF25" s="168" t="str">
        <f t="shared" si="1"/>
        <v/>
      </c>
      <c r="BG25" s="168" t="str">
        <f t="shared" si="1"/>
        <v/>
      </c>
      <c r="BH25" s="168" t="str">
        <f t="shared" si="1"/>
        <v/>
      </c>
      <c r="BI25" s="170">
        <f t="shared" si="1"/>
        <v>-0.17608233313173122</v>
      </c>
      <c r="BJ25" s="168"/>
      <c r="BK25" s="168"/>
      <c r="BL25" s="168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</row>
    <row r="26" spans="1:78" s="85" customFormat="1">
      <c r="A26" s="163" t="s">
        <v>300</v>
      </c>
      <c r="B26" s="167"/>
      <c r="C26" s="169"/>
      <c r="D26" s="160"/>
      <c r="E26" s="161"/>
      <c r="F26" s="160"/>
      <c r="G26" s="160"/>
      <c r="H26" s="160"/>
      <c r="I26" s="164" t="s">
        <v>94</v>
      </c>
      <c r="J26" s="167">
        <f>IF(ISERROR(VLOOKUP(I26,Max_Load_France!$B$2:$C$102,2,FALSE)/1000),"",VLOOKUP(I26,Max_Load_France!$B$2:$C$102,2,FALSE)/1000)</f>
        <v>40</v>
      </c>
      <c r="K26" s="157"/>
      <c r="L26" s="158">
        <f t="shared" si="0"/>
        <v>1.05975</v>
      </c>
      <c r="M26" s="160">
        <f>IF(VLOOKUP($I26,Max_Load_France!$B$2:$M$102,3,FALSE)="","",VLOOKUP($I26,Max_Load_France!$B$2:$M$102,3,FALSE))</f>
        <v>0</v>
      </c>
      <c r="N26" s="160">
        <f>IF(VLOOKUP($I26,Max_Load_France!$B$2:$M$102,4,FALSE)="","",VLOOKUP($I26,Max_Load_France!$B$2:$M$102,4,FALSE))</f>
        <v>0</v>
      </c>
      <c r="O26" s="160">
        <f>IF(VLOOKUP($I26,Max_Load_France!$B$2:$M$102,5,FALSE)="","",VLOOKUP($I26,Max_Load_France!$B$2:$M$102,5,FALSE))</f>
        <v>1</v>
      </c>
      <c r="P26" s="160">
        <f>IF(VLOOKUP($I26,Max_Load_France!$B$2:$M$102,6,FALSE)="","",VLOOKUP($I26,Max_Load_France!$B$2:$M$102,6,FALSE))</f>
        <v>1</v>
      </c>
      <c r="Q26" s="160">
        <f>IF(VLOOKUP($I26,Max_Load_France!$B$2:$M$102,7,FALSE)="","",VLOOKUP($I26,Max_Load_France!$B$2:$M$102,7,FALSE))</f>
        <v>1</v>
      </c>
      <c r="R26" s="160" t="str">
        <f>IF(VLOOKUP($I26,Max_Load_France!$B$2:$M$102,8,FALSE)="","",VLOOKUP($I26,Max_Load_France!$B$2:$M$102,8,FALSE))</f>
        <v/>
      </c>
      <c r="S26" s="160" t="str">
        <f>IF(VLOOKUP($I26,Max_Load_France!$B$2:$M$102,9,FALSE)="","",VLOOKUP($I26,Max_Load_France!$B$2:$M$102,9,FALSE))</f>
        <v/>
      </c>
      <c r="T26" s="160" t="str">
        <f>IF(VLOOKUP($I26,Max_Load_France!$B$2:$M$102,10,FALSE)="","",VLOOKUP($I26,Max_Load_France!$B$2:$M$102,10,FALSE))</f>
        <v/>
      </c>
      <c r="U26" s="160" t="str">
        <f>IF(VLOOKUP($I26,Max_Load_France!$B$2:$M$102,11,FALSE)="","",VLOOKUP($I26,Max_Load_France!$B$2:$M$102,11,FALSE))</f>
        <v/>
      </c>
      <c r="V26" s="160">
        <f>IF(VLOOKUP($I26,Max_Load_France!$B$2:$M$102,12,FALSE)="","",VLOOKUP($I26,Max_Load_France!$B$2:$M$102,12,FALSE))</f>
        <v>5</v>
      </c>
      <c r="W26" s="172">
        <f t="shared" si="2"/>
        <v>42.39</v>
      </c>
      <c r="X26" s="173">
        <v>5.77</v>
      </c>
      <c r="Y26" s="173">
        <v>7.9</v>
      </c>
      <c r="Z26" s="173">
        <v>10.5</v>
      </c>
      <c r="AA26" s="173">
        <v>9.4700000000000006</v>
      </c>
      <c r="AB26" s="173">
        <v>8.75</v>
      </c>
      <c r="AC26" s="175"/>
      <c r="AD26" s="175"/>
      <c r="AE26" s="175"/>
      <c r="AF26" s="175"/>
      <c r="AG26" s="176">
        <f t="shared" si="3"/>
        <v>28.72</v>
      </c>
      <c r="AH26" s="176"/>
      <c r="AI26" s="176"/>
      <c r="AJ26" s="176"/>
      <c r="AK26" s="177">
        <f t="shared" si="7"/>
        <v>45.076605504587157</v>
      </c>
      <c r="AL26" s="173">
        <v>6.032823649337411</v>
      </c>
      <c r="AM26" s="173">
        <v>9.1235474006116206</v>
      </c>
      <c r="AN26" s="173">
        <v>9.6805912334352691</v>
      </c>
      <c r="AO26" s="173">
        <v>10.577573904179408</v>
      </c>
      <c r="AP26" s="173">
        <v>9.6620693170234446</v>
      </c>
      <c r="AQ26" s="175"/>
      <c r="AR26" s="175"/>
      <c r="AS26" s="175"/>
      <c r="AT26" s="175"/>
      <c r="AU26" s="176">
        <f t="shared" si="8"/>
        <v>29.92023445463812</v>
      </c>
      <c r="AV26" s="176"/>
      <c r="AW26" s="176"/>
      <c r="AX26" s="176"/>
      <c r="AY26" s="170">
        <f t="shared" si="1"/>
        <v>6.3378285081084132E-2</v>
      </c>
      <c r="AZ26" s="170">
        <f t="shared" si="1"/>
        <v>4.5550025881700422E-2</v>
      </c>
      <c r="BA26" s="170">
        <f t="shared" si="1"/>
        <v>0.15487941779893927</v>
      </c>
      <c r="BB26" s="170">
        <f t="shared" si="1"/>
        <v>-7.8038930149021996E-2</v>
      </c>
      <c r="BC26" s="170">
        <f t="shared" si="1"/>
        <v>0.11695606168737141</v>
      </c>
      <c r="BD26" s="170">
        <f t="shared" si="1"/>
        <v>0.10423649337410795</v>
      </c>
      <c r="BE26" s="168" t="str">
        <f t="shared" si="1"/>
        <v/>
      </c>
      <c r="BF26" s="168" t="str">
        <f t="shared" si="1"/>
        <v/>
      </c>
      <c r="BG26" s="168" t="str">
        <f t="shared" si="1"/>
        <v/>
      </c>
      <c r="BH26" s="168" t="str">
        <f t="shared" si="1"/>
        <v/>
      </c>
      <c r="BI26" s="170">
        <f t="shared" si="1"/>
        <v>4.1790893267344045E-2</v>
      </c>
      <c r="BJ26" s="168"/>
      <c r="BK26" s="168"/>
      <c r="BL26" s="168"/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</row>
    <row r="27" spans="1:78" s="85" customFormat="1">
      <c r="A27" s="163" t="s">
        <v>301</v>
      </c>
      <c r="B27" s="167"/>
      <c r="C27" s="169"/>
      <c r="D27" s="160"/>
      <c r="E27" s="161"/>
      <c r="F27" s="160"/>
      <c r="G27" s="160"/>
      <c r="H27" s="160"/>
      <c r="I27" s="164" t="s">
        <v>94</v>
      </c>
      <c r="J27" s="167">
        <f>IF(ISERROR(VLOOKUP(I27,Max_Load_France!$B$2:$C$102,2,FALSE)/1000),"",VLOOKUP(I27,Max_Load_France!$B$2:$C$102,2,FALSE)/1000)</f>
        <v>40</v>
      </c>
      <c r="K27" s="157"/>
      <c r="L27" s="158">
        <f t="shared" si="0"/>
        <v>1.05975</v>
      </c>
      <c r="M27" s="160">
        <f>IF(VLOOKUP($I27,Max_Load_France!$B$2:$M$102,3,FALSE)="","",VLOOKUP($I27,Max_Load_France!$B$2:$M$102,3,FALSE))</f>
        <v>0</v>
      </c>
      <c r="N27" s="160">
        <f>IF(VLOOKUP($I27,Max_Load_France!$B$2:$M$102,4,FALSE)="","",VLOOKUP($I27,Max_Load_France!$B$2:$M$102,4,FALSE))</f>
        <v>0</v>
      </c>
      <c r="O27" s="160">
        <f>IF(VLOOKUP($I27,Max_Load_France!$B$2:$M$102,5,FALSE)="","",VLOOKUP($I27,Max_Load_France!$B$2:$M$102,5,FALSE))</f>
        <v>1</v>
      </c>
      <c r="P27" s="160">
        <f>IF(VLOOKUP($I27,Max_Load_France!$B$2:$M$102,6,FALSE)="","",VLOOKUP($I27,Max_Load_France!$B$2:$M$102,6,FALSE))</f>
        <v>1</v>
      </c>
      <c r="Q27" s="160">
        <f>IF(VLOOKUP($I27,Max_Load_France!$B$2:$M$102,7,FALSE)="","",VLOOKUP($I27,Max_Load_France!$B$2:$M$102,7,FALSE))</f>
        <v>1</v>
      </c>
      <c r="R27" s="160" t="str">
        <f>IF(VLOOKUP($I27,Max_Load_France!$B$2:$M$102,8,FALSE)="","",VLOOKUP($I27,Max_Load_France!$B$2:$M$102,8,FALSE))</f>
        <v/>
      </c>
      <c r="S27" s="160" t="str">
        <f>IF(VLOOKUP($I27,Max_Load_France!$B$2:$M$102,9,FALSE)="","",VLOOKUP($I27,Max_Load_France!$B$2:$M$102,9,FALSE))</f>
        <v/>
      </c>
      <c r="T27" s="160" t="str">
        <f>IF(VLOOKUP($I27,Max_Load_France!$B$2:$M$102,10,FALSE)="","",VLOOKUP($I27,Max_Load_France!$B$2:$M$102,10,FALSE))</f>
        <v/>
      </c>
      <c r="U27" s="160" t="str">
        <f>IF(VLOOKUP($I27,Max_Load_France!$B$2:$M$102,11,FALSE)="","",VLOOKUP($I27,Max_Load_France!$B$2:$M$102,11,FALSE))</f>
        <v/>
      </c>
      <c r="V27" s="160">
        <f>IF(VLOOKUP($I27,Max_Load_France!$B$2:$M$102,12,FALSE)="","",VLOOKUP($I27,Max_Load_France!$B$2:$M$102,12,FALSE))</f>
        <v>5</v>
      </c>
      <c r="W27" s="172">
        <f t="shared" si="2"/>
        <v>42.39</v>
      </c>
      <c r="X27" s="173">
        <v>5.77</v>
      </c>
      <c r="Y27" s="173">
        <v>7.9</v>
      </c>
      <c r="Z27" s="173">
        <v>10.5</v>
      </c>
      <c r="AA27" s="173">
        <v>9.4700000000000006</v>
      </c>
      <c r="AB27" s="173">
        <v>8.75</v>
      </c>
      <c r="AC27" s="175"/>
      <c r="AD27" s="175"/>
      <c r="AE27" s="175"/>
      <c r="AF27" s="175"/>
      <c r="AG27" s="176">
        <f t="shared" si="3"/>
        <v>28.72</v>
      </c>
      <c r="AH27" s="176"/>
      <c r="AI27" s="176"/>
      <c r="AJ27" s="176"/>
      <c r="AK27" s="177">
        <f t="shared" si="7"/>
        <v>41.357645259938835</v>
      </c>
      <c r="AL27" s="173">
        <v>5.3388888888888886</v>
      </c>
      <c r="AM27" s="173">
        <v>8.0170744138634031</v>
      </c>
      <c r="AN27" s="173">
        <v>8.7246381243628957</v>
      </c>
      <c r="AO27" s="173">
        <v>10.550968399592252</v>
      </c>
      <c r="AP27" s="173">
        <v>8.7260754332313955</v>
      </c>
      <c r="AQ27" s="175"/>
      <c r="AR27" s="175"/>
      <c r="AS27" s="175"/>
      <c r="AT27" s="175"/>
      <c r="AU27" s="176">
        <f t="shared" si="8"/>
        <v>28.001681957186541</v>
      </c>
      <c r="AV27" s="176"/>
      <c r="AW27" s="176"/>
      <c r="AX27" s="176"/>
      <c r="AY27" s="170">
        <f t="shared" ref="AY27:BI33" si="12">IF(W27&gt;0,(AK27-W27)/W27,"")</f>
        <v>-2.4353732957328754E-2</v>
      </c>
      <c r="AZ27" s="170">
        <f t="shared" si="12"/>
        <v>-7.4715963797419585E-2</v>
      </c>
      <c r="BA27" s="170">
        <f t="shared" si="12"/>
        <v>1.4819546058658579E-2</v>
      </c>
      <c r="BB27" s="170">
        <f t="shared" si="12"/>
        <v>-0.16908208339400993</v>
      </c>
      <c r="BC27" s="170">
        <f t="shared" si="12"/>
        <v>0.11414661030541194</v>
      </c>
      <c r="BD27" s="170">
        <f t="shared" si="12"/>
        <v>-2.7342362021262343E-3</v>
      </c>
      <c r="BE27" s="168" t="str">
        <f t="shared" si="12"/>
        <v/>
      </c>
      <c r="BF27" s="168" t="str">
        <f t="shared" si="12"/>
        <v/>
      </c>
      <c r="BG27" s="168" t="str">
        <f t="shared" si="12"/>
        <v/>
      </c>
      <c r="BH27" s="168" t="str">
        <f t="shared" si="12"/>
        <v/>
      </c>
      <c r="BI27" s="170">
        <f t="shared" si="12"/>
        <v>-2.501107391411761E-2</v>
      </c>
      <c r="BJ27" s="168"/>
      <c r="BK27" s="168"/>
      <c r="BL27" s="168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</row>
    <row r="28" spans="1:78" s="76" customFormat="1">
      <c r="A28" s="163" t="s">
        <v>302</v>
      </c>
      <c r="B28" s="167"/>
      <c r="C28" s="169"/>
      <c r="D28" s="160"/>
      <c r="E28" s="161"/>
      <c r="F28" s="160"/>
      <c r="G28" s="160"/>
      <c r="H28" s="160"/>
      <c r="I28" s="164" t="s">
        <v>94</v>
      </c>
      <c r="J28" s="167">
        <f>IF(ISERROR(VLOOKUP(I28,Max_Load_France!$B$2:$C$102,2,FALSE)/1000),"",VLOOKUP(I28,Max_Load_France!$B$2:$C$102,2,FALSE)/1000)</f>
        <v>40</v>
      </c>
      <c r="K28" s="157"/>
      <c r="L28" s="158">
        <f t="shared" si="0"/>
        <v>1.05975</v>
      </c>
      <c r="M28" s="160">
        <f>IF(VLOOKUP($I28,Max_Load_France!$B$2:$M$102,3,FALSE)="","",VLOOKUP($I28,Max_Load_France!$B$2:$M$102,3,FALSE))</f>
        <v>0</v>
      </c>
      <c r="N28" s="160">
        <f>IF(VLOOKUP($I28,Max_Load_France!$B$2:$M$102,4,FALSE)="","",VLOOKUP($I28,Max_Load_France!$B$2:$M$102,4,FALSE))</f>
        <v>0</v>
      </c>
      <c r="O28" s="160">
        <f>IF(VLOOKUP($I28,Max_Load_France!$B$2:$M$102,5,FALSE)="","",VLOOKUP($I28,Max_Load_France!$B$2:$M$102,5,FALSE))</f>
        <v>1</v>
      </c>
      <c r="P28" s="160">
        <f>IF(VLOOKUP($I28,Max_Load_France!$B$2:$M$102,6,FALSE)="","",VLOOKUP($I28,Max_Load_France!$B$2:$M$102,6,FALSE))</f>
        <v>1</v>
      </c>
      <c r="Q28" s="160">
        <f>IF(VLOOKUP($I28,Max_Load_France!$B$2:$M$102,7,FALSE)="","",VLOOKUP($I28,Max_Load_France!$B$2:$M$102,7,FALSE))</f>
        <v>1</v>
      </c>
      <c r="R28" s="160" t="str">
        <f>IF(VLOOKUP($I28,Max_Load_France!$B$2:$M$102,8,FALSE)="","",VLOOKUP($I28,Max_Load_France!$B$2:$M$102,8,FALSE))</f>
        <v/>
      </c>
      <c r="S28" s="160" t="str">
        <f>IF(VLOOKUP($I28,Max_Load_France!$B$2:$M$102,9,FALSE)="","",VLOOKUP($I28,Max_Load_France!$B$2:$M$102,9,FALSE))</f>
        <v/>
      </c>
      <c r="T28" s="160" t="str">
        <f>IF(VLOOKUP($I28,Max_Load_France!$B$2:$M$102,10,FALSE)="","",VLOOKUP($I28,Max_Load_France!$B$2:$M$102,10,FALSE))</f>
        <v/>
      </c>
      <c r="U28" s="160" t="str">
        <f>IF(VLOOKUP($I28,Max_Load_France!$B$2:$M$102,11,FALSE)="","",VLOOKUP($I28,Max_Load_France!$B$2:$M$102,11,FALSE))</f>
        <v/>
      </c>
      <c r="V28" s="160">
        <f>IF(VLOOKUP($I28,Max_Load_France!$B$2:$M$102,12,FALSE)="","",VLOOKUP($I28,Max_Load_France!$B$2:$M$102,12,FALSE))</f>
        <v>5</v>
      </c>
      <c r="W28" s="172">
        <f t="shared" si="2"/>
        <v>42.39</v>
      </c>
      <c r="X28" s="173">
        <v>5.77</v>
      </c>
      <c r="Y28" s="173">
        <v>7.9</v>
      </c>
      <c r="Z28" s="173">
        <v>10.5</v>
      </c>
      <c r="AA28" s="173">
        <v>9.4700000000000006</v>
      </c>
      <c r="AB28" s="173">
        <v>8.75</v>
      </c>
      <c r="AC28" s="175"/>
      <c r="AD28" s="175"/>
      <c r="AE28" s="175"/>
      <c r="AF28" s="175"/>
      <c r="AG28" s="176">
        <f t="shared" si="3"/>
        <v>28.72</v>
      </c>
      <c r="AH28" s="176"/>
      <c r="AI28" s="176"/>
      <c r="AJ28" s="176"/>
      <c r="AK28" s="177">
        <f t="shared" si="7"/>
        <v>45.97054026503568</v>
      </c>
      <c r="AL28" s="173">
        <v>5.9558307849133527</v>
      </c>
      <c r="AM28" s="173">
        <v>9.5073598369011219</v>
      </c>
      <c r="AN28" s="173">
        <v>9.9149337410805298</v>
      </c>
      <c r="AO28" s="173">
        <v>10.415188583078491</v>
      </c>
      <c r="AP28" s="173">
        <v>10.177227319062181</v>
      </c>
      <c r="AQ28" s="175"/>
      <c r="AR28" s="175"/>
      <c r="AS28" s="175"/>
      <c r="AT28" s="175"/>
      <c r="AU28" s="176">
        <f t="shared" si="8"/>
        <v>30.507349643221204</v>
      </c>
      <c r="AV28" s="176"/>
      <c r="AW28" s="176"/>
      <c r="AX28" s="176"/>
      <c r="AY28" s="170">
        <f t="shared" si="12"/>
        <v>8.4466625738043866E-2</v>
      </c>
      <c r="AZ28" s="170">
        <f t="shared" si="12"/>
        <v>3.2206375201621E-2</v>
      </c>
      <c r="BA28" s="170">
        <f t="shared" si="12"/>
        <v>0.20346327049381283</v>
      </c>
      <c r="BB28" s="170">
        <f t="shared" si="12"/>
        <v>-5.5720596087568589E-2</v>
      </c>
      <c r="BC28" s="170">
        <f t="shared" si="12"/>
        <v>9.9808720494032763E-2</v>
      </c>
      <c r="BD28" s="170">
        <f t="shared" si="12"/>
        <v>0.16311169360710645</v>
      </c>
      <c r="BE28" s="168" t="str">
        <f t="shared" si="12"/>
        <v/>
      </c>
      <c r="BF28" s="168" t="str">
        <f t="shared" si="12"/>
        <v/>
      </c>
      <c r="BG28" s="168" t="str">
        <f t="shared" si="12"/>
        <v/>
      </c>
      <c r="BH28" s="168" t="str">
        <f t="shared" si="12"/>
        <v/>
      </c>
      <c r="BI28" s="170">
        <f t="shared" si="12"/>
        <v>6.2233622674833046E-2</v>
      </c>
      <c r="BJ28" s="168"/>
      <c r="BK28" s="168"/>
      <c r="BL28" s="168"/>
    </row>
    <row r="29" spans="1:78" s="85" customFormat="1">
      <c r="A29" s="163" t="s">
        <v>304</v>
      </c>
      <c r="B29" s="167"/>
      <c r="C29" s="169"/>
      <c r="D29" s="160"/>
      <c r="E29" s="161"/>
      <c r="F29" s="160"/>
      <c r="G29" s="160"/>
      <c r="H29" s="160"/>
      <c r="I29" s="164" t="s">
        <v>94</v>
      </c>
      <c r="J29" s="167">
        <f>IF(ISERROR(VLOOKUP(I29,Max_Load_France!$B$2:$C$102,2,FALSE)/1000),"",VLOOKUP(I29,Max_Load_France!$B$2:$C$102,2,FALSE)/1000)</f>
        <v>40</v>
      </c>
      <c r="K29" s="157"/>
      <c r="L29" s="158">
        <f t="shared" si="0"/>
        <v>1.05975</v>
      </c>
      <c r="M29" s="160">
        <f>IF(VLOOKUP($I29,Max_Load_France!$B$2:$M$102,3,FALSE)="","",VLOOKUP($I29,Max_Load_France!$B$2:$M$102,3,FALSE))</f>
        <v>0</v>
      </c>
      <c r="N29" s="160">
        <f>IF(VLOOKUP($I29,Max_Load_France!$B$2:$M$102,4,FALSE)="","",VLOOKUP($I29,Max_Load_France!$B$2:$M$102,4,FALSE))</f>
        <v>0</v>
      </c>
      <c r="O29" s="160">
        <f>IF(VLOOKUP($I29,Max_Load_France!$B$2:$M$102,5,FALSE)="","",VLOOKUP($I29,Max_Load_France!$B$2:$M$102,5,FALSE))</f>
        <v>1</v>
      </c>
      <c r="P29" s="160">
        <f>IF(VLOOKUP($I29,Max_Load_France!$B$2:$M$102,6,FALSE)="","",VLOOKUP($I29,Max_Load_France!$B$2:$M$102,6,FALSE))</f>
        <v>1</v>
      </c>
      <c r="Q29" s="160">
        <f>IF(VLOOKUP($I29,Max_Load_France!$B$2:$M$102,7,FALSE)="","",VLOOKUP($I29,Max_Load_France!$B$2:$M$102,7,FALSE))</f>
        <v>1</v>
      </c>
      <c r="R29" s="160" t="str">
        <f>IF(VLOOKUP($I29,Max_Load_France!$B$2:$M$102,8,FALSE)="","",VLOOKUP($I29,Max_Load_France!$B$2:$M$102,8,FALSE))</f>
        <v/>
      </c>
      <c r="S29" s="160" t="str">
        <f>IF(VLOOKUP($I29,Max_Load_France!$B$2:$M$102,9,FALSE)="","",VLOOKUP($I29,Max_Load_France!$B$2:$M$102,9,FALSE))</f>
        <v/>
      </c>
      <c r="T29" s="160" t="str">
        <f>IF(VLOOKUP($I29,Max_Load_France!$B$2:$M$102,10,FALSE)="","",VLOOKUP($I29,Max_Load_France!$B$2:$M$102,10,FALSE))</f>
        <v/>
      </c>
      <c r="U29" s="160" t="str">
        <f>IF(VLOOKUP($I29,Max_Load_France!$B$2:$M$102,11,FALSE)="","",VLOOKUP($I29,Max_Load_France!$B$2:$M$102,11,FALSE))</f>
        <v/>
      </c>
      <c r="V29" s="160">
        <f>IF(VLOOKUP($I29,Max_Load_France!$B$2:$M$102,12,FALSE)="","",VLOOKUP($I29,Max_Load_France!$B$2:$M$102,12,FALSE))</f>
        <v>5</v>
      </c>
      <c r="W29" s="172">
        <f t="shared" si="2"/>
        <v>42.39</v>
      </c>
      <c r="X29" s="173">
        <v>5.77</v>
      </c>
      <c r="Y29" s="173">
        <v>7.9</v>
      </c>
      <c r="Z29" s="173">
        <v>10.5</v>
      </c>
      <c r="AA29" s="173">
        <v>9.4700000000000006</v>
      </c>
      <c r="AB29" s="173">
        <v>8.75</v>
      </c>
      <c r="AC29" s="175"/>
      <c r="AD29" s="175"/>
      <c r="AE29" s="175"/>
      <c r="AF29" s="175"/>
      <c r="AG29" s="176">
        <f t="shared" si="3"/>
        <v>28.72</v>
      </c>
      <c r="AH29" s="176"/>
      <c r="AI29" s="176"/>
      <c r="AJ29" s="176"/>
      <c r="AK29" s="177">
        <f t="shared" si="7"/>
        <v>40.566901121304788</v>
      </c>
      <c r="AL29" s="173">
        <v>4.8041284403669726</v>
      </c>
      <c r="AM29" s="173">
        <v>7.2126197757390411</v>
      </c>
      <c r="AN29" s="173">
        <v>8.721039755351681</v>
      </c>
      <c r="AO29" s="173">
        <v>10.094658511722731</v>
      </c>
      <c r="AP29" s="173">
        <v>9.7344546381243635</v>
      </c>
      <c r="AQ29" s="175"/>
      <c r="AR29" s="175"/>
      <c r="AS29" s="175"/>
      <c r="AT29" s="175"/>
      <c r="AU29" s="176">
        <f t="shared" si="8"/>
        <v>28.550152905198772</v>
      </c>
      <c r="AV29" s="176"/>
      <c r="AW29" s="176"/>
      <c r="AX29" s="176"/>
      <c r="AY29" s="170">
        <f t="shared" si="12"/>
        <v>-4.3007758402812277E-2</v>
      </c>
      <c r="AZ29" s="170">
        <f t="shared" si="12"/>
        <v>-0.16739541761404281</v>
      </c>
      <c r="BA29" s="170">
        <f t="shared" si="12"/>
        <v>-8.7010154969741668E-2</v>
      </c>
      <c r="BB29" s="170">
        <f t="shared" si="12"/>
        <v>-0.1694247852046018</v>
      </c>
      <c r="BC29" s="170">
        <f t="shared" si="12"/>
        <v>6.5961828059422398E-2</v>
      </c>
      <c r="BD29" s="170">
        <f t="shared" si="12"/>
        <v>0.11250910149992725</v>
      </c>
      <c r="BE29" s="168" t="str">
        <f t="shared" si="12"/>
        <v/>
      </c>
      <c r="BF29" s="168" t="str">
        <f t="shared" si="12"/>
        <v/>
      </c>
      <c r="BG29" s="168" t="str">
        <f t="shared" si="12"/>
        <v/>
      </c>
      <c r="BH29" s="168" t="str">
        <f t="shared" si="12"/>
        <v/>
      </c>
      <c r="BI29" s="170">
        <f t="shared" si="12"/>
        <v>-5.9138960585385508E-3</v>
      </c>
      <c r="BJ29" s="168"/>
      <c r="BK29" s="168"/>
      <c r="BL29" s="168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  <c r="BZ29" s="76"/>
    </row>
    <row r="30" spans="1:78" s="85" customFormat="1">
      <c r="A30" s="163" t="s">
        <v>305</v>
      </c>
      <c r="B30" s="167"/>
      <c r="C30" s="169"/>
      <c r="D30" s="157"/>
      <c r="E30" s="162"/>
      <c r="F30" s="157"/>
      <c r="G30" s="157"/>
      <c r="H30" s="160"/>
      <c r="I30" s="164" t="s">
        <v>94</v>
      </c>
      <c r="J30" s="167">
        <f>IF(ISERROR(VLOOKUP(I30,Max_Load_France!$B$2:$C$102,2,FALSE)/1000),"",VLOOKUP(I30,Max_Load_France!$B$2:$C$102,2,FALSE)/1000)</f>
        <v>40</v>
      </c>
      <c r="K30" s="157"/>
      <c r="L30" s="158">
        <f t="shared" si="0"/>
        <v>1.05975</v>
      </c>
      <c r="M30" s="160">
        <f>IF(VLOOKUP($I30,Max_Load_France!$B$2:$M$102,3,FALSE)="","",VLOOKUP($I30,Max_Load_France!$B$2:$M$102,3,FALSE))</f>
        <v>0</v>
      </c>
      <c r="N30" s="160">
        <f>IF(VLOOKUP($I30,Max_Load_France!$B$2:$M$102,4,FALSE)="","",VLOOKUP($I30,Max_Load_France!$B$2:$M$102,4,FALSE))</f>
        <v>0</v>
      </c>
      <c r="O30" s="160">
        <f>IF(VLOOKUP($I30,Max_Load_France!$B$2:$M$102,5,FALSE)="","",VLOOKUP($I30,Max_Load_France!$B$2:$M$102,5,FALSE))</f>
        <v>1</v>
      </c>
      <c r="P30" s="160">
        <f>IF(VLOOKUP($I30,Max_Load_France!$B$2:$M$102,6,FALSE)="","",VLOOKUP($I30,Max_Load_France!$B$2:$M$102,6,FALSE))</f>
        <v>1</v>
      </c>
      <c r="Q30" s="160">
        <f>IF(VLOOKUP($I30,Max_Load_France!$B$2:$M$102,7,FALSE)="","",VLOOKUP($I30,Max_Load_France!$B$2:$M$102,7,FALSE))</f>
        <v>1</v>
      </c>
      <c r="R30" s="160" t="str">
        <f>IF(VLOOKUP($I30,Max_Load_France!$B$2:$M$102,8,FALSE)="","",VLOOKUP($I30,Max_Load_France!$B$2:$M$102,8,FALSE))</f>
        <v/>
      </c>
      <c r="S30" s="160" t="str">
        <f>IF(VLOOKUP($I30,Max_Load_France!$B$2:$M$102,9,FALSE)="","",VLOOKUP($I30,Max_Load_France!$B$2:$M$102,9,FALSE))</f>
        <v/>
      </c>
      <c r="T30" s="160" t="str">
        <f>IF(VLOOKUP($I30,Max_Load_France!$B$2:$M$102,10,FALSE)="","",VLOOKUP($I30,Max_Load_France!$B$2:$M$102,10,FALSE))</f>
        <v/>
      </c>
      <c r="U30" s="160" t="str">
        <f>IF(VLOOKUP($I30,Max_Load_France!$B$2:$M$102,11,FALSE)="","",VLOOKUP($I30,Max_Load_France!$B$2:$M$102,11,FALSE))</f>
        <v/>
      </c>
      <c r="V30" s="160">
        <f>IF(VLOOKUP($I30,Max_Load_France!$B$2:$M$102,12,FALSE)="","",VLOOKUP($I30,Max_Load_France!$B$2:$M$102,12,FALSE))</f>
        <v>5</v>
      </c>
      <c r="W30" s="172">
        <f t="shared" si="2"/>
        <v>42.39</v>
      </c>
      <c r="X30" s="173">
        <v>5.77</v>
      </c>
      <c r="Y30" s="173">
        <v>7.9</v>
      </c>
      <c r="Z30" s="173">
        <v>10.5</v>
      </c>
      <c r="AA30" s="173">
        <v>9.4700000000000006</v>
      </c>
      <c r="AB30" s="173">
        <v>8.75</v>
      </c>
      <c r="AC30" s="179"/>
      <c r="AD30" s="179"/>
      <c r="AE30" s="179"/>
      <c r="AF30" s="179"/>
      <c r="AG30" s="176">
        <f t="shared" si="3"/>
        <v>28.72</v>
      </c>
      <c r="AH30" s="176"/>
      <c r="AI30" s="176"/>
      <c r="AJ30" s="176"/>
      <c r="AK30" s="177">
        <f t="shared" si="7"/>
        <v>43.273853211009168</v>
      </c>
      <c r="AL30" s="173">
        <v>5.7327217125382264</v>
      </c>
      <c r="AM30" s="173">
        <v>9.1129459734964318</v>
      </c>
      <c r="AN30" s="173">
        <v>8.4363812436289507</v>
      </c>
      <c r="AO30" s="173">
        <v>11.132008154943934</v>
      </c>
      <c r="AP30" s="180">
        <v>8.8597961264016298</v>
      </c>
      <c r="AQ30" s="181"/>
      <c r="AR30" s="181"/>
      <c r="AS30" s="181"/>
      <c r="AT30" s="181"/>
      <c r="AU30" s="176">
        <f t="shared" si="8"/>
        <v>28.428185524974513</v>
      </c>
      <c r="AV30" s="176"/>
      <c r="AW30" s="176"/>
      <c r="AX30" s="176"/>
      <c r="AY30" s="170">
        <f t="shared" si="12"/>
        <v>2.0850512172898506E-2</v>
      </c>
      <c r="AZ30" s="170">
        <f t="shared" si="12"/>
        <v>-6.460708398920832E-3</v>
      </c>
      <c r="BA30" s="170">
        <f t="shared" si="12"/>
        <v>0.15353746499954826</v>
      </c>
      <c r="BB30" s="170">
        <f t="shared" si="12"/>
        <v>-0.19653511965438564</v>
      </c>
      <c r="BC30" s="170">
        <f t="shared" si="12"/>
        <v>0.17550244508383667</v>
      </c>
      <c r="BD30" s="170">
        <f t="shared" si="12"/>
        <v>1.2548128731614839E-2</v>
      </c>
      <c r="BE30" s="168" t="str">
        <f t="shared" si="12"/>
        <v/>
      </c>
      <c r="BF30" s="168" t="str">
        <f t="shared" si="12"/>
        <v/>
      </c>
      <c r="BG30" s="168" t="str">
        <f t="shared" si="12"/>
        <v/>
      </c>
      <c r="BH30" s="168" t="str">
        <f t="shared" si="12"/>
        <v/>
      </c>
      <c r="BI30" s="170">
        <f t="shared" si="12"/>
        <v>-1.0160671135984891E-2</v>
      </c>
      <c r="BJ30" s="168"/>
      <c r="BK30" s="168"/>
      <c r="BL30" s="168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</row>
    <row r="31" spans="1:78" s="85" customFormat="1">
      <c r="A31" s="163" t="s">
        <v>306</v>
      </c>
      <c r="B31" s="167"/>
      <c r="C31" s="169"/>
      <c r="D31" s="160"/>
      <c r="E31" s="161"/>
      <c r="F31" s="160"/>
      <c r="G31" s="160"/>
      <c r="H31" s="160"/>
      <c r="I31" s="164" t="s">
        <v>94</v>
      </c>
      <c r="J31" s="167">
        <f>IF(ISERROR(VLOOKUP(I31,Max_Load_France!$B$2:$C$102,2,FALSE)/1000),"",VLOOKUP(I31,Max_Load_France!$B$2:$C$102,2,FALSE)/1000)</f>
        <v>40</v>
      </c>
      <c r="K31" s="157"/>
      <c r="L31" s="158">
        <f t="shared" si="0"/>
        <v>1.05975</v>
      </c>
      <c r="M31" s="160">
        <f>IF(VLOOKUP($I31,Max_Load_France!$B$2:$M$102,3,FALSE)="","",VLOOKUP($I31,Max_Load_France!$B$2:$M$102,3,FALSE))</f>
        <v>0</v>
      </c>
      <c r="N31" s="160">
        <f>IF(VLOOKUP($I31,Max_Load_France!$B$2:$M$102,4,FALSE)="","",VLOOKUP($I31,Max_Load_France!$B$2:$M$102,4,FALSE))</f>
        <v>0</v>
      </c>
      <c r="O31" s="160">
        <f>IF(VLOOKUP($I31,Max_Load_France!$B$2:$M$102,5,FALSE)="","",VLOOKUP($I31,Max_Load_France!$B$2:$M$102,5,FALSE))</f>
        <v>1</v>
      </c>
      <c r="P31" s="160">
        <f>IF(VLOOKUP($I31,Max_Load_France!$B$2:$M$102,6,FALSE)="","",VLOOKUP($I31,Max_Load_France!$B$2:$M$102,6,FALSE))</f>
        <v>1</v>
      </c>
      <c r="Q31" s="160">
        <f>IF(VLOOKUP($I31,Max_Load_France!$B$2:$M$102,7,FALSE)="","",VLOOKUP($I31,Max_Load_France!$B$2:$M$102,7,FALSE))</f>
        <v>1</v>
      </c>
      <c r="R31" s="160" t="str">
        <f>IF(VLOOKUP($I31,Max_Load_France!$B$2:$M$102,8,FALSE)="","",VLOOKUP($I31,Max_Load_France!$B$2:$M$102,8,FALSE))</f>
        <v/>
      </c>
      <c r="S31" s="160" t="str">
        <f>IF(VLOOKUP($I31,Max_Load_France!$B$2:$M$102,9,FALSE)="","",VLOOKUP($I31,Max_Load_France!$B$2:$M$102,9,FALSE))</f>
        <v/>
      </c>
      <c r="T31" s="160" t="str">
        <f>IF(VLOOKUP($I31,Max_Load_France!$B$2:$M$102,10,FALSE)="","",VLOOKUP($I31,Max_Load_France!$B$2:$M$102,10,FALSE))</f>
        <v/>
      </c>
      <c r="U31" s="160" t="str">
        <f>IF(VLOOKUP($I31,Max_Load_France!$B$2:$M$102,11,FALSE)="","",VLOOKUP($I31,Max_Load_France!$B$2:$M$102,11,FALSE))</f>
        <v/>
      </c>
      <c r="V31" s="160">
        <f>IF(VLOOKUP($I31,Max_Load_France!$B$2:$M$102,12,FALSE)="","",VLOOKUP($I31,Max_Load_France!$B$2:$M$102,12,FALSE))</f>
        <v>5</v>
      </c>
      <c r="W31" s="172">
        <f t="shared" si="2"/>
        <v>42.39</v>
      </c>
      <c r="X31" s="173">
        <v>5.77</v>
      </c>
      <c r="Y31" s="173">
        <v>7.9</v>
      </c>
      <c r="Z31" s="173">
        <v>10.5</v>
      </c>
      <c r="AA31" s="173">
        <v>9.4700000000000006</v>
      </c>
      <c r="AB31" s="173">
        <v>8.75</v>
      </c>
      <c r="AC31" s="175"/>
      <c r="AD31" s="175"/>
      <c r="AE31" s="175"/>
      <c r="AF31" s="175"/>
      <c r="AG31" s="176">
        <f t="shared" si="3"/>
        <v>28.72</v>
      </c>
      <c r="AH31" s="176"/>
      <c r="AI31" s="176"/>
      <c r="AJ31" s="176"/>
      <c r="AK31" s="177">
        <f t="shared" si="7"/>
        <v>44.471773700305803</v>
      </c>
      <c r="AL31" s="173">
        <v>5.9306625891946991</v>
      </c>
      <c r="AM31" s="173">
        <v>8.963160040774719</v>
      </c>
      <c r="AN31" s="173">
        <v>9.9892354740061151</v>
      </c>
      <c r="AO31" s="173">
        <v>9.7872477064220185</v>
      </c>
      <c r="AP31" s="173">
        <v>9.8014678899082561</v>
      </c>
      <c r="AQ31" s="175"/>
      <c r="AR31" s="175"/>
      <c r="AS31" s="175"/>
      <c r="AT31" s="175"/>
      <c r="AU31" s="176">
        <f t="shared" si="8"/>
        <v>29.57795107033639</v>
      </c>
      <c r="AV31" s="176"/>
      <c r="AW31" s="176"/>
      <c r="AX31" s="176"/>
      <c r="AY31" s="170">
        <f t="shared" si="12"/>
        <v>4.9110018879589594E-2</v>
      </c>
      <c r="AZ31" s="170">
        <f t="shared" si="12"/>
        <v>2.7844469531143771E-2</v>
      </c>
      <c r="BA31" s="170">
        <f t="shared" si="12"/>
        <v>0.13457722035123021</v>
      </c>
      <c r="BB31" s="170">
        <f t="shared" si="12"/>
        <v>-4.8644240570846181E-2</v>
      </c>
      <c r="BC31" s="170">
        <f t="shared" si="12"/>
        <v>3.3500285789019833E-2</v>
      </c>
      <c r="BD31" s="170">
        <f t="shared" si="12"/>
        <v>0.12016775884665784</v>
      </c>
      <c r="BE31" s="168" t="str">
        <f t="shared" si="12"/>
        <v/>
      </c>
      <c r="BF31" s="168" t="str">
        <f t="shared" si="12"/>
        <v/>
      </c>
      <c r="BG31" s="168" t="str">
        <f t="shared" si="12"/>
        <v/>
      </c>
      <c r="BH31" s="168" t="str">
        <f t="shared" si="12"/>
        <v/>
      </c>
      <c r="BI31" s="170">
        <f t="shared" si="12"/>
        <v>2.9872948131489933E-2</v>
      </c>
      <c r="BJ31" s="168"/>
      <c r="BK31" s="168"/>
      <c r="BL31" s="168"/>
      <c r="BM31" s="76"/>
      <c r="BN31" s="76"/>
    </row>
    <row r="32" spans="1:78" s="85" customFormat="1">
      <c r="A32" s="163" t="s">
        <v>307</v>
      </c>
      <c r="B32" s="167"/>
      <c r="C32" s="169"/>
      <c r="D32" s="160"/>
      <c r="E32" s="161"/>
      <c r="F32" s="160"/>
      <c r="G32" s="160"/>
      <c r="H32" s="160"/>
      <c r="I32" s="164" t="s">
        <v>94</v>
      </c>
      <c r="J32" s="167">
        <f>IF(ISERROR(VLOOKUP(I32,Max_Load_France!$B$2:$C$102,2,FALSE)/1000),"",VLOOKUP(I32,Max_Load_France!$B$2:$C$102,2,FALSE)/1000)</f>
        <v>40</v>
      </c>
      <c r="K32" s="157"/>
      <c r="L32" s="158">
        <f t="shared" si="0"/>
        <v>1.05975</v>
      </c>
      <c r="M32" s="160">
        <f>IF(VLOOKUP($I32,Max_Load_France!$B$2:$M$102,3,FALSE)="","",VLOOKUP($I32,Max_Load_France!$B$2:$M$102,3,FALSE))</f>
        <v>0</v>
      </c>
      <c r="N32" s="160">
        <f>IF(VLOOKUP($I32,Max_Load_France!$B$2:$M$102,4,FALSE)="","",VLOOKUP($I32,Max_Load_France!$B$2:$M$102,4,FALSE))</f>
        <v>0</v>
      </c>
      <c r="O32" s="160">
        <f>IF(VLOOKUP($I32,Max_Load_France!$B$2:$M$102,5,FALSE)="","",VLOOKUP($I32,Max_Load_France!$B$2:$M$102,5,FALSE))</f>
        <v>1</v>
      </c>
      <c r="P32" s="160">
        <f>IF(VLOOKUP($I32,Max_Load_France!$B$2:$M$102,6,FALSE)="","",VLOOKUP($I32,Max_Load_France!$B$2:$M$102,6,FALSE))</f>
        <v>1</v>
      </c>
      <c r="Q32" s="160">
        <f>IF(VLOOKUP($I32,Max_Load_France!$B$2:$M$102,7,FALSE)="","",VLOOKUP($I32,Max_Load_France!$B$2:$M$102,7,FALSE))</f>
        <v>1</v>
      </c>
      <c r="R32" s="160" t="str">
        <f>IF(VLOOKUP($I32,Max_Load_France!$B$2:$M$102,8,FALSE)="","",VLOOKUP($I32,Max_Load_France!$B$2:$M$102,8,FALSE))</f>
        <v/>
      </c>
      <c r="S32" s="160" t="str">
        <f>IF(VLOOKUP($I32,Max_Load_France!$B$2:$M$102,9,FALSE)="","",VLOOKUP($I32,Max_Load_France!$B$2:$M$102,9,FALSE))</f>
        <v/>
      </c>
      <c r="T32" s="160" t="str">
        <f>IF(VLOOKUP($I32,Max_Load_France!$B$2:$M$102,10,FALSE)="","",VLOOKUP($I32,Max_Load_France!$B$2:$M$102,10,FALSE))</f>
        <v/>
      </c>
      <c r="U32" s="160" t="str">
        <f>IF(VLOOKUP($I32,Max_Load_France!$B$2:$M$102,11,FALSE)="","",VLOOKUP($I32,Max_Load_France!$B$2:$M$102,11,FALSE))</f>
        <v/>
      </c>
      <c r="V32" s="160">
        <f>IF(VLOOKUP($I32,Max_Load_France!$B$2:$M$102,12,FALSE)="","",VLOOKUP($I32,Max_Load_France!$B$2:$M$102,12,FALSE))</f>
        <v>5</v>
      </c>
      <c r="W32" s="172">
        <f t="shared" si="2"/>
        <v>42.39</v>
      </c>
      <c r="X32" s="173">
        <v>5.77</v>
      </c>
      <c r="Y32" s="173">
        <v>7.9</v>
      </c>
      <c r="Z32" s="173">
        <v>10.5</v>
      </c>
      <c r="AA32" s="173">
        <v>9.4700000000000006</v>
      </c>
      <c r="AB32" s="173">
        <v>8.75</v>
      </c>
      <c r="AC32" s="175"/>
      <c r="AD32" s="175"/>
      <c r="AE32" s="175"/>
      <c r="AF32" s="175"/>
      <c r="AG32" s="176">
        <f t="shared" si="3"/>
        <v>28.72</v>
      </c>
      <c r="AH32" s="176"/>
      <c r="AI32" s="176"/>
      <c r="AJ32" s="176"/>
      <c r="AK32" s="177">
        <f t="shared" si="7"/>
        <v>46.173496432212026</v>
      </c>
      <c r="AL32" s="173">
        <v>6.3985015290519875</v>
      </c>
      <c r="AM32" s="173">
        <v>9.4485626911314977</v>
      </c>
      <c r="AN32" s="173">
        <v>10.296126401630987</v>
      </c>
      <c r="AO32" s="173">
        <v>9.9989908256880735</v>
      </c>
      <c r="AP32" s="173">
        <v>10.03131498470948</v>
      </c>
      <c r="AQ32" s="175"/>
      <c r="AR32" s="175"/>
      <c r="AS32" s="175"/>
      <c r="AT32" s="175"/>
      <c r="AU32" s="176">
        <f t="shared" si="8"/>
        <v>30.326432212028543</v>
      </c>
      <c r="AV32" s="176"/>
      <c r="AW32" s="176"/>
      <c r="AX32" s="176"/>
      <c r="AY32" s="170">
        <f t="shared" si="12"/>
        <v>8.9254456999575973E-2</v>
      </c>
      <c r="AZ32" s="170">
        <f t="shared" si="12"/>
        <v>0.10892574160346413</v>
      </c>
      <c r="BA32" s="170">
        <f t="shared" si="12"/>
        <v>0.19602059381411358</v>
      </c>
      <c r="BB32" s="170">
        <f t="shared" si="12"/>
        <v>-1.9416533178001214E-2</v>
      </c>
      <c r="BC32" s="170">
        <f t="shared" si="12"/>
        <v>5.5859643684062599E-2</v>
      </c>
      <c r="BD32" s="170">
        <f t="shared" si="12"/>
        <v>0.14643599825251202</v>
      </c>
      <c r="BE32" s="168" t="str">
        <f t="shared" si="12"/>
        <v/>
      </c>
      <c r="BF32" s="168" t="str">
        <f t="shared" si="12"/>
        <v/>
      </c>
      <c r="BG32" s="168" t="str">
        <f t="shared" si="12"/>
        <v/>
      </c>
      <c r="BH32" s="168" t="str">
        <f t="shared" si="12"/>
        <v/>
      </c>
      <c r="BI32" s="170">
        <f t="shared" si="12"/>
        <v>5.5934269221049583E-2</v>
      </c>
      <c r="BJ32" s="168"/>
      <c r="BK32" s="168"/>
      <c r="BL32" s="168"/>
      <c r="BM32" s="76"/>
      <c r="BN32" s="76"/>
    </row>
    <row r="33" spans="1:66" s="85" customFormat="1">
      <c r="A33" s="163" t="s">
        <v>308</v>
      </c>
      <c r="B33" s="167"/>
      <c r="C33" s="169"/>
      <c r="D33" s="160"/>
      <c r="E33" s="161"/>
      <c r="F33" s="160"/>
      <c r="G33" s="160"/>
      <c r="H33" s="160"/>
      <c r="I33" s="164" t="s">
        <v>94</v>
      </c>
      <c r="J33" s="167">
        <f>IF(ISERROR(VLOOKUP(I33,Max_Load_France!$B$2:$C$102,2,FALSE)/1000),"",VLOOKUP(I33,Max_Load_France!$B$2:$C$102,2,FALSE)/1000)</f>
        <v>40</v>
      </c>
      <c r="K33" s="157"/>
      <c r="L33" s="158">
        <f t="shared" si="0"/>
        <v>1.05975</v>
      </c>
      <c r="M33" s="160">
        <f>IF(VLOOKUP($I33,Max_Load_France!$B$2:$M$102,3,FALSE)="","",VLOOKUP($I33,Max_Load_France!$B$2:$M$102,3,FALSE))</f>
        <v>0</v>
      </c>
      <c r="N33" s="160">
        <f>IF(VLOOKUP($I33,Max_Load_France!$B$2:$M$102,4,FALSE)="","",VLOOKUP($I33,Max_Load_France!$B$2:$M$102,4,FALSE))</f>
        <v>0</v>
      </c>
      <c r="O33" s="160">
        <f>IF(VLOOKUP($I33,Max_Load_France!$B$2:$M$102,5,FALSE)="","",VLOOKUP($I33,Max_Load_France!$B$2:$M$102,5,FALSE))</f>
        <v>1</v>
      </c>
      <c r="P33" s="160">
        <f>IF(VLOOKUP($I33,Max_Load_France!$B$2:$M$102,6,FALSE)="","",VLOOKUP($I33,Max_Load_France!$B$2:$M$102,6,FALSE))</f>
        <v>1</v>
      </c>
      <c r="Q33" s="160">
        <f>IF(VLOOKUP($I33,Max_Load_France!$B$2:$M$102,7,FALSE)="","",VLOOKUP($I33,Max_Load_France!$B$2:$M$102,7,FALSE))</f>
        <v>1</v>
      </c>
      <c r="R33" s="160" t="str">
        <f>IF(VLOOKUP($I33,Max_Load_France!$B$2:$M$102,8,FALSE)="","",VLOOKUP($I33,Max_Load_France!$B$2:$M$102,8,FALSE))</f>
        <v/>
      </c>
      <c r="S33" s="160" t="str">
        <f>IF(VLOOKUP($I33,Max_Load_France!$B$2:$M$102,9,FALSE)="","",VLOOKUP($I33,Max_Load_France!$B$2:$M$102,9,FALSE))</f>
        <v/>
      </c>
      <c r="T33" s="160" t="str">
        <f>IF(VLOOKUP($I33,Max_Load_France!$B$2:$M$102,10,FALSE)="","",VLOOKUP($I33,Max_Load_France!$B$2:$M$102,10,FALSE))</f>
        <v/>
      </c>
      <c r="U33" s="160" t="str">
        <f>IF(VLOOKUP($I33,Max_Load_France!$B$2:$M$102,11,FALSE)="","",VLOOKUP($I33,Max_Load_France!$B$2:$M$102,11,FALSE))</f>
        <v/>
      </c>
      <c r="V33" s="160">
        <f>IF(VLOOKUP($I33,Max_Load_France!$B$2:$M$102,12,FALSE)="","",VLOOKUP($I33,Max_Load_France!$B$2:$M$102,12,FALSE))</f>
        <v>5</v>
      </c>
      <c r="W33" s="172">
        <f t="shared" si="2"/>
        <v>42.39</v>
      </c>
      <c r="X33" s="173">
        <v>5.77</v>
      </c>
      <c r="Y33" s="173">
        <v>7.9</v>
      </c>
      <c r="Z33" s="173">
        <v>10.5</v>
      </c>
      <c r="AA33" s="173">
        <v>9.4700000000000006</v>
      </c>
      <c r="AB33" s="173">
        <v>8.75</v>
      </c>
      <c r="AC33" s="175"/>
      <c r="AD33" s="175"/>
      <c r="AE33" s="175"/>
      <c r="AF33" s="175"/>
      <c r="AG33" s="176">
        <f t="shared" si="3"/>
        <v>28.72</v>
      </c>
      <c r="AH33" s="176"/>
      <c r="AI33" s="176"/>
      <c r="AJ33" s="176"/>
      <c r="AK33" s="177">
        <f t="shared" si="7"/>
        <v>35.938552497451582</v>
      </c>
      <c r="AL33" s="173">
        <v>4.2451478083588174</v>
      </c>
      <c r="AM33" s="173">
        <v>6.3460040774719673</v>
      </c>
      <c r="AN33" s="173">
        <v>7.1902752293577983</v>
      </c>
      <c r="AO33" s="173">
        <v>10.829357798165137</v>
      </c>
      <c r="AP33" s="173">
        <v>7.3277675840978596</v>
      </c>
      <c r="AQ33" s="175"/>
      <c r="AR33" s="175"/>
      <c r="AS33" s="175"/>
      <c r="AT33" s="175"/>
      <c r="AU33" s="176">
        <f t="shared" si="8"/>
        <v>25.347400611620795</v>
      </c>
      <c r="AV33" s="176"/>
      <c r="AW33" s="176"/>
      <c r="AX33" s="176"/>
      <c r="AY33" s="170">
        <f t="shared" si="12"/>
        <v>-0.15219267521935406</v>
      </c>
      <c r="AZ33" s="170">
        <f t="shared" si="12"/>
        <v>-0.26427247688755323</v>
      </c>
      <c r="BA33" s="170">
        <f t="shared" si="12"/>
        <v>-0.19670834462380166</v>
      </c>
      <c r="BB33" s="170">
        <f t="shared" si="12"/>
        <v>-0.31521188291830493</v>
      </c>
      <c r="BC33" s="170">
        <f t="shared" si="12"/>
        <v>0.14354359009135551</v>
      </c>
      <c r="BD33" s="170">
        <f t="shared" si="12"/>
        <v>-0.16254084753167319</v>
      </c>
      <c r="BE33" s="168" t="str">
        <f t="shared" si="12"/>
        <v/>
      </c>
      <c r="BF33" s="168" t="str">
        <f t="shared" si="12"/>
        <v/>
      </c>
      <c r="BG33" s="168" t="str">
        <f t="shared" si="12"/>
        <v/>
      </c>
      <c r="BH33" s="168" t="str">
        <f t="shared" si="12"/>
        <v/>
      </c>
      <c r="BI33" s="170">
        <f t="shared" si="12"/>
        <v>-0.11743034082100291</v>
      </c>
      <c r="BJ33" s="168"/>
      <c r="BK33" s="168"/>
      <c r="BL33" s="168"/>
      <c r="BM33" s="76"/>
      <c r="BN33" s="76"/>
    </row>
    <row r="34" spans="1:66" ht="12.75">
      <c r="A34" s="73"/>
      <c r="B34" s="74"/>
      <c r="C34" s="91"/>
      <c r="I34" s="74"/>
      <c r="J34" s="74"/>
      <c r="L34" s="98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99"/>
      <c r="X34" s="110"/>
      <c r="Y34" s="110"/>
      <c r="Z34" s="110"/>
      <c r="AA34" s="110"/>
      <c r="AB34" s="110"/>
      <c r="AC34" s="110"/>
      <c r="AD34" s="110"/>
      <c r="AE34" s="110"/>
      <c r="AF34" s="110"/>
      <c r="AG34" s="75"/>
      <c r="AH34" s="75"/>
      <c r="AI34" s="75"/>
      <c r="AJ34" s="75"/>
      <c r="AK34" s="106"/>
      <c r="AL34" s="111"/>
      <c r="AM34" s="111"/>
      <c r="AN34" s="100"/>
      <c r="AO34" s="111"/>
      <c r="AP34" s="111"/>
      <c r="AQ34" s="111"/>
      <c r="AR34" s="111"/>
      <c r="AS34" s="111"/>
      <c r="AT34" s="111"/>
      <c r="AU34" s="75"/>
      <c r="AV34" s="75"/>
      <c r="AW34" s="75"/>
      <c r="AX34" s="75"/>
      <c r="AY34" s="171"/>
      <c r="AZ34" s="171"/>
      <c r="BA34" s="171"/>
      <c r="BB34" s="171"/>
      <c r="BC34" s="171"/>
      <c r="BD34" s="171"/>
      <c r="BE34" s="104"/>
      <c r="BF34" s="104"/>
      <c r="BG34" s="104"/>
      <c r="BH34" s="104"/>
      <c r="BI34" s="104"/>
      <c r="BJ34" s="104"/>
      <c r="BK34" s="104"/>
      <c r="BL34" s="104"/>
      <c r="BM34" s="76"/>
      <c r="BN34" s="76"/>
    </row>
    <row r="35" spans="1:66" ht="12.75">
      <c r="A35" s="73"/>
      <c r="B35" s="74"/>
      <c r="C35" s="91"/>
      <c r="I35" s="74"/>
      <c r="J35" s="74"/>
      <c r="L35" s="98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99"/>
      <c r="X35" s="110"/>
      <c r="Y35" s="110"/>
      <c r="Z35" s="110"/>
      <c r="AA35" s="110"/>
      <c r="AB35" s="110"/>
      <c r="AC35" s="110"/>
      <c r="AD35" s="110"/>
      <c r="AE35" s="110"/>
      <c r="AF35" s="110"/>
      <c r="AG35" s="75"/>
      <c r="AH35" s="75"/>
      <c r="AI35" s="75"/>
      <c r="AJ35" s="75"/>
      <c r="AK35" s="106"/>
      <c r="AL35" s="111"/>
      <c r="AM35" s="111"/>
      <c r="AN35" s="111"/>
      <c r="AO35" s="111"/>
      <c r="AP35" s="111"/>
      <c r="AQ35" s="111"/>
      <c r="AR35" s="111"/>
      <c r="AS35" s="111"/>
      <c r="AT35" s="111"/>
      <c r="AU35" s="75"/>
      <c r="AV35" s="75"/>
      <c r="AW35" s="75"/>
      <c r="AX35" s="75"/>
      <c r="AY35" s="171"/>
      <c r="AZ35" s="171"/>
      <c r="BA35" s="171"/>
      <c r="BB35" s="171"/>
      <c r="BC35" s="171"/>
      <c r="BD35" s="171"/>
      <c r="BE35" s="104"/>
      <c r="BF35" s="104"/>
      <c r="BG35" s="104"/>
      <c r="BH35" s="104"/>
      <c r="BI35" s="104"/>
      <c r="BJ35" s="104"/>
      <c r="BK35" s="104"/>
      <c r="BL35" s="104"/>
      <c r="BM35" s="76"/>
      <c r="BN35" s="76"/>
    </row>
    <row r="36" spans="1:66" ht="12.75">
      <c r="A36" s="73"/>
      <c r="B36" s="74"/>
      <c r="C36" s="91"/>
      <c r="I36" s="74"/>
      <c r="J36" s="74"/>
      <c r="L36" s="98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99"/>
      <c r="X36" s="110"/>
      <c r="Y36" s="110"/>
      <c r="Z36" s="110"/>
      <c r="AA36" s="110"/>
      <c r="AB36" s="110"/>
      <c r="AC36" s="110"/>
      <c r="AD36" s="110"/>
      <c r="AE36" s="110"/>
      <c r="AF36" s="110"/>
      <c r="AG36" s="75"/>
      <c r="AH36" s="75"/>
      <c r="AI36" s="75"/>
      <c r="AJ36" s="75"/>
      <c r="AK36" s="106"/>
      <c r="AL36" s="111"/>
      <c r="AM36" s="111"/>
      <c r="AN36" s="111"/>
      <c r="AO36" s="111"/>
      <c r="AP36" s="111"/>
      <c r="AQ36" s="111"/>
      <c r="AR36" s="111"/>
      <c r="AS36" s="111"/>
      <c r="AT36" s="111"/>
      <c r="AU36" s="75"/>
      <c r="AV36" s="75"/>
      <c r="AW36" s="75"/>
      <c r="AX36" s="75"/>
      <c r="AY36" s="171"/>
      <c r="AZ36" s="171"/>
      <c r="BA36" s="171"/>
      <c r="BB36" s="171"/>
      <c r="BC36" s="171"/>
      <c r="BD36" s="171"/>
      <c r="BE36" s="104"/>
      <c r="BF36" s="104"/>
      <c r="BG36" s="104"/>
      <c r="BH36" s="104"/>
      <c r="BI36" s="104"/>
      <c r="BJ36" s="104"/>
      <c r="BK36" s="104"/>
      <c r="BL36" s="104"/>
      <c r="BM36" s="76"/>
      <c r="BN36" s="76"/>
    </row>
  </sheetData>
  <dataConsolidate/>
  <mergeCells count="28">
    <mergeCell ref="AY10:BL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  <mergeCell ref="C5:H5"/>
    <mergeCell ref="Z5:AG5"/>
    <mergeCell ref="AQ5:AX5"/>
    <mergeCell ref="C6:H6"/>
    <mergeCell ref="Z6:AG6"/>
    <mergeCell ref="AQ6:AX6"/>
    <mergeCell ref="C3:H3"/>
    <mergeCell ref="Z3:AK3"/>
    <mergeCell ref="AQ3:BB3"/>
    <mergeCell ref="C4:H4"/>
    <mergeCell ref="Z4:AG4"/>
    <mergeCell ref="AQ4:AX4"/>
  </mergeCells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Donnée non valide" error="Ce type n'existe pas">
          <x14:formula1>
            <xm:f>Max_Load_France!$B$3:$B$100</xm:f>
          </x14:formula1>
          <xm:sqref>I34:I36</xm:sqref>
        </x14:dataValidation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  <pageSetUpPr fitToPage="1"/>
  </sheetPr>
  <dimension ref="A1:BZ39"/>
  <sheetViews>
    <sheetView topLeftCell="A22" zoomScaleNormal="100" workbookViewId="0">
      <selection activeCell="A40" sqref="A40:XFD1048576"/>
    </sheetView>
  </sheetViews>
  <sheetFormatPr baseColWidth="10" defaultColWidth="11.5703125" defaultRowHeight="11.25"/>
  <cols>
    <col min="1" max="1" width="19.28515625" style="87" bestFit="1" customWidth="1"/>
    <col min="2" max="2" width="18.140625" style="87" hidden="1" customWidth="1"/>
    <col min="3" max="4" width="13.85546875" style="87" hidden="1" customWidth="1"/>
    <col min="5" max="5" width="4.140625" style="96" hidden="1" customWidth="1"/>
    <col min="6" max="6" width="3.140625" style="87" hidden="1" customWidth="1"/>
    <col min="7" max="7" width="4" style="87" hidden="1" customWidth="1"/>
    <col min="8" max="8" width="4.85546875" style="87" hidden="1" customWidth="1"/>
    <col min="9" max="9" width="5.28515625" style="87" bestFit="1" customWidth="1"/>
    <col min="10" max="10" width="6.5703125" style="87" customWidth="1"/>
    <col min="11" max="11" width="4.140625" style="87" bestFit="1" customWidth="1"/>
    <col min="12" max="12" width="9.7109375" style="96" customWidth="1"/>
    <col min="13" max="13" width="3.7109375" style="87" customWidth="1"/>
    <col min="14" max="15" width="3.5703125" style="87" customWidth="1"/>
    <col min="16" max="16" width="3.42578125" style="87" customWidth="1"/>
    <col min="17" max="17" width="4.42578125" style="87" customWidth="1"/>
    <col min="18" max="18" width="3.85546875" style="87" customWidth="1"/>
    <col min="19" max="19" width="3.7109375" style="87" hidden="1" customWidth="1"/>
    <col min="20" max="21" width="3.42578125" style="87" hidden="1" customWidth="1"/>
    <col min="22" max="22" width="4.42578125" style="87" customWidth="1"/>
    <col min="23" max="23" width="5.28515625" style="88" customWidth="1"/>
    <col min="24" max="25" width="4" style="96" bestFit="1" customWidth="1"/>
    <col min="26" max="26" width="4.85546875" style="96" bestFit="1" customWidth="1"/>
    <col min="27" max="28" width="4" style="96" bestFit="1" customWidth="1"/>
    <col min="29" max="29" width="5" style="96" customWidth="1"/>
    <col min="30" max="32" width="5" style="96" hidden="1" customWidth="1"/>
    <col min="33" max="33" width="7" style="90" customWidth="1"/>
    <col min="34" max="34" width="6.7109375" style="90" customWidth="1"/>
    <col min="35" max="35" width="7.140625" style="90" customWidth="1"/>
    <col min="36" max="36" width="6.5703125" style="90" customWidth="1"/>
    <col min="37" max="37" width="5.28515625" style="88" bestFit="1" customWidth="1"/>
    <col min="38" max="38" width="4" style="96" bestFit="1" customWidth="1"/>
    <col min="39" max="42" width="4.85546875" style="96" bestFit="1" customWidth="1"/>
    <col min="43" max="46" width="2.7109375" style="96" bestFit="1" customWidth="1"/>
    <col min="47" max="47" width="4.85546875" style="90" bestFit="1" customWidth="1"/>
    <col min="48" max="50" width="3.85546875" style="90" bestFit="1" customWidth="1"/>
    <col min="51" max="56" width="6.85546875" style="88" bestFit="1" customWidth="1"/>
    <col min="57" max="57" width="6.7109375" style="88" customWidth="1"/>
    <col min="58" max="60" width="6.7109375" style="88" hidden="1" customWidth="1"/>
    <col min="61" max="61" width="7.7109375" style="88" customWidth="1"/>
    <col min="62" max="64" width="5.42578125" style="88" customWidth="1"/>
    <col min="65" max="16384" width="11.5703125" style="77"/>
  </cols>
  <sheetData>
    <row r="1" spans="1:7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</row>
    <row r="2" spans="1:78" ht="1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8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</row>
    <row r="3" spans="1:78" ht="27" customHeight="1">
      <c r="A3" s="77"/>
      <c r="B3" s="153" t="s">
        <v>0</v>
      </c>
      <c r="C3" s="406" t="s">
        <v>89</v>
      </c>
      <c r="D3" s="406"/>
      <c r="E3" s="406"/>
      <c r="F3" s="406"/>
      <c r="G3" s="406"/>
      <c r="H3" s="406"/>
      <c r="I3" s="77"/>
      <c r="J3" s="77"/>
      <c r="K3" s="77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76"/>
      <c r="Y3" s="77"/>
      <c r="Z3" s="421" t="s">
        <v>202</v>
      </c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3"/>
      <c r="AL3" s="77"/>
      <c r="AM3" s="77"/>
      <c r="AN3" s="77"/>
      <c r="AO3" s="77"/>
      <c r="AP3" s="77"/>
      <c r="AQ3" s="421" t="s">
        <v>196</v>
      </c>
      <c r="AR3" s="422"/>
      <c r="AS3" s="422"/>
      <c r="AT3" s="422"/>
      <c r="AU3" s="422"/>
      <c r="AV3" s="422"/>
      <c r="AW3" s="422"/>
      <c r="AX3" s="422"/>
      <c r="AY3" s="422"/>
      <c r="AZ3" s="422"/>
      <c r="BA3" s="422"/>
      <c r="BB3" s="423"/>
      <c r="BC3" s="77"/>
      <c r="BD3" s="77"/>
      <c r="BE3" s="77"/>
      <c r="BF3" s="77"/>
      <c r="BG3" s="77"/>
      <c r="BH3" s="77"/>
      <c r="BI3" s="77"/>
      <c r="BJ3" s="77"/>
      <c r="BK3" s="77"/>
      <c r="BL3" s="77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</row>
    <row r="4" spans="1:78" ht="12.75" customHeight="1">
      <c r="A4" s="77"/>
      <c r="B4" s="153" t="s">
        <v>1</v>
      </c>
      <c r="C4" s="406" t="s">
        <v>200</v>
      </c>
      <c r="D4" s="406"/>
      <c r="E4" s="406"/>
      <c r="F4" s="406"/>
      <c r="G4" s="406"/>
      <c r="H4" s="406"/>
      <c r="I4" s="77"/>
      <c r="J4" s="77"/>
      <c r="K4" s="77"/>
      <c r="L4" s="92"/>
      <c r="M4" s="92"/>
      <c r="N4" s="92"/>
      <c r="O4" s="92"/>
      <c r="P4" s="92"/>
      <c r="Q4" s="92"/>
      <c r="R4" s="92"/>
      <c r="S4" s="92"/>
      <c r="T4" s="81"/>
      <c r="U4" s="81"/>
      <c r="V4" s="81"/>
      <c r="W4" s="81"/>
      <c r="X4" s="76"/>
      <c r="Y4" s="77"/>
      <c r="Z4" s="413" t="s">
        <v>2</v>
      </c>
      <c r="AA4" s="414"/>
      <c r="AB4" s="414"/>
      <c r="AC4" s="414"/>
      <c r="AD4" s="414"/>
      <c r="AE4" s="414"/>
      <c r="AF4" s="414"/>
      <c r="AG4" s="415"/>
      <c r="AH4" s="116" t="s">
        <v>3</v>
      </c>
      <c r="AI4" s="116" t="s">
        <v>4</v>
      </c>
      <c r="AJ4" s="116" t="s">
        <v>5</v>
      </c>
      <c r="AK4" s="116" t="s">
        <v>6</v>
      </c>
      <c r="AL4" s="77"/>
      <c r="AM4" s="77"/>
      <c r="AN4" s="77"/>
      <c r="AO4" s="77"/>
      <c r="AP4" s="77"/>
      <c r="AQ4" s="418" t="s">
        <v>2</v>
      </c>
      <c r="AR4" s="419"/>
      <c r="AS4" s="419"/>
      <c r="AT4" s="419"/>
      <c r="AU4" s="419"/>
      <c r="AV4" s="419"/>
      <c r="AW4" s="419"/>
      <c r="AX4" s="420"/>
      <c r="AY4" s="116" t="s">
        <v>3</v>
      </c>
      <c r="AZ4" s="116" t="s">
        <v>4</v>
      </c>
      <c r="BA4" s="116" t="s">
        <v>5</v>
      </c>
      <c r="BB4" s="116" t="s">
        <v>6</v>
      </c>
      <c r="BC4" s="77"/>
      <c r="BD4" s="77"/>
      <c r="BE4" s="77"/>
      <c r="BF4" s="77"/>
      <c r="BG4" s="77"/>
      <c r="BH4" s="66"/>
      <c r="BI4" s="77"/>
      <c r="BJ4" s="77"/>
      <c r="BK4" s="77"/>
      <c r="BL4" s="77"/>
      <c r="BM4" s="76"/>
      <c r="BN4" s="76"/>
      <c r="BO4" s="76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</row>
    <row r="5" spans="1:78" ht="12.75" customHeight="1">
      <c r="A5" s="77"/>
      <c r="B5" s="153" t="s">
        <v>7</v>
      </c>
      <c r="C5" s="406" t="s">
        <v>201</v>
      </c>
      <c r="D5" s="406"/>
      <c r="E5" s="406"/>
      <c r="F5" s="406"/>
      <c r="G5" s="406"/>
      <c r="H5" s="406"/>
      <c r="I5" s="77"/>
      <c r="J5" s="77"/>
      <c r="K5" s="77"/>
      <c r="L5" s="92"/>
      <c r="M5" s="92"/>
      <c r="N5" s="92"/>
      <c r="O5" s="92"/>
      <c r="P5" s="92"/>
      <c r="Q5" s="92"/>
      <c r="R5" s="92"/>
      <c r="S5" s="92"/>
      <c r="T5" s="81"/>
      <c r="U5" s="81"/>
      <c r="V5" s="81"/>
      <c r="W5" s="81"/>
      <c r="X5" s="76"/>
      <c r="Y5" s="77"/>
      <c r="Z5" s="413" t="s">
        <v>8</v>
      </c>
      <c r="AA5" s="414"/>
      <c r="AB5" s="414"/>
      <c r="AC5" s="414"/>
      <c r="AD5" s="414"/>
      <c r="AE5" s="414"/>
      <c r="AF5" s="414"/>
      <c r="AG5" s="415"/>
      <c r="AH5" s="80">
        <f>C6</f>
        <v>25</v>
      </c>
      <c r="AI5" s="80">
        <f>COUNTIF($M$12:$U$39,"&gt;=0")</f>
        <v>125</v>
      </c>
      <c r="AJ5" s="80">
        <f>COUNTIF($M$12:$U$39,"&gt;=1")</f>
        <v>75</v>
      </c>
      <c r="AK5" s="80">
        <f>COUNTIF($AG$12:$AJ$39,"&gt;0")</f>
        <v>25</v>
      </c>
      <c r="AL5" s="77"/>
      <c r="AM5" s="77"/>
      <c r="AN5" s="77"/>
      <c r="AO5" s="77"/>
      <c r="AP5" s="77"/>
      <c r="AQ5" s="413" t="s">
        <v>8</v>
      </c>
      <c r="AR5" s="414"/>
      <c r="AS5" s="414"/>
      <c r="AT5" s="414"/>
      <c r="AU5" s="414"/>
      <c r="AV5" s="414"/>
      <c r="AW5" s="414"/>
      <c r="AX5" s="415"/>
      <c r="AY5" s="80">
        <f>C6</f>
        <v>25</v>
      </c>
      <c r="AZ5" s="80">
        <f>COUNTIF($M$12:$U$39,"&gt;=0")</f>
        <v>125</v>
      </c>
      <c r="BA5" s="80">
        <f>COUNTIF($M$12:$U$39,"&gt;=1")</f>
        <v>75</v>
      </c>
      <c r="BB5" s="80">
        <f>COUNTIF($AG$12:$AJ$39,"&gt;0")</f>
        <v>25</v>
      </c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6"/>
      <c r="BN5" s="76"/>
      <c r="BO5" s="76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</row>
    <row r="6" spans="1:78" ht="12.75" customHeight="1">
      <c r="A6" s="77"/>
      <c r="B6" s="153" t="s">
        <v>9</v>
      </c>
      <c r="C6" s="406">
        <v>25</v>
      </c>
      <c r="D6" s="406"/>
      <c r="E6" s="406"/>
      <c r="F6" s="406"/>
      <c r="G6" s="406"/>
      <c r="H6" s="406"/>
      <c r="I6" s="77"/>
      <c r="J6" s="77"/>
      <c r="K6" s="77"/>
      <c r="L6" s="113"/>
      <c r="M6" s="113"/>
      <c r="N6" s="113"/>
      <c r="O6" s="113"/>
      <c r="P6" s="113"/>
      <c r="Q6" s="113"/>
      <c r="R6" s="113"/>
      <c r="S6" s="113"/>
      <c r="T6" s="71"/>
      <c r="U6" s="72"/>
      <c r="V6" s="72"/>
      <c r="W6" s="72"/>
      <c r="X6" s="76"/>
      <c r="Y6" s="77"/>
      <c r="Z6" s="407" t="s">
        <v>10</v>
      </c>
      <c r="AA6" s="408"/>
      <c r="AB6" s="408"/>
      <c r="AC6" s="408"/>
      <c r="AD6" s="408"/>
      <c r="AE6" s="408"/>
      <c r="AF6" s="408"/>
      <c r="AG6" s="409"/>
      <c r="AH6" s="114">
        <f>AVERAGEIF($L$12:$L$39,"&gt;0,9",$AY$12:$AY$39)</f>
        <v>6.5680830326810907E-2</v>
      </c>
      <c r="AI6" s="115" t="e">
        <f>AVERAGE(IF($L$12:$L$39&gt;0.9,IF($M$12:$U$39=0,$AZ$12:$BH$39,"")))</f>
        <v>#VALUE!</v>
      </c>
      <c r="AJ6" s="115" t="e">
        <f t="array" ref="AJ6">AVERAGE(IF($L$12:$L$39&gt;0.9,IF($M$12:$U$26&gt;=1,$AZ$12:$BH$39,"")))</f>
        <v>#N/A</v>
      </c>
      <c r="AK6" s="115">
        <f t="array" ref="AK6">AVERAGE(IF($L$12:$L$39&gt;0.9,IF($AG$12:$AJ$39&gt;0,$BI$12:$BL$39,"")))</f>
        <v>1.2502459179646055E-2</v>
      </c>
      <c r="AL6" s="77"/>
      <c r="AM6" s="77"/>
      <c r="AN6" s="77"/>
      <c r="AO6" s="77"/>
      <c r="AP6" s="77"/>
      <c r="AQ6" s="407" t="s">
        <v>10</v>
      </c>
      <c r="AR6" s="408"/>
      <c r="AS6" s="408"/>
      <c r="AT6" s="408"/>
      <c r="AU6" s="408"/>
      <c r="AV6" s="408"/>
      <c r="AW6" s="408"/>
      <c r="AX6" s="409"/>
      <c r="AY6" s="114">
        <f>AVERAGE($AY$12:$AY$39)</f>
        <v>6.5680830326810907E-2</v>
      </c>
      <c r="AZ6" s="115">
        <f>AVERAGEIF($M$12:$U$39,"0",$AZ$12:$BH$39)</f>
        <v>0.12142935997631138</v>
      </c>
      <c r="BA6" s="115">
        <f>AVERAGEIF($M$12:$U$39,"&gt;=1",$AZ$12:$BH$39)</f>
        <v>4.1225283564336884E-2</v>
      </c>
      <c r="BB6" s="115">
        <f>AVERAGEIF($AG$12:$AJ$39,"&gt;0",$BI$12:$BL$39)</f>
        <v>3.5006885703008958E-2</v>
      </c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</row>
    <row r="7" spans="1:78" ht="12.75" customHeight="1">
      <c r="A7" s="77"/>
      <c r="B7" s="81"/>
      <c r="C7" s="76"/>
      <c r="D7" s="76"/>
      <c r="E7" s="81"/>
      <c r="F7" s="81"/>
      <c r="G7" s="77"/>
      <c r="H7" s="77"/>
      <c r="I7" s="77"/>
      <c r="J7" s="77"/>
      <c r="K7" s="77"/>
      <c r="L7" s="113"/>
      <c r="M7" s="113"/>
      <c r="N7" s="113"/>
      <c r="O7" s="113"/>
      <c r="P7" s="113"/>
      <c r="Q7" s="113"/>
      <c r="R7" s="113"/>
      <c r="S7" s="113"/>
      <c r="T7" s="71"/>
      <c r="U7" s="72"/>
      <c r="V7" s="72"/>
      <c r="W7" s="72"/>
      <c r="X7" s="76"/>
      <c r="Y7" s="77"/>
      <c r="Z7" s="407" t="s">
        <v>11</v>
      </c>
      <c r="AA7" s="408"/>
      <c r="AB7" s="408"/>
      <c r="AC7" s="408"/>
      <c r="AD7" s="408"/>
      <c r="AE7" s="408"/>
      <c r="AF7" s="408"/>
      <c r="AG7" s="409"/>
      <c r="AH7" s="114">
        <f t="array" ref="AH7">STDEV(IF($L$12:$L$39&gt;0.9,$AY$12:$AY$39))</f>
        <v>0.11656393868216025</v>
      </c>
      <c r="AI7" s="115">
        <f t="array" ref="AI7">STDEV(IF($L$12:$L$39&gt;0.9,IF($M$12:$U$39=0,$AZ$12:$BH$39,"")))</f>
        <v>0.21660108043856866</v>
      </c>
      <c r="AJ7" s="115">
        <f t="array" ref="AJ7">STDEV(IF($L$12:$L$39&gt;0.9,IF($M$12:$U$39&gt;=1,$AZ$12:$BH$39,"")))</f>
        <v>0.15553894443910041</v>
      </c>
      <c r="AK7" s="115">
        <f t="array" ref="AK7">STDEV(IF($L$12:$L$39&gt;0.9,IF($AG$12:$AJ$39&gt;0,$BI$12:$BL$39,"")))</f>
        <v>5.8236293096190578E-2</v>
      </c>
      <c r="AL7" s="77"/>
      <c r="AM7" s="77"/>
      <c r="AN7" s="77"/>
      <c r="AO7" s="77"/>
      <c r="AP7" s="77"/>
      <c r="AQ7" s="407" t="s">
        <v>11</v>
      </c>
      <c r="AR7" s="408"/>
      <c r="AS7" s="408"/>
      <c r="AT7" s="408"/>
      <c r="AU7" s="408"/>
      <c r="AV7" s="408"/>
      <c r="AW7" s="408"/>
      <c r="AX7" s="409"/>
      <c r="AY7" s="114">
        <f>STDEV($AY$12:$AY$39)</f>
        <v>0.11656393868216025</v>
      </c>
      <c r="AZ7" s="115">
        <f t="array" ref="AZ7">STDEV(IF($M$12:$U$26=0,$AZ$12:$BH$26))</f>
        <v>0.18487273350454264</v>
      </c>
      <c r="BA7" s="115">
        <f t="array" ref="BA7">STDEV(IF($M$12:$U$39&gt;=1,$AZ$12:$BH$39))</f>
        <v>0.15553894443910041</v>
      </c>
      <c r="BB7" s="115">
        <f t="array" ref="BB7">STDEV(IF($AG$12:$AJ$26&gt;0,$BI$12:$BL$26))</f>
        <v>5.0488030755139766E-2</v>
      </c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</row>
    <row r="8" spans="1:78" ht="12.75" customHeight="1">
      <c r="A8" s="77"/>
      <c r="B8" s="81"/>
      <c r="C8" s="76"/>
      <c r="D8" s="76"/>
      <c r="E8" s="81"/>
      <c r="F8" s="81"/>
      <c r="G8" s="77"/>
      <c r="H8" s="77"/>
      <c r="I8" s="77"/>
      <c r="J8" s="77"/>
      <c r="K8" s="77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82"/>
      <c r="AR8" s="82"/>
      <c r="AS8" s="82"/>
      <c r="AT8" s="82"/>
      <c r="AU8" s="82"/>
      <c r="AV8" s="82"/>
      <c r="AW8" s="82"/>
      <c r="AX8" s="82"/>
      <c r="AY8" s="83"/>
      <c r="AZ8" s="84"/>
      <c r="BA8" s="84"/>
      <c r="BB8" s="83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</row>
    <row r="9" spans="1:78" ht="12.75" customHeight="1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</row>
    <row r="10" spans="1:78" ht="12.75" customHeight="1">
      <c r="A10" s="450" t="s">
        <v>181</v>
      </c>
      <c r="B10" s="450" t="s">
        <v>180</v>
      </c>
      <c r="C10" s="450" t="s">
        <v>182</v>
      </c>
      <c r="D10" s="450" t="s">
        <v>183</v>
      </c>
      <c r="E10" s="450" t="s">
        <v>13</v>
      </c>
      <c r="F10" s="450" t="s">
        <v>14</v>
      </c>
      <c r="G10" s="450" t="s">
        <v>15</v>
      </c>
      <c r="H10" s="450" t="s">
        <v>16</v>
      </c>
      <c r="I10" s="449" t="s">
        <v>17</v>
      </c>
      <c r="J10" s="449"/>
      <c r="K10" s="449"/>
      <c r="L10" s="452" t="s">
        <v>95</v>
      </c>
      <c r="M10" s="449" t="s">
        <v>18</v>
      </c>
      <c r="N10" s="449"/>
      <c r="O10" s="449"/>
      <c r="P10" s="449"/>
      <c r="Q10" s="449"/>
      <c r="R10" s="449"/>
      <c r="S10" s="449"/>
      <c r="T10" s="449"/>
      <c r="U10" s="449"/>
      <c r="V10" s="449"/>
      <c r="W10" s="449" t="s">
        <v>31</v>
      </c>
      <c r="X10" s="449"/>
      <c r="Y10" s="449"/>
      <c r="Z10" s="449"/>
      <c r="AA10" s="449"/>
      <c r="AB10" s="449"/>
      <c r="AC10" s="449"/>
      <c r="AD10" s="449"/>
      <c r="AE10" s="449"/>
      <c r="AF10" s="449"/>
      <c r="AG10" s="449"/>
      <c r="AH10" s="449"/>
      <c r="AI10" s="449"/>
      <c r="AJ10" s="449"/>
      <c r="AK10" s="449" t="s">
        <v>30</v>
      </c>
      <c r="AL10" s="449"/>
      <c r="AM10" s="449"/>
      <c r="AN10" s="449"/>
      <c r="AO10" s="449"/>
      <c r="AP10" s="449"/>
      <c r="AQ10" s="449"/>
      <c r="AR10" s="449"/>
      <c r="AS10" s="449"/>
      <c r="AT10" s="449"/>
      <c r="AU10" s="449"/>
      <c r="AV10" s="449"/>
      <c r="AW10" s="449"/>
      <c r="AX10" s="449"/>
      <c r="AY10" s="449" t="s">
        <v>19</v>
      </c>
      <c r="AZ10" s="449"/>
      <c r="BA10" s="449"/>
      <c r="BB10" s="449"/>
      <c r="BC10" s="449"/>
      <c r="BD10" s="449"/>
      <c r="BE10" s="449"/>
      <c r="BF10" s="449"/>
      <c r="BG10" s="449"/>
      <c r="BH10" s="449"/>
      <c r="BI10" s="449"/>
      <c r="BJ10" s="449"/>
      <c r="BK10" s="449"/>
      <c r="BL10" s="449"/>
      <c r="BM10" s="92"/>
      <c r="BN10" s="92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</row>
    <row r="11" spans="1:78" ht="12.75" customHeight="1">
      <c r="A11" s="451"/>
      <c r="B11" s="451"/>
      <c r="C11" s="451"/>
      <c r="D11" s="451"/>
      <c r="E11" s="451"/>
      <c r="F11" s="451"/>
      <c r="G11" s="451"/>
      <c r="H11" s="451"/>
      <c r="I11" s="154" t="s">
        <v>20</v>
      </c>
      <c r="J11" s="154" t="s">
        <v>165</v>
      </c>
      <c r="K11" s="154" t="s">
        <v>21</v>
      </c>
      <c r="L11" s="453"/>
      <c r="M11" s="154" t="s">
        <v>186</v>
      </c>
      <c r="N11" s="154" t="s">
        <v>187</v>
      </c>
      <c r="O11" s="154" t="s">
        <v>188</v>
      </c>
      <c r="P11" s="154" t="s">
        <v>189</v>
      </c>
      <c r="Q11" s="154" t="s">
        <v>190</v>
      </c>
      <c r="R11" s="154" t="s">
        <v>191</v>
      </c>
      <c r="S11" s="154" t="s">
        <v>192</v>
      </c>
      <c r="T11" s="154" t="s">
        <v>193</v>
      </c>
      <c r="U11" s="154" t="s">
        <v>194</v>
      </c>
      <c r="V11" s="154" t="s">
        <v>185</v>
      </c>
      <c r="W11" s="154" t="s">
        <v>3</v>
      </c>
      <c r="X11" s="154" t="s">
        <v>22</v>
      </c>
      <c r="Y11" s="154" t="s">
        <v>23</v>
      </c>
      <c r="Z11" s="154" t="s">
        <v>24</v>
      </c>
      <c r="AA11" s="154" t="s">
        <v>25</v>
      </c>
      <c r="AB11" s="154" t="s">
        <v>26</v>
      </c>
      <c r="AC11" s="154" t="s">
        <v>27</v>
      </c>
      <c r="AD11" s="154" t="s">
        <v>90</v>
      </c>
      <c r="AE11" s="154" t="s">
        <v>91</v>
      </c>
      <c r="AF11" s="154" t="s">
        <v>184</v>
      </c>
      <c r="AG11" s="154" t="s">
        <v>28</v>
      </c>
      <c r="AH11" s="154" t="s">
        <v>29</v>
      </c>
      <c r="AI11" s="154" t="s">
        <v>92</v>
      </c>
      <c r="AJ11" s="154" t="s">
        <v>93</v>
      </c>
      <c r="AK11" s="154" t="s">
        <v>3</v>
      </c>
      <c r="AL11" s="154" t="s">
        <v>22</v>
      </c>
      <c r="AM11" s="154" t="s">
        <v>23</v>
      </c>
      <c r="AN11" s="154" t="s">
        <v>24</v>
      </c>
      <c r="AO11" s="154" t="s">
        <v>25</v>
      </c>
      <c r="AP11" s="154" t="s">
        <v>26</v>
      </c>
      <c r="AQ11" s="154" t="s">
        <v>27</v>
      </c>
      <c r="AR11" s="154" t="s">
        <v>90</v>
      </c>
      <c r="AS11" s="154" t="s">
        <v>91</v>
      </c>
      <c r="AT11" s="154" t="s">
        <v>184</v>
      </c>
      <c r="AU11" s="154" t="s">
        <v>28</v>
      </c>
      <c r="AV11" s="154" t="s">
        <v>29</v>
      </c>
      <c r="AW11" s="154" t="s">
        <v>92</v>
      </c>
      <c r="AX11" s="154" t="s">
        <v>93</v>
      </c>
      <c r="AY11" s="154" t="s">
        <v>3</v>
      </c>
      <c r="AZ11" s="154" t="s">
        <v>22</v>
      </c>
      <c r="BA11" s="154" t="s">
        <v>23</v>
      </c>
      <c r="BB11" s="154" t="s">
        <v>24</v>
      </c>
      <c r="BC11" s="154" t="s">
        <v>25</v>
      </c>
      <c r="BD11" s="154" t="s">
        <v>26</v>
      </c>
      <c r="BE11" s="154" t="s">
        <v>27</v>
      </c>
      <c r="BF11" s="154" t="s">
        <v>90</v>
      </c>
      <c r="BG11" s="154" t="s">
        <v>91</v>
      </c>
      <c r="BH11" s="154" t="s">
        <v>184</v>
      </c>
      <c r="BI11" s="154" t="s">
        <v>28</v>
      </c>
      <c r="BJ11" s="154" t="s">
        <v>29</v>
      </c>
      <c r="BK11" s="154" t="s">
        <v>92</v>
      </c>
      <c r="BL11" s="154" t="s">
        <v>93</v>
      </c>
      <c r="BM11" s="93"/>
      <c r="BN11" s="94"/>
      <c r="BO11" s="94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</row>
    <row r="12" spans="1:78" s="89" customFormat="1">
      <c r="A12" s="163" t="s">
        <v>285</v>
      </c>
      <c r="B12" s="164"/>
      <c r="C12" s="165"/>
      <c r="D12" s="155"/>
      <c r="E12" s="156"/>
      <c r="F12" s="155"/>
      <c r="G12" s="155"/>
      <c r="H12" s="166"/>
      <c r="I12" s="164" t="s">
        <v>94</v>
      </c>
      <c r="J12" s="167">
        <f>IF(ISERROR(VLOOKUP(I12,Max_Load_France!$B$2:$C$102,2,FALSE)/1000),"",VLOOKUP(I12,Max_Load_France!$B$2:$C$102,2,FALSE)/1000)</f>
        <v>40</v>
      </c>
      <c r="K12" s="157"/>
      <c r="L12" s="158">
        <f t="shared" ref="L12:L36" si="0">W12/J12</f>
        <v>1.05975</v>
      </c>
      <c r="M12" s="160">
        <f>IF(VLOOKUP($I12,Max_Load_France!$B$2:$M$102,3,FALSE)="","",VLOOKUP($I12,Max_Load_France!$B$2:$M$102,3,FALSE))</f>
        <v>0</v>
      </c>
      <c r="N12" s="160">
        <f>IF(VLOOKUP($I12,Max_Load_France!$B$2:$M$102,4,FALSE)="","",VLOOKUP($I12,Max_Load_France!$B$2:$M$102,4,FALSE))</f>
        <v>0</v>
      </c>
      <c r="O12" s="160">
        <f>IF(VLOOKUP($I12,Max_Load_France!$B$2:$M$102,5,FALSE)="","",VLOOKUP($I12,Max_Load_France!$B$2:$M$102,5,FALSE))</f>
        <v>1</v>
      </c>
      <c r="P12" s="160">
        <f>IF(VLOOKUP($I12,Max_Load_France!$B$2:$M$102,6,FALSE)="","",VLOOKUP($I12,Max_Load_France!$B$2:$M$102,6,FALSE))</f>
        <v>1</v>
      </c>
      <c r="Q12" s="160">
        <f>IF(VLOOKUP($I12,Max_Load_France!$B$2:$M$102,7,FALSE)="","",VLOOKUP($I12,Max_Load_France!$B$2:$M$102,7,FALSE))</f>
        <v>1</v>
      </c>
      <c r="R12" s="160" t="str">
        <f>IF(VLOOKUP($I12,Max_Load_France!$B$2:$M$102,8,FALSE)="","",VLOOKUP($I12,Max_Load_France!$B$2:$M$102,8,FALSE))</f>
        <v/>
      </c>
      <c r="S12" s="160" t="str">
        <f>IF(VLOOKUP($I12,Max_Load_France!$B$2:$M$102,9,FALSE)="","",VLOOKUP($I12,Max_Load_France!$B$2:$M$102,9,FALSE))</f>
        <v/>
      </c>
      <c r="T12" s="160" t="str">
        <f>IF(VLOOKUP($I12,Max_Load_France!$B$2:$M$102,10,FALSE)="","",VLOOKUP($I12,Max_Load_France!$B$2:$M$102,10,FALSE))</f>
        <v/>
      </c>
      <c r="U12" s="160" t="str">
        <f>IF(VLOOKUP($I12,Max_Load_France!$B$2:$M$102,11,FALSE)="","",VLOOKUP($I12,Max_Load_France!$B$2:$M$102,11,FALSE))</f>
        <v/>
      </c>
      <c r="V12" s="160">
        <f>IF(VLOOKUP($I12,Max_Load_France!$B$2:$M$102,12,FALSE)="","",VLOOKUP($I12,Max_Load_France!$B$2:$M$102,12,FALSE))</f>
        <v>5</v>
      </c>
      <c r="W12" s="172">
        <f>SUM($X12:$AF12)</f>
        <v>42.39</v>
      </c>
      <c r="X12" s="173">
        <v>5.77</v>
      </c>
      <c r="Y12" s="173">
        <v>7.9</v>
      </c>
      <c r="Z12" s="173">
        <v>10.5</v>
      </c>
      <c r="AA12" s="173">
        <v>9.4700000000000006</v>
      </c>
      <c r="AB12" s="173">
        <v>8.75</v>
      </c>
      <c r="AC12" s="174"/>
      <c r="AD12" s="175"/>
      <c r="AE12" s="175"/>
      <c r="AF12" s="175"/>
      <c r="AG12" s="176">
        <f>IF(SUMIF($M12:$U12,"=1",$X12:$AF12)=0,"",SUMIF($M12:$U12,"=1",$X12:$AF12))</f>
        <v>28.72</v>
      </c>
      <c r="AH12" s="176" t="str">
        <f>IF(SUMIF($M12:$U12,"=2",$X12:$AF12)=0,"",SUMIF($M12:$U12,"=2",$X12:$AF12))</f>
        <v/>
      </c>
      <c r="AI12" s="176" t="str">
        <f>IF(SUMIF($M12:$U12,"=3",$X12:$AF12)=0,"",SUMIF($M12:$U12,"=3",$X12:$AF12))</f>
        <v/>
      </c>
      <c r="AJ12" s="176" t="str">
        <f>IF(SUMIF($M12:$U12,"=4",$X12:$AF12)=0,"",SUMIF($M12:$U12,"=4",$X12:$AF12))</f>
        <v/>
      </c>
      <c r="AK12" s="177">
        <f>SUM(AL12:AP12)</f>
        <v>46.161987767584101</v>
      </c>
      <c r="AL12" s="173">
        <v>6.6146381243628944</v>
      </c>
      <c r="AM12" s="173">
        <v>9.4182059123343524</v>
      </c>
      <c r="AN12" s="173">
        <v>9.775667686034657</v>
      </c>
      <c r="AO12" s="173">
        <v>10.77716615698267</v>
      </c>
      <c r="AP12" s="173">
        <v>9.5763098878695203</v>
      </c>
      <c r="AQ12" s="174"/>
      <c r="AR12" s="175"/>
      <c r="AS12" s="175"/>
      <c r="AT12" s="175"/>
      <c r="AU12" s="176">
        <f>IF(SUMIF($M12:$U12,"=1",$AL12:$AT12)=0,"",SUMIF($M12:$U12,"=1",$AL12:$AT12))</f>
        <v>30.129143730886845</v>
      </c>
      <c r="AV12" s="176" t="str">
        <f>IF(SUMIF($M12:$U12,"=2",$AL12:$AT12)=0,"",SUMIF($M12:$U12,"=2",$AL12:$AT12))</f>
        <v/>
      </c>
      <c r="AW12" s="176" t="str">
        <f>IF(SUMIF($M12:$U12,"=3",$AL12:$AT12)=0,"",SUMIF($M12:$U12,"=3",$AL12:$AT12))</f>
        <v/>
      </c>
      <c r="AX12" s="176" t="str">
        <f>IF(SUMIF($M12:$U12,"=4",$AL12:$AT12)=0,"",SUMIF($M12:$U12,"=4",$AL12:$AT12))</f>
        <v/>
      </c>
      <c r="AY12" s="170">
        <f t="shared" ref="AY12:BI27" si="1">IF(W12&gt;0,(AK12-W12)/W12,"")</f>
        <v>8.8982962198256674E-2</v>
      </c>
      <c r="AZ12" s="170">
        <f t="shared" si="1"/>
        <v>0.14638442363308404</v>
      </c>
      <c r="BA12" s="170">
        <f t="shared" si="1"/>
        <v>0.19217796358662684</v>
      </c>
      <c r="BB12" s="170">
        <f t="shared" si="1"/>
        <v>-6.8984029901461241E-2</v>
      </c>
      <c r="BC12" s="170">
        <f t="shared" si="1"/>
        <v>0.13803232914283728</v>
      </c>
      <c r="BD12" s="170">
        <f t="shared" si="1"/>
        <v>9.4435415756516608E-2</v>
      </c>
      <c r="BE12" s="168" t="str">
        <f t="shared" si="1"/>
        <v/>
      </c>
      <c r="BF12" s="168" t="str">
        <f t="shared" si="1"/>
        <v/>
      </c>
      <c r="BG12" s="168" t="str">
        <f t="shared" si="1"/>
        <v/>
      </c>
      <c r="BH12" s="168" t="str">
        <f t="shared" si="1"/>
        <v/>
      </c>
      <c r="BI12" s="170">
        <f t="shared" si="1"/>
        <v>4.9064893136728641E-2</v>
      </c>
      <c r="BJ12" s="168"/>
      <c r="BK12" s="168"/>
      <c r="BL12" s="168"/>
      <c r="BM12" s="76"/>
      <c r="BN12" s="94"/>
      <c r="BO12" s="94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</row>
    <row r="13" spans="1:78" s="89" customFormat="1">
      <c r="A13" s="163" t="s">
        <v>286</v>
      </c>
      <c r="B13" s="164"/>
      <c r="C13" s="165"/>
      <c r="D13" s="155"/>
      <c r="E13" s="156"/>
      <c r="F13" s="155"/>
      <c r="G13" s="155"/>
      <c r="H13" s="166"/>
      <c r="I13" s="164" t="s">
        <v>94</v>
      </c>
      <c r="J13" s="167">
        <f>IF(ISERROR(VLOOKUP(I13,Max_Load_France!$B$2:$C$102,2,FALSE)/1000),"",VLOOKUP(I13,Max_Load_France!$B$2:$C$102,2,FALSE)/1000)</f>
        <v>40</v>
      </c>
      <c r="K13" s="157"/>
      <c r="L13" s="158">
        <f t="shared" si="0"/>
        <v>1.05975</v>
      </c>
      <c r="M13" s="160">
        <f>IF(VLOOKUP($I13,Max_Load_France!$B$2:$M$102,3,FALSE)="","",VLOOKUP($I13,Max_Load_France!$B$2:$M$102,3,FALSE))</f>
        <v>0</v>
      </c>
      <c r="N13" s="160">
        <f>IF(VLOOKUP($I13,Max_Load_France!$B$2:$M$102,4,FALSE)="","",VLOOKUP($I13,Max_Load_France!$B$2:$M$102,4,FALSE))</f>
        <v>0</v>
      </c>
      <c r="O13" s="160">
        <f>IF(VLOOKUP($I13,Max_Load_France!$B$2:$M$102,5,FALSE)="","",VLOOKUP($I13,Max_Load_France!$B$2:$M$102,5,FALSE))</f>
        <v>1</v>
      </c>
      <c r="P13" s="160">
        <f>IF(VLOOKUP($I13,Max_Load_France!$B$2:$M$102,6,FALSE)="","",VLOOKUP($I13,Max_Load_France!$B$2:$M$102,6,FALSE))</f>
        <v>1</v>
      </c>
      <c r="Q13" s="160">
        <f>IF(VLOOKUP($I13,Max_Load_France!$B$2:$M$102,7,FALSE)="","",VLOOKUP($I13,Max_Load_France!$B$2:$M$102,7,FALSE))</f>
        <v>1</v>
      </c>
      <c r="R13" s="160" t="str">
        <f>IF(VLOOKUP($I13,Max_Load_France!$B$2:$M$102,8,FALSE)="","",VLOOKUP($I13,Max_Load_France!$B$2:$M$102,8,FALSE))</f>
        <v/>
      </c>
      <c r="S13" s="160" t="str">
        <f>IF(VLOOKUP($I13,Max_Load_France!$B$2:$M$102,9,FALSE)="","",VLOOKUP($I13,Max_Load_France!$B$2:$M$102,9,FALSE))</f>
        <v/>
      </c>
      <c r="T13" s="160" t="str">
        <f>IF(VLOOKUP($I13,Max_Load_France!$B$2:$M$102,10,FALSE)="","",VLOOKUP($I13,Max_Load_France!$B$2:$M$102,10,FALSE))</f>
        <v/>
      </c>
      <c r="U13" s="160" t="str">
        <f>IF(VLOOKUP($I13,Max_Load_France!$B$2:$M$102,11,FALSE)="","",VLOOKUP($I13,Max_Load_France!$B$2:$M$102,11,FALSE))</f>
        <v/>
      </c>
      <c r="V13" s="160">
        <f>IF(VLOOKUP($I13,Max_Load_France!$B$2:$M$102,12,FALSE)="","",VLOOKUP($I13,Max_Load_France!$B$2:$M$102,12,FALSE))</f>
        <v>5</v>
      </c>
      <c r="W13" s="172">
        <f t="shared" ref="W13:W36" si="2">SUM($X13:$AF13)</f>
        <v>42.39</v>
      </c>
      <c r="X13" s="173">
        <v>5.77</v>
      </c>
      <c r="Y13" s="173">
        <v>7.9</v>
      </c>
      <c r="Z13" s="173">
        <v>10.5</v>
      </c>
      <c r="AA13" s="173">
        <v>9.4700000000000006</v>
      </c>
      <c r="AB13" s="173">
        <v>8.75</v>
      </c>
      <c r="AC13" s="174"/>
      <c r="AD13" s="175"/>
      <c r="AE13" s="175"/>
      <c r="AF13" s="175"/>
      <c r="AG13" s="176">
        <f t="shared" ref="AG13:AG36" si="3">IF(SUMIF($M13:$U13,"=1",$X13:$AF13)=0,"",SUMIF($M13:$U13,"=1",$X13:$AF13))</f>
        <v>28.72</v>
      </c>
      <c r="AH13" s="176" t="str">
        <f t="shared" ref="AH13:AH26" si="4">IF(SUMIF($M13:$U13,"=2",$X13:$AF13)=0,"",SUMIF($M13:$U13,"=2",$X13:$AF13))</f>
        <v/>
      </c>
      <c r="AI13" s="176" t="str">
        <f t="shared" ref="AI13:AI26" si="5">IF(SUMIF($M13:$U13,"=3",$X13:$AF13)=0,"",SUMIF($M13:$U13,"=3",$X13:$AF13))</f>
        <v/>
      </c>
      <c r="AJ13" s="176" t="str">
        <f t="shared" ref="AJ13:AJ26" si="6">IF(SUMIF($M13:$U13,"=4",$X13:$AF13)=0,"",SUMIF($M13:$U13,"=4",$X13:$AF13))</f>
        <v/>
      </c>
      <c r="AK13" s="177">
        <f t="shared" ref="AK13:AK36" si="7">SUM(AL13:AP13)</f>
        <v>49.342609582059119</v>
      </c>
      <c r="AL13" s="173">
        <v>7.1707543323139653</v>
      </c>
      <c r="AM13" s="173">
        <v>10.170733944954128</v>
      </c>
      <c r="AN13" s="173">
        <v>10.433333333333334</v>
      </c>
      <c r="AO13" s="173">
        <v>10.726299694189601</v>
      </c>
      <c r="AP13" s="173">
        <v>10.841488277268093</v>
      </c>
      <c r="AQ13" s="174"/>
      <c r="AR13" s="175"/>
      <c r="AS13" s="175"/>
      <c r="AT13" s="175"/>
      <c r="AU13" s="176">
        <f t="shared" ref="AU13:AU36" si="8">IF(SUMIF($M13:$U13,"=1",$AL13:$AT13)=0,"",SUMIF($M13:$U13,"=1",$AL13:$AT13))</f>
        <v>32.001121304791027</v>
      </c>
      <c r="AV13" s="176" t="str">
        <f t="shared" ref="AV13:AV26" si="9">IF(SUMIF($M13:$U13,"=2",$AL13:$AT13)=0,"",SUMIF($M13:$U13,"=2",$AL13:$AT13))</f>
        <v/>
      </c>
      <c r="AW13" s="176" t="str">
        <f t="shared" ref="AW13:AW26" si="10">IF(SUMIF($M13:$U13,"=3",$AL13:$AT13)=0,"",SUMIF($M13:$U13,"=3",$AL13:$AT13))</f>
        <v/>
      </c>
      <c r="AX13" s="176" t="str">
        <f t="shared" ref="AX13:AX26" si="11">IF(SUMIF($M13:$U13,"=4",$AL13:$AT13)=0,"",SUMIF($M13:$U13,"=4",$AL13:$AT13))</f>
        <v/>
      </c>
      <c r="AY13" s="170">
        <f t="shared" si="1"/>
        <v>0.1640153239457211</v>
      </c>
      <c r="AZ13" s="170">
        <f t="shared" si="1"/>
        <v>0.24276504892789702</v>
      </c>
      <c r="BA13" s="170">
        <f t="shared" si="1"/>
        <v>0.28743467657647181</v>
      </c>
      <c r="BB13" s="170">
        <f t="shared" si="1"/>
        <v>-6.3492063492063266E-3</v>
      </c>
      <c r="BC13" s="170">
        <f t="shared" si="1"/>
        <v>0.13266100255434005</v>
      </c>
      <c r="BD13" s="170">
        <f t="shared" si="1"/>
        <v>0.23902723168778206</v>
      </c>
      <c r="BE13" s="168" t="str">
        <f t="shared" si="1"/>
        <v/>
      </c>
      <c r="BF13" s="168" t="str">
        <f t="shared" si="1"/>
        <v/>
      </c>
      <c r="BG13" s="168" t="str">
        <f t="shared" si="1"/>
        <v/>
      </c>
      <c r="BH13" s="168" t="str">
        <f t="shared" si="1"/>
        <v/>
      </c>
      <c r="BI13" s="170">
        <f t="shared" si="1"/>
        <v>0.11424517077963192</v>
      </c>
      <c r="BJ13" s="168"/>
      <c r="BK13" s="168"/>
      <c r="BL13" s="168"/>
      <c r="BM13" s="76"/>
      <c r="BN13" s="94"/>
      <c r="BO13" s="94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</row>
    <row r="14" spans="1:78" s="89" customFormat="1">
      <c r="A14" s="163" t="s">
        <v>287</v>
      </c>
      <c r="B14" s="164"/>
      <c r="C14" s="165"/>
      <c r="D14" s="155"/>
      <c r="E14" s="156"/>
      <c r="F14" s="155"/>
      <c r="G14" s="155"/>
      <c r="H14" s="166"/>
      <c r="I14" s="164" t="s">
        <v>94</v>
      </c>
      <c r="J14" s="167">
        <f>IF(ISERROR(VLOOKUP(I14,Max_Load_France!$B$2:$C$102,2,FALSE)/1000),"",VLOOKUP(I14,Max_Load_France!$B$2:$C$102,2,FALSE)/1000)</f>
        <v>40</v>
      </c>
      <c r="K14" s="157"/>
      <c r="L14" s="158">
        <f t="shared" si="0"/>
        <v>1.05975</v>
      </c>
      <c r="M14" s="160">
        <f>IF(VLOOKUP($I14,Max_Load_France!$B$2:$M$102,3,FALSE)="","",VLOOKUP($I14,Max_Load_France!$B$2:$M$102,3,FALSE))</f>
        <v>0</v>
      </c>
      <c r="N14" s="160">
        <f>IF(VLOOKUP($I14,Max_Load_France!$B$2:$M$102,4,FALSE)="","",VLOOKUP($I14,Max_Load_France!$B$2:$M$102,4,FALSE))</f>
        <v>0</v>
      </c>
      <c r="O14" s="160">
        <f>IF(VLOOKUP($I14,Max_Load_France!$B$2:$M$102,5,FALSE)="","",VLOOKUP($I14,Max_Load_France!$B$2:$M$102,5,FALSE))</f>
        <v>1</v>
      </c>
      <c r="P14" s="160">
        <f>IF(VLOOKUP($I14,Max_Load_France!$B$2:$M$102,6,FALSE)="","",VLOOKUP($I14,Max_Load_France!$B$2:$M$102,6,FALSE))</f>
        <v>1</v>
      </c>
      <c r="Q14" s="160">
        <f>IF(VLOOKUP($I14,Max_Load_France!$B$2:$M$102,7,FALSE)="","",VLOOKUP($I14,Max_Load_France!$B$2:$M$102,7,FALSE))</f>
        <v>1</v>
      </c>
      <c r="R14" s="160" t="str">
        <f>IF(VLOOKUP($I14,Max_Load_France!$B$2:$M$102,8,FALSE)="","",VLOOKUP($I14,Max_Load_France!$B$2:$M$102,8,FALSE))</f>
        <v/>
      </c>
      <c r="S14" s="160" t="str">
        <f>IF(VLOOKUP($I14,Max_Load_France!$B$2:$M$102,9,FALSE)="","",VLOOKUP($I14,Max_Load_France!$B$2:$M$102,9,FALSE))</f>
        <v/>
      </c>
      <c r="T14" s="160" t="str">
        <f>IF(VLOOKUP($I14,Max_Load_France!$B$2:$M$102,10,FALSE)="","",VLOOKUP($I14,Max_Load_France!$B$2:$M$102,10,FALSE))</f>
        <v/>
      </c>
      <c r="U14" s="160" t="str">
        <f>IF(VLOOKUP($I14,Max_Load_France!$B$2:$M$102,11,FALSE)="","",VLOOKUP($I14,Max_Load_France!$B$2:$M$102,11,FALSE))</f>
        <v/>
      </c>
      <c r="V14" s="160">
        <f>IF(VLOOKUP($I14,Max_Load_France!$B$2:$M$102,12,FALSE)="","",VLOOKUP($I14,Max_Load_France!$B$2:$M$102,12,FALSE))</f>
        <v>5</v>
      </c>
      <c r="W14" s="172">
        <f t="shared" si="2"/>
        <v>42.39</v>
      </c>
      <c r="X14" s="173">
        <v>5.77</v>
      </c>
      <c r="Y14" s="173">
        <v>7.9</v>
      </c>
      <c r="Z14" s="173">
        <v>10.5</v>
      </c>
      <c r="AA14" s="173">
        <v>9.4700000000000006</v>
      </c>
      <c r="AB14" s="173">
        <v>8.75</v>
      </c>
      <c r="AC14" s="174"/>
      <c r="AD14" s="175"/>
      <c r="AE14" s="175"/>
      <c r="AF14" s="175"/>
      <c r="AG14" s="176">
        <f t="shared" si="3"/>
        <v>28.72</v>
      </c>
      <c r="AH14" s="176" t="str">
        <f t="shared" si="4"/>
        <v/>
      </c>
      <c r="AI14" s="176" t="str">
        <f t="shared" si="5"/>
        <v/>
      </c>
      <c r="AJ14" s="176" t="str">
        <f t="shared" si="6"/>
        <v/>
      </c>
      <c r="AK14" s="177">
        <f t="shared" si="7"/>
        <v>44.063557594291538</v>
      </c>
      <c r="AL14" s="173">
        <v>5.5885524974515803</v>
      </c>
      <c r="AM14" s="173">
        <v>8.6054740061162089</v>
      </c>
      <c r="AN14" s="173">
        <v>9.6563302752293581</v>
      </c>
      <c r="AO14" s="173">
        <v>10.449949031600406</v>
      </c>
      <c r="AP14" s="173">
        <v>9.7632517838939847</v>
      </c>
      <c r="AQ14" s="174"/>
      <c r="AR14" s="175"/>
      <c r="AS14" s="175"/>
      <c r="AT14" s="175"/>
      <c r="AU14" s="176">
        <f t="shared" si="8"/>
        <v>29.869531090723747</v>
      </c>
      <c r="AV14" s="176" t="str">
        <f t="shared" si="9"/>
        <v/>
      </c>
      <c r="AW14" s="176" t="str">
        <f t="shared" si="10"/>
        <v/>
      </c>
      <c r="AX14" s="176" t="str">
        <f t="shared" si="11"/>
        <v/>
      </c>
      <c r="AY14" s="170">
        <f t="shared" si="1"/>
        <v>3.948000930152247E-2</v>
      </c>
      <c r="AZ14" s="170">
        <f t="shared" si="1"/>
        <v>-3.1446707547386349E-2</v>
      </c>
      <c r="BA14" s="170">
        <f t="shared" si="1"/>
        <v>8.9300507103317536E-2</v>
      </c>
      <c r="BB14" s="170">
        <f t="shared" si="1"/>
        <v>-8.0349497597204E-2</v>
      </c>
      <c r="BC14" s="170">
        <f t="shared" si="1"/>
        <v>0.10347930639919803</v>
      </c>
      <c r="BD14" s="170">
        <f t="shared" si="1"/>
        <v>0.11580020387359825</v>
      </c>
      <c r="BE14" s="168" t="str">
        <f t="shared" si="1"/>
        <v/>
      </c>
      <c r="BF14" s="168" t="str">
        <f t="shared" si="1"/>
        <v/>
      </c>
      <c r="BG14" s="168" t="str">
        <f t="shared" si="1"/>
        <v/>
      </c>
      <c r="BH14" s="168" t="str">
        <f t="shared" si="1"/>
        <v/>
      </c>
      <c r="BI14" s="170">
        <f t="shared" si="1"/>
        <v>4.0025455805144439E-2</v>
      </c>
      <c r="BJ14" s="168"/>
      <c r="BK14" s="168"/>
      <c r="BL14" s="168"/>
      <c r="BM14" s="76"/>
      <c r="BN14" s="94"/>
      <c r="BO14" s="94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</row>
    <row r="15" spans="1:78" s="89" customFormat="1">
      <c r="A15" s="163" t="s">
        <v>288</v>
      </c>
      <c r="B15" s="164"/>
      <c r="C15" s="165"/>
      <c r="D15" s="155"/>
      <c r="E15" s="156"/>
      <c r="F15" s="155"/>
      <c r="G15" s="155"/>
      <c r="H15" s="166"/>
      <c r="I15" s="164" t="s">
        <v>94</v>
      </c>
      <c r="J15" s="167">
        <f>IF(ISERROR(VLOOKUP(I15,Max_Load_France!$B$2:$C$102,2,FALSE)/1000),"",VLOOKUP(I15,Max_Load_France!$B$2:$C$102,2,FALSE)/1000)</f>
        <v>40</v>
      </c>
      <c r="K15" s="157"/>
      <c r="L15" s="158">
        <f t="shared" si="0"/>
        <v>1.05975</v>
      </c>
      <c r="M15" s="160">
        <f>IF(VLOOKUP($I15,Max_Load_France!$B$2:$M$102,3,FALSE)="","",VLOOKUP($I15,Max_Load_France!$B$2:$M$102,3,FALSE))</f>
        <v>0</v>
      </c>
      <c r="N15" s="160">
        <f>IF(VLOOKUP($I15,Max_Load_France!$B$2:$M$102,4,FALSE)="","",VLOOKUP($I15,Max_Load_France!$B$2:$M$102,4,FALSE))</f>
        <v>0</v>
      </c>
      <c r="O15" s="160">
        <f>IF(VLOOKUP($I15,Max_Load_France!$B$2:$M$102,5,FALSE)="","",VLOOKUP($I15,Max_Load_France!$B$2:$M$102,5,FALSE))</f>
        <v>1</v>
      </c>
      <c r="P15" s="160">
        <f>IF(VLOOKUP($I15,Max_Load_France!$B$2:$M$102,6,FALSE)="","",VLOOKUP($I15,Max_Load_France!$B$2:$M$102,6,FALSE))</f>
        <v>1</v>
      </c>
      <c r="Q15" s="160">
        <f>IF(VLOOKUP($I15,Max_Load_France!$B$2:$M$102,7,FALSE)="","",VLOOKUP($I15,Max_Load_France!$B$2:$M$102,7,FALSE))</f>
        <v>1</v>
      </c>
      <c r="R15" s="160" t="str">
        <f>IF(VLOOKUP($I15,Max_Load_France!$B$2:$M$102,8,FALSE)="","",VLOOKUP($I15,Max_Load_France!$B$2:$M$102,8,FALSE))</f>
        <v/>
      </c>
      <c r="S15" s="160" t="str">
        <f>IF(VLOOKUP($I15,Max_Load_France!$B$2:$M$102,9,FALSE)="","",VLOOKUP($I15,Max_Load_France!$B$2:$M$102,9,FALSE))</f>
        <v/>
      </c>
      <c r="T15" s="160" t="str">
        <f>IF(VLOOKUP($I15,Max_Load_France!$B$2:$M$102,10,FALSE)="","",VLOOKUP($I15,Max_Load_France!$B$2:$M$102,10,FALSE))</f>
        <v/>
      </c>
      <c r="U15" s="160" t="str">
        <f>IF(VLOOKUP($I15,Max_Load_France!$B$2:$M$102,11,FALSE)="","",VLOOKUP($I15,Max_Load_France!$B$2:$M$102,11,FALSE))</f>
        <v/>
      </c>
      <c r="V15" s="160">
        <f>IF(VLOOKUP($I15,Max_Load_France!$B$2:$M$102,12,FALSE)="","",VLOOKUP($I15,Max_Load_France!$B$2:$M$102,12,FALSE))</f>
        <v>5</v>
      </c>
      <c r="W15" s="172">
        <f t="shared" si="2"/>
        <v>42.39</v>
      </c>
      <c r="X15" s="173">
        <v>5.77</v>
      </c>
      <c r="Y15" s="173">
        <v>7.9</v>
      </c>
      <c r="Z15" s="173">
        <v>10.5</v>
      </c>
      <c r="AA15" s="173">
        <v>9.4700000000000006</v>
      </c>
      <c r="AB15" s="173">
        <v>8.75</v>
      </c>
      <c r="AC15" s="174"/>
      <c r="AD15" s="175"/>
      <c r="AE15" s="175"/>
      <c r="AF15" s="175"/>
      <c r="AG15" s="176">
        <f t="shared" si="3"/>
        <v>28.72</v>
      </c>
      <c r="AH15" s="176" t="str">
        <f t="shared" si="4"/>
        <v/>
      </c>
      <c r="AI15" s="176" t="str">
        <f t="shared" si="5"/>
        <v/>
      </c>
      <c r="AJ15" s="176" t="str">
        <f t="shared" si="6"/>
        <v/>
      </c>
      <c r="AK15" s="177">
        <f t="shared" si="7"/>
        <v>54.989459734964321</v>
      </c>
      <c r="AL15" s="173">
        <v>8.2445056065239548</v>
      </c>
      <c r="AM15" s="173">
        <v>11.932619775739042</v>
      </c>
      <c r="AN15" s="173">
        <v>12.269520897043833</v>
      </c>
      <c r="AO15" s="173">
        <v>10.231702344546381</v>
      </c>
      <c r="AP15" s="173">
        <v>12.311111111111112</v>
      </c>
      <c r="AQ15" s="174"/>
      <c r="AR15" s="175"/>
      <c r="AS15" s="175"/>
      <c r="AT15" s="175"/>
      <c r="AU15" s="176">
        <f t="shared" si="8"/>
        <v>34.812334352701328</v>
      </c>
      <c r="AV15" s="176" t="str">
        <f t="shared" si="9"/>
        <v/>
      </c>
      <c r="AW15" s="176" t="str">
        <f t="shared" si="10"/>
        <v/>
      </c>
      <c r="AX15" s="176" t="str">
        <f t="shared" si="11"/>
        <v/>
      </c>
      <c r="AY15" s="170">
        <f t="shared" si="1"/>
        <v>0.29722716996849069</v>
      </c>
      <c r="AZ15" s="170">
        <f t="shared" si="1"/>
        <v>0.42885712418092814</v>
      </c>
      <c r="BA15" s="170">
        <f t="shared" si="1"/>
        <v>0.51045819946063808</v>
      </c>
      <c r="BB15" s="170">
        <f t="shared" si="1"/>
        <v>0.1685257997184603</v>
      </c>
      <c r="BC15" s="170">
        <f t="shared" si="1"/>
        <v>8.0433193721898666E-2</v>
      </c>
      <c r="BD15" s="170">
        <f t="shared" si="1"/>
        <v>0.40698412698412706</v>
      </c>
      <c r="BE15" s="168" t="str">
        <f t="shared" si="1"/>
        <v/>
      </c>
      <c r="BF15" s="168" t="str">
        <f t="shared" si="1"/>
        <v/>
      </c>
      <c r="BG15" s="168" t="str">
        <f t="shared" si="1"/>
        <v/>
      </c>
      <c r="BH15" s="168" t="str">
        <f t="shared" si="1"/>
        <v/>
      </c>
      <c r="BI15" s="170">
        <f t="shared" si="1"/>
        <v>0.21212863345060337</v>
      </c>
      <c r="BJ15" s="168"/>
      <c r="BK15" s="168"/>
      <c r="BL15" s="168"/>
      <c r="BM15" s="76"/>
      <c r="BN15" s="94"/>
      <c r="BO15" s="94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</row>
    <row r="16" spans="1:78" s="89" customFormat="1">
      <c r="A16" s="163" t="s">
        <v>289</v>
      </c>
      <c r="B16" s="164"/>
      <c r="C16" s="165"/>
      <c r="D16" s="155"/>
      <c r="E16" s="156"/>
      <c r="F16" s="155"/>
      <c r="G16" s="155"/>
      <c r="H16" s="166"/>
      <c r="I16" s="164" t="s">
        <v>94</v>
      </c>
      <c r="J16" s="167">
        <f>IF(ISERROR(VLOOKUP(I16,Max_Load_France!$B$2:$C$102,2,FALSE)/1000),"",VLOOKUP(I16,Max_Load_France!$B$2:$C$102,2,FALSE)/1000)</f>
        <v>40</v>
      </c>
      <c r="K16" s="157"/>
      <c r="L16" s="158">
        <f t="shared" si="0"/>
        <v>1.05975</v>
      </c>
      <c r="M16" s="160">
        <f>IF(VLOOKUP($I16,Max_Load_France!$B$2:$M$102,3,FALSE)="","",VLOOKUP($I16,Max_Load_France!$B$2:$M$102,3,FALSE))</f>
        <v>0</v>
      </c>
      <c r="N16" s="160">
        <f>IF(VLOOKUP($I16,Max_Load_France!$B$2:$M$102,4,FALSE)="","",VLOOKUP($I16,Max_Load_France!$B$2:$M$102,4,FALSE))</f>
        <v>0</v>
      </c>
      <c r="O16" s="160">
        <f>IF(VLOOKUP($I16,Max_Load_France!$B$2:$M$102,5,FALSE)="","",VLOOKUP($I16,Max_Load_France!$B$2:$M$102,5,FALSE))</f>
        <v>1</v>
      </c>
      <c r="P16" s="160">
        <f>IF(VLOOKUP($I16,Max_Load_France!$B$2:$M$102,6,FALSE)="","",VLOOKUP($I16,Max_Load_France!$B$2:$M$102,6,FALSE))</f>
        <v>1</v>
      </c>
      <c r="Q16" s="160">
        <f>IF(VLOOKUP($I16,Max_Load_France!$B$2:$M$102,7,FALSE)="","",VLOOKUP($I16,Max_Load_France!$B$2:$M$102,7,FALSE))</f>
        <v>1</v>
      </c>
      <c r="R16" s="160" t="str">
        <f>IF(VLOOKUP($I16,Max_Load_France!$B$2:$M$102,8,FALSE)="","",VLOOKUP($I16,Max_Load_France!$B$2:$M$102,8,FALSE))</f>
        <v/>
      </c>
      <c r="S16" s="160" t="str">
        <f>IF(VLOOKUP($I16,Max_Load_France!$B$2:$M$102,9,FALSE)="","",VLOOKUP($I16,Max_Load_France!$B$2:$M$102,9,FALSE))</f>
        <v/>
      </c>
      <c r="T16" s="160" t="str">
        <f>IF(VLOOKUP($I16,Max_Load_France!$B$2:$M$102,10,FALSE)="","",VLOOKUP($I16,Max_Load_France!$B$2:$M$102,10,FALSE))</f>
        <v/>
      </c>
      <c r="U16" s="160" t="str">
        <f>IF(VLOOKUP($I16,Max_Load_France!$B$2:$M$102,11,FALSE)="","",VLOOKUP($I16,Max_Load_France!$B$2:$M$102,11,FALSE))</f>
        <v/>
      </c>
      <c r="V16" s="160">
        <f>IF(VLOOKUP($I16,Max_Load_France!$B$2:$M$102,12,FALSE)="","",VLOOKUP($I16,Max_Load_France!$B$2:$M$102,12,FALSE))</f>
        <v>5</v>
      </c>
      <c r="W16" s="172">
        <f t="shared" si="2"/>
        <v>42.39</v>
      </c>
      <c r="X16" s="173">
        <v>5.77</v>
      </c>
      <c r="Y16" s="173">
        <v>7.9</v>
      </c>
      <c r="Z16" s="173">
        <v>10.5</v>
      </c>
      <c r="AA16" s="173">
        <v>9.4700000000000006</v>
      </c>
      <c r="AB16" s="173">
        <v>8.75</v>
      </c>
      <c r="AC16" s="174"/>
      <c r="AD16" s="175"/>
      <c r="AE16" s="175"/>
      <c r="AF16" s="175"/>
      <c r="AG16" s="176">
        <f t="shared" si="3"/>
        <v>28.72</v>
      </c>
      <c r="AH16" s="176" t="str">
        <f t="shared" si="4"/>
        <v/>
      </c>
      <c r="AI16" s="176" t="str">
        <f t="shared" si="5"/>
        <v/>
      </c>
      <c r="AJ16" s="176" t="str">
        <f t="shared" si="6"/>
        <v/>
      </c>
      <c r="AK16" s="177">
        <f t="shared" si="7"/>
        <v>47.769887869520886</v>
      </c>
      <c r="AL16" s="173">
        <v>6.6576860346585107</v>
      </c>
      <c r="AM16" s="173">
        <v>9.8284709480122316</v>
      </c>
      <c r="AN16" s="173">
        <v>9.9492762487257895</v>
      </c>
      <c r="AO16" s="173">
        <v>10.813761467889908</v>
      </c>
      <c r="AP16" s="173">
        <v>10.520693170234454</v>
      </c>
      <c r="AQ16" s="174"/>
      <c r="AR16" s="175"/>
      <c r="AS16" s="175"/>
      <c r="AT16" s="175"/>
      <c r="AU16" s="176">
        <f t="shared" si="8"/>
        <v>31.283730886850151</v>
      </c>
      <c r="AV16" s="176" t="str">
        <f t="shared" si="9"/>
        <v/>
      </c>
      <c r="AW16" s="176" t="str">
        <f t="shared" si="10"/>
        <v/>
      </c>
      <c r="AX16" s="176" t="str">
        <f t="shared" si="11"/>
        <v/>
      </c>
      <c r="AY16" s="170">
        <f t="shared" si="1"/>
        <v>0.12691408043219829</v>
      </c>
      <c r="AZ16" s="170">
        <f t="shared" si="1"/>
        <v>0.15384506666525324</v>
      </c>
      <c r="BA16" s="170">
        <f t="shared" si="1"/>
        <v>0.24411024658382674</v>
      </c>
      <c r="BB16" s="170">
        <f t="shared" si="1"/>
        <v>-5.2449881073734328E-2</v>
      </c>
      <c r="BC16" s="170">
        <f t="shared" si="1"/>
        <v>0.14189667031572406</v>
      </c>
      <c r="BD16" s="170">
        <f t="shared" si="1"/>
        <v>0.20236493374108042</v>
      </c>
      <c r="BE16" s="168" t="str">
        <f t="shared" si="1"/>
        <v/>
      </c>
      <c r="BF16" s="168" t="str">
        <f t="shared" si="1"/>
        <v/>
      </c>
      <c r="BG16" s="168" t="str">
        <f t="shared" si="1"/>
        <v/>
      </c>
      <c r="BH16" s="168" t="str">
        <f t="shared" si="1"/>
        <v/>
      </c>
      <c r="BI16" s="170">
        <f t="shared" si="1"/>
        <v>8.926639578169053E-2</v>
      </c>
      <c r="BJ16" s="168"/>
      <c r="BK16" s="168"/>
      <c r="BL16" s="168"/>
      <c r="BM16" s="76"/>
      <c r="BN16" s="94"/>
      <c r="BO16" s="94"/>
      <c r="BP16" s="76"/>
      <c r="BQ16" s="76"/>
      <c r="BR16" s="76"/>
      <c r="BS16" s="76"/>
      <c r="BT16" s="76"/>
      <c r="BU16" s="76"/>
      <c r="BV16" s="76"/>
      <c r="BW16" s="76"/>
      <c r="BX16" s="76"/>
      <c r="BY16" s="76"/>
      <c r="BZ16" s="76"/>
    </row>
    <row r="17" spans="1:78" s="89" customFormat="1">
      <c r="A17" s="163" t="s">
        <v>290</v>
      </c>
      <c r="B17" s="164"/>
      <c r="C17" s="165"/>
      <c r="D17" s="155"/>
      <c r="E17" s="156"/>
      <c r="F17" s="155"/>
      <c r="G17" s="155"/>
      <c r="H17" s="166"/>
      <c r="I17" s="164" t="s">
        <v>94</v>
      </c>
      <c r="J17" s="167">
        <f>IF(ISERROR(VLOOKUP(I17,Max_Load_France!$B$2:$C$102,2,FALSE)/1000),"",VLOOKUP(I17,Max_Load_France!$B$2:$C$102,2,FALSE)/1000)</f>
        <v>40</v>
      </c>
      <c r="K17" s="157"/>
      <c r="L17" s="158">
        <f t="shared" si="0"/>
        <v>1.05975</v>
      </c>
      <c r="M17" s="160">
        <f>IF(VLOOKUP($I17,Max_Load_France!$B$2:$M$102,3,FALSE)="","",VLOOKUP($I17,Max_Load_France!$B$2:$M$102,3,FALSE))</f>
        <v>0</v>
      </c>
      <c r="N17" s="160">
        <f>IF(VLOOKUP($I17,Max_Load_France!$B$2:$M$102,4,FALSE)="","",VLOOKUP($I17,Max_Load_France!$B$2:$M$102,4,FALSE))</f>
        <v>0</v>
      </c>
      <c r="O17" s="160">
        <f>IF(VLOOKUP($I17,Max_Load_France!$B$2:$M$102,5,FALSE)="","",VLOOKUP($I17,Max_Load_France!$B$2:$M$102,5,FALSE))</f>
        <v>1</v>
      </c>
      <c r="P17" s="160">
        <f>IF(VLOOKUP($I17,Max_Load_France!$B$2:$M$102,6,FALSE)="","",VLOOKUP($I17,Max_Load_France!$B$2:$M$102,6,FALSE))</f>
        <v>1</v>
      </c>
      <c r="Q17" s="160">
        <f>IF(VLOOKUP($I17,Max_Load_France!$B$2:$M$102,7,FALSE)="","",VLOOKUP($I17,Max_Load_France!$B$2:$M$102,7,FALSE))</f>
        <v>1</v>
      </c>
      <c r="R17" s="160" t="str">
        <f>IF(VLOOKUP($I17,Max_Load_France!$B$2:$M$102,8,FALSE)="","",VLOOKUP($I17,Max_Load_France!$B$2:$M$102,8,FALSE))</f>
        <v/>
      </c>
      <c r="S17" s="160" t="str">
        <f>IF(VLOOKUP($I17,Max_Load_France!$B$2:$M$102,9,FALSE)="","",VLOOKUP($I17,Max_Load_France!$B$2:$M$102,9,FALSE))</f>
        <v/>
      </c>
      <c r="T17" s="160" t="str">
        <f>IF(VLOOKUP($I17,Max_Load_France!$B$2:$M$102,10,FALSE)="","",VLOOKUP($I17,Max_Load_France!$B$2:$M$102,10,FALSE))</f>
        <v/>
      </c>
      <c r="U17" s="160" t="str">
        <f>IF(VLOOKUP($I17,Max_Load_France!$B$2:$M$102,11,FALSE)="","",VLOOKUP($I17,Max_Load_France!$B$2:$M$102,11,FALSE))</f>
        <v/>
      </c>
      <c r="V17" s="160">
        <f>IF(VLOOKUP($I17,Max_Load_France!$B$2:$M$102,12,FALSE)="","",VLOOKUP($I17,Max_Load_France!$B$2:$M$102,12,FALSE))</f>
        <v>5</v>
      </c>
      <c r="W17" s="172">
        <f t="shared" si="2"/>
        <v>42.39</v>
      </c>
      <c r="X17" s="173">
        <v>5.77</v>
      </c>
      <c r="Y17" s="173">
        <v>7.9</v>
      </c>
      <c r="Z17" s="173">
        <v>10.5</v>
      </c>
      <c r="AA17" s="173">
        <v>9.4700000000000006</v>
      </c>
      <c r="AB17" s="173">
        <v>8.75</v>
      </c>
      <c r="AC17" s="174"/>
      <c r="AD17" s="175"/>
      <c r="AE17" s="175"/>
      <c r="AF17" s="175"/>
      <c r="AG17" s="176">
        <f t="shared" si="3"/>
        <v>28.72</v>
      </c>
      <c r="AH17" s="176" t="str">
        <f t="shared" si="4"/>
        <v/>
      </c>
      <c r="AI17" s="176" t="str">
        <f t="shared" si="5"/>
        <v/>
      </c>
      <c r="AJ17" s="176" t="str">
        <f t="shared" si="6"/>
        <v/>
      </c>
      <c r="AK17" s="177">
        <f t="shared" si="7"/>
        <v>50.046177370030577</v>
      </c>
      <c r="AL17" s="173">
        <v>6.6767787971457695</v>
      </c>
      <c r="AM17" s="173">
        <v>10.095494393476045</v>
      </c>
      <c r="AN17" s="173">
        <v>10.920183486238532</v>
      </c>
      <c r="AO17" s="173">
        <v>11.478185524974515</v>
      </c>
      <c r="AP17" s="173">
        <v>10.875535168195718</v>
      </c>
      <c r="AQ17" s="174"/>
      <c r="AR17" s="175"/>
      <c r="AS17" s="175"/>
      <c r="AT17" s="175"/>
      <c r="AU17" s="176">
        <f t="shared" si="8"/>
        <v>33.273904179408767</v>
      </c>
      <c r="AV17" s="176" t="str">
        <f t="shared" si="9"/>
        <v/>
      </c>
      <c r="AW17" s="176" t="str">
        <f t="shared" si="10"/>
        <v/>
      </c>
      <c r="AX17" s="176" t="str">
        <f t="shared" si="11"/>
        <v/>
      </c>
      <c r="AY17" s="170">
        <f t="shared" si="1"/>
        <v>0.18061281835410653</v>
      </c>
      <c r="AZ17" s="170">
        <f t="shared" si="1"/>
        <v>0.15715403763358232</v>
      </c>
      <c r="BA17" s="170">
        <f t="shared" si="1"/>
        <v>0.27791068271848668</v>
      </c>
      <c r="BB17" s="170">
        <f t="shared" si="1"/>
        <v>4.0017474879860175E-2</v>
      </c>
      <c r="BC17" s="170">
        <f t="shared" si="1"/>
        <v>0.21205760559392972</v>
      </c>
      <c r="BD17" s="170">
        <f t="shared" si="1"/>
        <v>0.24291830493665348</v>
      </c>
      <c r="BE17" s="168" t="str">
        <f t="shared" si="1"/>
        <v/>
      </c>
      <c r="BF17" s="168" t="str">
        <f t="shared" si="1"/>
        <v/>
      </c>
      <c r="BG17" s="168" t="str">
        <f t="shared" si="1"/>
        <v/>
      </c>
      <c r="BH17" s="168" t="str">
        <f t="shared" si="1"/>
        <v/>
      </c>
      <c r="BI17" s="170">
        <f t="shared" si="1"/>
        <v>0.15856212323846686</v>
      </c>
      <c r="BJ17" s="168"/>
      <c r="BK17" s="168"/>
      <c r="BL17" s="168"/>
      <c r="BM17" s="76"/>
      <c r="BN17" s="94"/>
      <c r="BO17" s="94"/>
      <c r="BP17" s="76"/>
      <c r="BQ17" s="76"/>
      <c r="BR17" s="76"/>
      <c r="BS17" s="70"/>
      <c r="BT17" s="76"/>
      <c r="BU17" s="76"/>
      <c r="BV17" s="76"/>
      <c r="BW17" s="76"/>
      <c r="BX17" s="76"/>
      <c r="BY17" s="76"/>
      <c r="BZ17" s="76"/>
    </row>
    <row r="18" spans="1:78" s="89" customFormat="1">
      <c r="A18" s="163" t="s">
        <v>291</v>
      </c>
      <c r="B18" s="164"/>
      <c r="C18" s="165"/>
      <c r="D18" s="159"/>
      <c r="E18" s="156"/>
      <c r="F18" s="155"/>
      <c r="G18" s="155"/>
      <c r="H18" s="166"/>
      <c r="I18" s="164" t="s">
        <v>94</v>
      </c>
      <c r="J18" s="167">
        <f>IF(ISERROR(VLOOKUP(I18,Max_Load_France!$B$2:$C$102,2,FALSE)/1000),"",VLOOKUP(I18,Max_Load_France!$B$2:$C$102,2,FALSE)/1000)</f>
        <v>40</v>
      </c>
      <c r="K18" s="157"/>
      <c r="L18" s="158">
        <f t="shared" si="0"/>
        <v>1.05975</v>
      </c>
      <c r="M18" s="160">
        <f>IF(VLOOKUP($I18,Max_Load_France!$B$2:$M$102,3,FALSE)="","",VLOOKUP($I18,Max_Load_France!$B$2:$M$102,3,FALSE))</f>
        <v>0</v>
      </c>
      <c r="N18" s="160">
        <f>IF(VLOOKUP($I18,Max_Load_France!$B$2:$M$102,4,FALSE)="","",VLOOKUP($I18,Max_Load_France!$B$2:$M$102,4,FALSE))</f>
        <v>0</v>
      </c>
      <c r="O18" s="160">
        <f>IF(VLOOKUP($I18,Max_Load_France!$B$2:$M$102,5,FALSE)="","",VLOOKUP($I18,Max_Load_France!$B$2:$M$102,5,FALSE))</f>
        <v>1</v>
      </c>
      <c r="P18" s="160">
        <f>IF(VLOOKUP($I18,Max_Load_France!$B$2:$M$102,6,FALSE)="","",VLOOKUP($I18,Max_Load_France!$B$2:$M$102,6,FALSE))</f>
        <v>1</v>
      </c>
      <c r="Q18" s="160">
        <f>IF(VLOOKUP($I18,Max_Load_France!$B$2:$M$102,7,FALSE)="","",VLOOKUP($I18,Max_Load_France!$B$2:$M$102,7,FALSE))</f>
        <v>1</v>
      </c>
      <c r="R18" s="160" t="str">
        <f>IF(VLOOKUP($I18,Max_Load_France!$B$2:$M$102,8,FALSE)="","",VLOOKUP($I18,Max_Load_France!$B$2:$M$102,8,FALSE))</f>
        <v/>
      </c>
      <c r="S18" s="160" t="str">
        <f>IF(VLOOKUP($I18,Max_Load_France!$B$2:$M$102,9,FALSE)="","",VLOOKUP($I18,Max_Load_France!$B$2:$M$102,9,FALSE))</f>
        <v/>
      </c>
      <c r="T18" s="160" t="str">
        <f>IF(VLOOKUP($I18,Max_Load_France!$B$2:$M$102,10,FALSE)="","",VLOOKUP($I18,Max_Load_France!$B$2:$M$102,10,FALSE))</f>
        <v/>
      </c>
      <c r="U18" s="160" t="str">
        <f>IF(VLOOKUP($I18,Max_Load_France!$B$2:$M$102,11,FALSE)="","",VLOOKUP($I18,Max_Load_France!$B$2:$M$102,11,FALSE))</f>
        <v/>
      </c>
      <c r="V18" s="160">
        <f>IF(VLOOKUP($I18,Max_Load_France!$B$2:$M$102,12,FALSE)="","",VLOOKUP($I18,Max_Load_France!$B$2:$M$102,12,FALSE))</f>
        <v>5</v>
      </c>
      <c r="W18" s="172">
        <f t="shared" si="2"/>
        <v>42.39</v>
      </c>
      <c r="X18" s="173">
        <v>5.77</v>
      </c>
      <c r="Y18" s="173">
        <v>7.9</v>
      </c>
      <c r="Z18" s="173">
        <v>10.5</v>
      </c>
      <c r="AA18" s="173">
        <v>9.4700000000000006</v>
      </c>
      <c r="AB18" s="173">
        <v>8.75</v>
      </c>
      <c r="AC18" s="174"/>
      <c r="AD18" s="175"/>
      <c r="AE18" s="175"/>
      <c r="AF18" s="175"/>
      <c r="AG18" s="176">
        <f t="shared" si="3"/>
        <v>28.72</v>
      </c>
      <c r="AH18" s="176" t="str">
        <f t="shared" si="4"/>
        <v/>
      </c>
      <c r="AI18" s="176" t="str">
        <f t="shared" si="5"/>
        <v/>
      </c>
      <c r="AJ18" s="176" t="str">
        <f t="shared" si="6"/>
        <v/>
      </c>
      <c r="AK18" s="177">
        <f t="shared" si="7"/>
        <v>48.570193679918454</v>
      </c>
      <c r="AL18" s="173">
        <v>6.7110091743119256</v>
      </c>
      <c r="AM18" s="173">
        <v>9.8398165137614679</v>
      </c>
      <c r="AN18" s="173">
        <v>10.450050968399593</v>
      </c>
      <c r="AO18" s="173">
        <v>10.773700305810397</v>
      </c>
      <c r="AP18" s="173">
        <v>10.795616717635065</v>
      </c>
      <c r="AQ18" s="174"/>
      <c r="AR18" s="175"/>
      <c r="AS18" s="175"/>
      <c r="AT18" s="175"/>
      <c r="AU18" s="176">
        <f t="shared" si="8"/>
        <v>32.019367991845051</v>
      </c>
      <c r="AV18" s="176" t="str">
        <f t="shared" si="9"/>
        <v/>
      </c>
      <c r="AW18" s="176" t="str">
        <f t="shared" si="10"/>
        <v/>
      </c>
      <c r="AX18" s="176" t="str">
        <f t="shared" si="11"/>
        <v/>
      </c>
      <c r="AY18" s="170">
        <f t="shared" si="1"/>
        <v>0.14579367020331335</v>
      </c>
      <c r="AZ18" s="170">
        <f t="shared" si="1"/>
        <v>0.16308651201246552</v>
      </c>
      <c r="BA18" s="170">
        <f t="shared" si="1"/>
        <v>0.2455463941470212</v>
      </c>
      <c r="BB18" s="170">
        <f t="shared" si="1"/>
        <v>-4.7570506286102304E-3</v>
      </c>
      <c r="BC18" s="170">
        <f t="shared" si="1"/>
        <v>0.13766634697047483</v>
      </c>
      <c r="BD18" s="170">
        <f t="shared" si="1"/>
        <v>0.2337847677297217</v>
      </c>
      <c r="BE18" s="168" t="str">
        <f t="shared" si="1"/>
        <v/>
      </c>
      <c r="BF18" s="168" t="str">
        <f t="shared" si="1"/>
        <v/>
      </c>
      <c r="BG18" s="168" t="str">
        <f t="shared" si="1"/>
        <v/>
      </c>
      <c r="BH18" s="168" t="str">
        <f t="shared" si="1"/>
        <v/>
      </c>
      <c r="BI18" s="170">
        <f t="shared" si="1"/>
        <v>0.11488050110881103</v>
      </c>
      <c r="BJ18" s="168"/>
      <c r="BK18" s="168"/>
      <c r="BL18" s="168"/>
      <c r="BM18" s="76"/>
      <c r="BN18" s="94"/>
      <c r="BO18" s="94"/>
      <c r="BP18" s="76"/>
      <c r="BQ18" s="76"/>
      <c r="BR18" s="76"/>
      <c r="BS18" s="70"/>
      <c r="BT18" s="76"/>
      <c r="BU18" s="76"/>
      <c r="BV18" s="76"/>
      <c r="BW18" s="76"/>
      <c r="BX18" s="76"/>
      <c r="BY18" s="76"/>
      <c r="BZ18" s="76"/>
    </row>
    <row r="19" spans="1:78" s="89" customFormat="1">
      <c r="A19" s="163" t="s">
        <v>292</v>
      </c>
      <c r="B19" s="164"/>
      <c r="C19" s="165"/>
      <c r="D19" s="159"/>
      <c r="E19" s="156"/>
      <c r="F19" s="155"/>
      <c r="G19" s="155"/>
      <c r="H19" s="166"/>
      <c r="I19" s="164" t="s">
        <v>94</v>
      </c>
      <c r="J19" s="167">
        <f>IF(ISERROR(VLOOKUP(I19,Max_Load_France!$B$2:$C$102,2,FALSE)/1000),"",VLOOKUP(I19,Max_Load_France!$B$2:$C$102,2,FALSE)/1000)</f>
        <v>40</v>
      </c>
      <c r="K19" s="157"/>
      <c r="L19" s="158">
        <f t="shared" si="0"/>
        <v>1.05975</v>
      </c>
      <c r="M19" s="160">
        <f>IF(VLOOKUP($I19,Max_Load_France!$B$2:$M$102,3,FALSE)="","",VLOOKUP($I19,Max_Load_France!$B$2:$M$102,3,FALSE))</f>
        <v>0</v>
      </c>
      <c r="N19" s="160">
        <f>IF(VLOOKUP($I19,Max_Load_France!$B$2:$M$102,4,FALSE)="","",VLOOKUP($I19,Max_Load_France!$B$2:$M$102,4,FALSE))</f>
        <v>0</v>
      </c>
      <c r="O19" s="160">
        <f>IF(VLOOKUP($I19,Max_Load_France!$B$2:$M$102,5,FALSE)="","",VLOOKUP($I19,Max_Load_France!$B$2:$M$102,5,FALSE))</f>
        <v>1</v>
      </c>
      <c r="P19" s="160">
        <f>IF(VLOOKUP($I19,Max_Load_France!$B$2:$M$102,6,FALSE)="","",VLOOKUP($I19,Max_Load_France!$B$2:$M$102,6,FALSE))</f>
        <v>1</v>
      </c>
      <c r="Q19" s="160">
        <f>IF(VLOOKUP($I19,Max_Load_France!$B$2:$M$102,7,FALSE)="","",VLOOKUP($I19,Max_Load_France!$B$2:$M$102,7,FALSE))</f>
        <v>1</v>
      </c>
      <c r="R19" s="160" t="str">
        <f>IF(VLOOKUP($I19,Max_Load_France!$B$2:$M$102,8,FALSE)="","",VLOOKUP($I19,Max_Load_France!$B$2:$M$102,8,FALSE))</f>
        <v/>
      </c>
      <c r="S19" s="160" t="str">
        <f>IF(VLOOKUP($I19,Max_Load_France!$B$2:$M$102,9,FALSE)="","",VLOOKUP($I19,Max_Load_France!$B$2:$M$102,9,FALSE))</f>
        <v/>
      </c>
      <c r="T19" s="160" t="str">
        <f>IF(VLOOKUP($I19,Max_Load_France!$B$2:$M$102,10,FALSE)="","",VLOOKUP($I19,Max_Load_France!$B$2:$M$102,10,FALSE))</f>
        <v/>
      </c>
      <c r="U19" s="160" t="str">
        <f>IF(VLOOKUP($I19,Max_Load_France!$B$2:$M$102,11,FALSE)="","",VLOOKUP($I19,Max_Load_France!$B$2:$M$102,11,FALSE))</f>
        <v/>
      </c>
      <c r="V19" s="160">
        <f>IF(VLOOKUP($I19,Max_Load_France!$B$2:$M$102,12,FALSE)="","",VLOOKUP($I19,Max_Load_France!$B$2:$M$102,12,FALSE))</f>
        <v>5</v>
      </c>
      <c r="W19" s="172">
        <f t="shared" si="2"/>
        <v>42.39</v>
      </c>
      <c r="X19" s="173">
        <v>5.77</v>
      </c>
      <c r="Y19" s="173">
        <v>7.9</v>
      </c>
      <c r="Z19" s="173">
        <v>10.5</v>
      </c>
      <c r="AA19" s="173">
        <v>9.4700000000000006</v>
      </c>
      <c r="AB19" s="173">
        <v>8.75</v>
      </c>
      <c r="AC19" s="174"/>
      <c r="AD19" s="175"/>
      <c r="AE19" s="175"/>
      <c r="AF19" s="175"/>
      <c r="AG19" s="176">
        <f t="shared" si="3"/>
        <v>28.72</v>
      </c>
      <c r="AH19" s="176" t="str">
        <f t="shared" si="4"/>
        <v/>
      </c>
      <c r="AI19" s="176" t="str">
        <f t="shared" si="5"/>
        <v/>
      </c>
      <c r="AJ19" s="176" t="str">
        <f t="shared" si="6"/>
        <v/>
      </c>
      <c r="AK19" s="177">
        <f t="shared" si="7"/>
        <v>44.060540265035677</v>
      </c>
      <c r="AL19" s="173">
        <v>6.1366666666666658</v>
      </c>
      <c r="AM19" s="173">
        <v>8.7974617737003058</v>
      </c>
      <c r="AN19" s="173">
        <v>9.5127115188583069</v>
      </c>
      <c r="AO19" s="173">
        <v>10.17683995922528</v>
      </c>
      <c r="AP19" s="173">
        <v>9.4368603465851155</v>
      </c>
      <c r="AQ19" s="174"/>
      <c r="AR19" s="175"/>
      <c r="AS19" s="175"/>
      <c r="AT19" s="175"/>
      <c r="AU19" s="176">
        <f t="shared" si="8"/>
        <v>29.1264118246687</v>
      </c>
      <c r="AV19" s="176" t="str">
        <f t="shared" si="9"/>
        <v/>
      </c>
      <c r="AW19" s="176" t="str">
        <f t="shared" si="10"/>
        <v/>
      </c>
      <c r="AX19" s="176" t="str">
        <f t="shared" si="11"/>
        <v/>
      </c>
      <c r="AY19" s="170">
        <f t="shared" si="1"/>
        <v>3.9408829087890444E-2</v>
      </c>
      <c r="AZ19" s="170">
        <f t="shared" si="1"/>
        <v>6.3547082611207326E-2</v>
      </c>
      <c r="BA19" s="170">
        <f t="shared" si="1"/>
        <v>0.11360275616459561</v>
      </c>
      <c r="BB19" s="170">
        <f t="shared" si="1"/>
        <v>-9.4027474394446961E-2</v>
      </c>
      <c r="BC19" s="170">
        <f t="shared" si="1"/>
        <v>7.4639911217030536E-2</v>
      </c>
      <c r="BD19" s="170">
        <f t="shared" si="1"/>
        <v>7.8498325324013199E-2</v>
      </c>
      <c r="BE19" s="168" t="str">
        <f t="shared" si="1"/>
        <v/>
      </c>
      <c r="BF19" s="168" t="str">
        <f t="shared" si="1"/>
        <v/>
      </c>
      <c r="BG19" s="168" t="str">
        <f t="shared" si="1"/>
        <v/>
      </c>
      <c r="BH19" s="168" t="str">
        <f t="shared" si="1"/>
        <v/>
      </c>
      <c r="BI19" s="170">
        <f t="shared" si="1"/>
        <v>1.4150829549745879E-2</v>
      </c>
      <c r="BJ19" s="168"/>
      <c r="BK19" s="168"/>
      <c r="BL19" s="168"/>
      <c r="BM19" s="76"/>
      <c r="BN19" s="94"/>
      <c r="BO19" s="94"/>
      <c r="BP19" s="76"/>
      <c r="BQ19" s="76"/>
      <c r="BR19" s="76"/>
      <c r="BS19" s="76"/>
      <c r="BT19" s="76"/>
      <c r="BU19" s="76"/>
      <c r="BV19" s="76"/>
      <c r="BW19" s="76"/>
      <c r="BX19" s="76"/>
      <c r="BY19" s="76"/>
      <c r="BZ19" s="76"/>
    </row>
    <row r="20" spans="1:78" s="89" customFormat="1">
      <c r="A20" s="163" t="s">
        <v>293</v>
      </c>
      <c r="B20" s="164"/>
      <c r="C20" s="165"/>
      <c r="D20" s="155"/>
      <c r="E20" s="156"/>
      <c r="F20" s="155"/>
      <c r="G20" s="155"/>
      <c r="H20" s="166"/>
      <c r="I20" s="164" t="s">
        <v>94</v>
      </c>
      <c r="J20" s="167">
        <f>IF(ISERROR(VLOOKUP(I20,Max_Load_France!$B$2:$C$102,2,FALSE)/1000),"",VLOOKUP(I20,Max_Load_France!$B$2:$C$102,2,FALSE)/1000)</f>
        <v>40</v>
      </c>
      <c r="K20" s="157"/>
      <c r="L20" s="158">
        <f t="shared" si="0"/>
        <v>1.05975</v>
      </c>
      <c r="M20" s="160">
        <f>IF(VLOOKUP($I20,Max_Load_France!$B$2:$M$102,3,FALSE)="","",VLOOKUP($I20,Max_Load_France!$B$2:$M$102,3,FALSE))</f>
        <v>0</v>
      </c>
      <c r="N20" s="160">
        <f>IF(VLOOKUP($I20,Max_Load_France!$B$2:$M$102,4,FALSE)="","",VLOOKUP($I20,Max_Load_France!$B$2:$M$102,4,FALSE))</f>
        <v>0</v>
      </c>
      <c r="O20" s="160">
        <f>IF(VLOOKUP($I20,Max_Load_France!$B$2:$M$102,5,FALSE)="","",VLOOKUP($I20,Max_Load_France!$B$2:$M$102,5,FALSE))</f>
        <v>1</v>
      </c>
      <c r="P20" s="160">
        <f>IF(VLOOKUP($I20,Max_Load_France!$B$2:$M$102,6,FALSE)="","",VLOOKUP($I20,Max_Load_France!$B$2:$M$102,6,FALSE))</f>
        <v>1</v>
      </c>
      <c r="Q20" s="160">
        <f>IF(VLOOKUP($I20,Max_Load_France!$B$2:$M$102,7,FALSE)="","",VLOOKUP($I20,Max_Load_France!$B$2:$M$102,7,FALSE))</f>
        <v>1</v>
      </c>
      <c r="R20" s="160" t="str">
        <f>IF(VLOOKUP($I20,Max_Load_France!$B$2:$M$102,8,FALSE)="","",VLOOKUP($I20,Max_Load_France!$B$2:$M$102,8,FALSE))</f>
        <v/>
      </c>
      <c r="S20" s="160" t="str">
        <f>IF(VLOOKUP($I20,Max_Load_France!$B$2:$M$102,9,FALSE)="","",VLOOKUP($I20,Max_Load_France!$B$2:$M$102,9,FALSE))</f>
        <v/>
      </c>
      <c r="T20" s="160" t="str">
        <f>IF(VLOOKUP($I20,Max_Load_France!$B$2:$M$102,10,FALSE)="","",VLOOKUP($I20,Max_Load_France!$B$2:$M$102,10,FALSE))</f>
        <v/>
      </c>
      <c r="U20" s="160" t="str">
        <f>IF(VLOOKUP($I20,Max_Load_France!$B$2:$M$102,11,FALSE)="","",VLOOKUP($I20,Max_Load_France!$B$2:$M$102,11,FALSE))</f>
        <v/>
      </c>
      <c r="V20" s="160">
        <f>IF(VLOOKUP($I20,Max_Load_France!$B$2:$M$102,12,FALSE)="","",VLOOKUP($I20,Max_Load_France!$B$2:$M$102,12,FALSE))</f>
        <v>5</v>
      </c>
      <c r="W20" s="172">
        <f t="shared" si="2"/>
        <v>42.39</v>
      </c>
      <c r="X20" s="173">
        <v>5.77</v>
      </c>
      <c r="Y20" s="173">
        <v>7.9</v>
      </c>
      <c r="Z20" s="173">
        <v>10.5</v>
      </c>
      <c r="AA20" s="173">
        <v>9.4700000000000006</v>
      </c>
      <c r="AB20" s="173">
        <v>8.75</v>
      </c>
      <c r="AC20" s="174"/>
      <c r="AD20" s="175"/>
      <c r="AE20" s="175"/>
      <c r="AF20" s="175"/>
      <c r="AG20" s="176">
        <f t="shared" si="3"/>
        <v>28.72</v>
      </c>
      <c r="AH20" s="176" t="str">
        <f t="shared" si="4"/>
        <v/>
      </c>
      <c r="AI20" s="176" t="str">
        <f t="shared" si="5"/>
        <v/>
      </c>
      <c r="AJ20" s="176" t="str">
        <f t="shared" si="6"/>
        <v/>
      </c>
      <c r="AK20" s="177">
        <f t="shared" si="7"/>
        <v>41.825871559633022</v>
      </c>
      <c r="AL20" s="173">
        <v>5.1803873598369012</v>
      </c>
      <c r="AM20" s="173">
        <v>8.1305300713557589</v>
      </c>
      <c r="AN20" s="173">
        <v>8.7923649337410801</v>
      </c>
      <c r="AO20" s="173">
        <v>10.804791029561672</v>
      </c>
      <c r="AP20" s="173">
        <v>8.9177981651376133</v>
      </c>
      <c r="AQ20" s="174"/>
      <c r="AR20" s="175"/>
      <c r="AS20" s="175"/>
      <c r="AT20" s="175"/>
      <c r="AU20" s="176">
        <f t="shared" si="8"/>
        <v>28.514954128440365</v>
      </c>
      <c r="AV20" s="176" t="str">
        <f t="shared" si="9"/>
        <v/>
      </c>
      <c r="AW20" s="176" t="str">
        <f t="shared" si="10"/>
        <v/>
      </c>
      <c r="AX20" s="176" t="str">
        <f t="shared" si="11"/>
        <v/>
      </c>
      <c r="AY20" s="170">
        <f t="shared" si="1"/>
        <v>-1.3308054738546323E-2</v>
      </c>
      <c r="AZ20" s="170">
        <f t="shared" si="1"/>
        <v>-0.10218589950833594</v>
      </c>
      <c r="BA20" s="170">
        <f t="shared" si="1"/>
        <v>2.9181021690602344E-2</v>
      </c>
      <c r="BB20" s="170">
        <f t="shared" si="1"/>
        <v>-0.16263191107227809</v>
      </c>
      <c r="BC20" s="170">
        <f t="shared" si="1"/>
        <v>0.14094942234019761</v>
      </c>
      <c r="BD20" s="170">
        <f t="shared" si="1"/>
        <v>1.9176933158584372E-2</v>
      </c>
      <c r="BE20" s="168" t="str">
        <f t="shared" si="1"/>
        <v/>
      </c>
      <c r="BF20" s="168" t="str">
        <f t="shared" si="1"/>
        <v/>
      </c>
      <c r="BG20" s="168" t="str">
        <f t="shared" si="1"/>
        <v/>
      </c>
      <c r="BH20" s="168" t="str">
        <f t="shared" si="1"/>
        <v/>
      </c>
      <c r="BI20" s="170">
        <f t="shared" si="1"/>
        <v>-7.1394802075081306E-3</v>
      </c>
      <c r="BJ20" s="168"/>
      <c r="BK20" s="168"/>
      <c r="BL20" s="168"/>
      <c r="BM20" s="76"/>
      <c r="BN20" s="94"/>
      <c r="BO20" s="94"/>
      <c r="BP20" s="76"/>
      <c r="BQ20" s="76"/>
      <c r="BR20" s="76"/>
      <c r="BS20" s="76"/>
      <c r="BT20" s="76"/>
      <c r="BU20" s="76"/>
      <c r="BV20" s="76"/>
      <c r="BW20" s="76"/>
      <c r="BX20" s="76"/>
      <c r="BY20" s="76"/>
      <c r="BZ20" s="76"/>
    </row>
    <row r="21" spans="1:78" s="89" customFormat="1">
      <c r="A21" s="163" t="s">
        <v>294</v>
      </c>
      <c r="B21" s="164"/>
      <c r="C21" s="165"/>
      <c r="D21" s="155"/>
      <c r="E21" s="156"/>
      <c r="F21" s="155"/>
      <c r="G21" s="155"/>
      <c r="H21" s="166"/>
      <c r="I21" s="164" t="s">
        <v>94</v>
      </c>
      <c r="J21" s="167">
        <f>IF(ISERROR(VLOOKUP(I21,Max_Load_France!$B$2:$C$102,2,FALSE)/1000),"",VLOOKUP(I21,Max_Load_France!$B$2:$C$102,2,FALSE)/1000)</f>
        <v>40</v>
      </c>
      <c r="K21" s="157"/>
      <c r="L21" s="158">
        <f t="shared" si="0"/>
        <v>1.05975</v>
      </c>
      <c r="M21" s="160">
        <f>IF(VLOOKUP($I21,Max_Load_France!$B$2:$M$102,3,FALSE)="","",VLOOKUP($I21,Max_Load_France!$B$2:$M$102,3,FALSE))</f>
        <v>0</v>
      </c>
      <c r="N21" s="160">
        <f>IF(VLOOKUP($I21,Max_Load_France!$B$2:$M$102,4,FALSE)="","",VLOOKUP($I21,Max_Load_France!$B$2:$M$102,4,FALSE))</f>
        <v>0</v>
      </c>
      <c r="O21" s="160">
        <f>IF(VLOOKUP($I21,Max_Load_France!$B$2:$M$102,5,FALSE)="","",VLOOKUP($I21,Max_Load_France!$B$2:$M$102,5,FALSE))</f>
        <v>1</v>
      </c>
      <c r="P21" s="160">
        <f>IF(VLOOKUP($I21,Max_Load_France!$B$2:$M$102,6,FALSE)="","",VLOOKUP($I21,Max_Load_France!$B$2:$M$102,6,FALSE))</f>
        <v>1</v>
      </c>
      <c r="Q21" s="160">
        <f>IF(VLOOKUP($I21,Max_Load_France!$B$2:$M$102,7,FALSE)="","",VLOOKUP($I21,Max_Load_France!$B$2:$M$102,7,FALSE))</f>
        <v>1</v>
      </c>
      <c r="R21" s="160" t="str">
        <f>IF(VLOOKUP($I21,Max_Load_France!$B$2:$M$102,8,FALSE)="","",VLOOKUP($I21,Max_Load_France!$B$2:$M$102,8,FALSE))</f>
        <v/>
      </c>
      <c r="S21" s="160" t="str">
        <f>IF(VLOOKUP($I21,Max_Load_France!$B$2:$M$102,9,FALSE)="","",VLOOKUP($I21,Max_Load_France!$B$2:$M$102,9,FALSE))</f>
        <v/>
      </c>
      <c r="T21" s="160" t="str">
        <f>IF(VLOOKUP($I21,Max_Load_France!$B$2:$M$102,10,FALSE)="","",VLOOKUP($I21,Max_Load_France!$B$2:$M$102,10,FALSE))</f>
        <v/>
      </c>
      <c r="U21" s="160" t="str">
        <f>IF(VLOOKUP($I21,Max_Load_France!$B$2:$M$102,11,FALSE)="","",VLOOKUP($I21,Max_Load_France!$B$2:$M$102,11,FALSE))</f>
        <v/>
      </c>
      <c r="V21" s="160">
        <f>IF(VLOOKUP($I21,Max_Load_France!$B$2:$M$102,12,FALSE)="","",VLOOKUP($I21,Max_Load_France!$B$2:$M$102,12,FALSE))</f>
        <v>5</v>
      </c>
      <c r="W21" s="172">
        <f t="shared" si="2"/>
        <v>42.39</v>
      </c>
      <c r="X21" s="173">
        <v>5.77</v>
      </c>
      <c r="Y21" s="173">
        <v>7.9</v>
      </c>
      <c r="Z21" s="173">
        <v>10.5</v>
      </c>
      <c r="AA21" s="173">
        <v>9.4700000000000006</v>
      </c>
      <c r="AB21" s="173">
        <v>8.75</v>
      </c>
      <c r="AC21" s="174"/>
      <c r="AD21" s="175"/>
      <c r="AE21" s="175"/>
      <c r="AF21" s="175"/>
      <c r="AG21" s="176">
        <f t="shared" si="3"/>
        <v>28.72</v>
      </c>
      <c r="AH21" s="176" t="str">
        <f t="shared" si="4"/>
        <v/>
      </c>
      <c r="AI21" s="176" t="str">
        <f t="shared" si="5"/>
        <v/>
      </c>
      <c r="AJ21" s="176" t="str">
        <f t="shared" si="6"/>
        <v/>
      </c>
      <c r="AK21" s="177">
        <f t="shared" si="7"/>
        <v>49.825056065239551</v>
      </c>
      <c r="AL21" s="173">
        <v>7.124831804281345</v>
      </c>
      <c r="AM21" s="173">
        <v>10.53078491335372</v>
      </c>
      <c r="AN21" s="173">
        <v>11.065749235474007</v>
      </c>
      <c r="AO21" s="173">
        <v>10.058328236493374</v>
      </c>
      <c r="AP21" s="173">
        <v>11.045361875637106</v>
      </c>
      <c r="AQ21" s="174"/>
      <c r="AR21" s="175"/>
      <c r="AS21" s="175"/>
      <c r="AT21" s="175"/>
      <c r="AU21" s="176">
        <f t="shared" si="8"/>
        <v>32.169439347604488</v>
      </c>
      <c r="AV21" s="176" t="str">
        <f t="shared" si="9"/>
        <v/>
      </c>
      <c r="AW21" s="176" t="str">
        <f t="shared" si="10"/>
        <v/>
      </c>
      <c r="AX21" s="176" t="str">
        <f t="shared" si="11"/>
        <v/>
      </c>
      <c r="AY21" s="170">
        <f t="shared" si="1"/>
        <v>0.17539646296861405</v>
      </c>
      <c r="AZ21" s="170">
        <f t="shared" si="1"/>
        <v>0.23480620524806681</v>
      </c>
      <c r="BA21" s="170">
        <f t="shared" si="1"/>
        <v>0.33301074852578733</v>
      </c>
      <c r="BB21" s="170">
        <f t="shared" si="1"/>
        <v>5.388087956895303E-2</v>
      </c>
      <c r="BC21" s="170">
        <f t="shared" si="1"/>
        <v>6.2125473758539919E-2</v>
      </c>
      <c r="BD21" s="170">
        <f t="shared" si="1"/>
        <v>0.26232707150138351</v>
      </c>
      <c r="BE21" s="168" t="str">
        <f t="shared" si="1"/>
        <v/>
      </c>
      <c r="BF21" s="168" t="str">
        <f t="shared" si="1"/>
        <v/>
      </c>
      <c r="BG21" s="168" t="str">
        <f t="shared" si="1"/>
        <v/>
      </c>
      <c r="BH21" s="168" t="str">
        <f t="shared" si="1"/>
        <v/>
      </c>
      <c r="BI21" s="170">
        <f t="shared" si="1"/>
        <v>0.12010582686645158</v>
      </c>
      <c r="BJ21" s="168"/>
      <c r="BK21" s="168"/>
      <c r="BL21" s="168"/>
      <c r="BM21" s="76"/>
      <c r="BN21" s="94"/>
      <c r="BO21" s="94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</row>
    <row r="22" spans="1:78" s="89" customFormat="1">
      <c r="A22" s="163" t="s">
        <v>295</v>
      </c>
      <c r="B22" s="164"/>
      <c r="C22" s="165"/>
      <c r="D22" s="155"/>
      <c r="E22" s="156"/>
      <c r="F22" s="155"/>
      <c r="G22" s="155"/>
      <c r="H22" s="166"/>
      <c r="I22" s="164" t="s">
        <v>94</v>
      </c>
      <c r="J22" s="167">
        <f>IF(ISERROR(VLOOKUP(I22,Max_Load_France!$B$2:$C$102,2,FALSE)/1000),"",VLOOKUP(I22,Max_Load_France!$B$2:$C$102,2,FALSE)/1000)</f>
        <v>40</v>
      </c>
      <c r="K22" s="157"/>
      <c r="L22" s="158">
        <f t="shared" si="0"/>
        <v>1.05975</v>
      </c>
      <c r="M22" s="160">
        <f>IF(VLOOKUP($I22,Max_Load_France!$B$2:$M$102,3,FALSE)="","",VLOOKUP($I22,Max_Load_France!$B$2:$M$102,3,FALSE))</f>
        <v>0</v>
      </c>
      <c r="N22" s="160">
        <f>IF(VLOOKUP($I22,Max_Load_France!$B$2:$M$102,4,FALSE)="","",VLOOKUP($I22,Max_Load_France!$B$2:$M$102,4,FALSE))</f>
        <v>0</v>
      </c>
      <c r="O22" s="160">
        <f>IF(VLOOKUP($I22,Max_Load_France!$B$2:$M$102,5,FALSE)="","",VLOOKUP($I22,Max_Load_France!$B$2:$M$102,5,FALSE))</f>
        <v>1</v>
      </c>
      <c r="P22" s="160">
        <f>IF(VLOOKUP($I22,Max_Load_France!$B$2:$M$102,6,FALSE)="","",VLOOKUP($I22,Max_Load_France!$B$2:$M$102,6,FALSE))</f>
        <v>1</v>
      </c>
      <c r="Q22" s="160">
        <f>IF(VLOOKUP($I22,Max_Load_France!$B$2:$M$102,7,FALSE)="","",VLOOKUP($I22,Max_Load_France!$B$2:$M$102,7,FALSE))</f>
        <v>1</v>
      </c>
      <c r="R22" s="160" t="str">
        <f>IF(VLOOKUP($I22,Max_Load_France!$B$2:$M$102,8,FALSE)="","",VLOOKUP($I22,Max_Load_France!$B$2:$M$102,8,FALSE))</f>
        <v/>
      </c>
      <c r="S22" s="160" t="str">
        <f>IF(VLOOKUP($I22,Max_Load_France!$B$2:$M$102,9,FALSE)="","",VLOOKUP($I22,Max_Load_France!$B$2:$M$102,9,FALSE))</f>
        <v/>
      </c>
      <c r="T22" s="160" t="str">
        <f>IF(VLOOKUP($I22,Max_Load_France!$B$2:$M$102,10,FALSE)="","",VLOOKUP($I22,Max_Load_France!$B$2:$M$102,10,FALSE))</f>
        <v/>
      </c>
      <c r="U22" s="160" t="str">
        <f>IF(VLOOKUP($I22,Max_Load_France!$B$2:$M$102,11,FALSE)="","",VLOOKUP($I22,Max_Load_France!$B$2:$M$102,11,FALSE))</f>
        <v/>
      </c>
      <c r="V22" s="160">
        <f>IF(VLOOKUP($I22,Max_Load_France!$B$2:$M$102,12,FALSE)="","",VLOOKUP($I22,Max_Load_France!$B$2:$M$102,12,FALSE))</f>
        <v>5</v>
      </c>
      <c r="W22" s="172">
        <f t="shared" si="2"/>
        <v>42.39</v>
      </c>
      <c r="X22" s="173">
        <v>5.77</v>
      </c>
      <c r="Y22" s="173">
        <v>7.9</v>
      </c>
      <c r="Z22" s="173">
        <v>10.5</v>
      </c>
      <c r="AA22" s="173">
        <v>9.4700000000000006</v>
      </c>
      <c r="AB22" s="173">
        <v>8.75</v>
      </c>
      <c r="AC22" s="174"/>
      <c r="AD22" s="175"/>
      <c r="AE22" s="175"/>
      <c r="AF22" s="175"/>
      <c r="AG22" s="176">
        <f t="shared" si="3"/>
        <v>28.72</v>
      </c>
      <c r="AH22" s="176" t="str">
        <f t="shared" si="4"/>
        <v/>
      </c>
      <c r="AI22" s="176" t="str">
        <f t="shared" si="5"/>
        <v/>
      </c>
      <c r="AJ22" s="176" t="str">
        <f t="shared" si="6"/>
        <v/>
      </c>
      <c r="AK22" s="177">
        <f t="shared" si="7"/>
        <v>47.901121304791033</v>
      </c>
      <c r="AL22" s="173">
        <v>6.651345565749236</v>
      </c>
      <c r="AM22" s="173">
        <v>9.9805096839959226</v>
      </c>
      <c r="AN22" s="173">
        <v>10.722222222222221</v>
      </c>
      <c r="AO22" s="173">
        <v>9.5842507645259936</v>
      </c>
      <c r="AP22" s="173">
        <v>10.962793068297655</v>
      </c>
      <c r="AQ22" s="174"/>
      <c r="AR22" s="175"/>
      <c r="AS22" s="175"/>
      <c r="AT22" s="175"/>
      <c r="AU22" s="176">
        <f t="shared" si="8"/>
        <v>31.269266055045868</v>
      </c>
      <c r="AV22" s="176" t="str">
        <f t="shared" si="9"/>
        <v/>
      </c>
      <c r="AW22" s="176" t="str">
        <f t="shared" si="10"/>
        <v/>
      </c>
      <c r="AX22" s="176" t="str">
        <f t="shared" si="11"/>
        <v/>
      </c>
      <c r="AY22" s="170">
        <f t="shared" si="1"/>
        <v>0.13000993877780215</v>
      </c>
      <c r="AZ22" s="170">
        <f t="shared" si="1"/>
        <v>0.15274619857005831</v>
      </c>
      <c r="BA22" s="170">
        <f t="shared" si="1"/>
        <v>0.26335565620201545</v>
      </c>
      <c r="BB22" s="170">
        <f t="shared" si="1"/>
        <v>2.116402116402109E-2</v>
      </c>
      <c r="BC22" s="170">
        <f t="shared" si="1"/>
        <v>1.2064494670115408E-2</v>
      </c>
      <c r="BD22" s="170">
        <f t="shared" si="1"/>
        <v>0.25289063637687487</v>
      </c>
      <c r="BE22" s="168" t="str">
        <f t="shared" si="1"/>
        <v/>
      </c>
      <c r="BF22" s="168" t="str">
        <f t="shared" si="1"/>
        <v/>
      </c>
      <c r="BG22" s="168" t="str">
        <f t="shared" si="1"/>
        <v/>
      </c>
      <c r="BH22" s="168" t="str">
        <f t="shared" si="1"/>
        <v/>
      </c>
      <c r="BI22" s="170">
        <f t="shared" si="1"/>
        <v>8.8762745649229438E-2</v>
      </c>
      <c r="BJ22" s="168"/>
      <c r="BK22" s="168"/>
      <c r="BL22" s="168"/>
      <c r="BM22" s="76"/>
      <c r="BN22" s="94"/>
      <c r="BO22" s="94"/>
      <c r="BP22" s="76"/>
      <c r="BQ22" s="76"/>
      <c r="BR22" s="76"/>
      <c r="BS22" s="76"/>
      <c r="BT22" s="76"/>
      <c r="BU22" s="76"/>
      <c r="BV22" s="76"/>
      <c r="BW22" s="76"/>
      <c r="BX22" s="76"/>
      <c r="BY22" s="76"/>
      <c r="BZ22" s="76"/>
    </row>
    <row r="23" spans="1:78" s="89" customFormat="1">
      <c r="A23" s="163" t="s">
        <v>296</v>
      </c>
      <c r="B23" s="164"/>
      <c r="C23" s="165"/>
      <c r="D23" s="155"/>
      <c r="E23" s="156"/>
      <c r="F23" s="155"/>
      <c r="G23" s="155"/>
      <c r="H23" s="166"/>
      <c r="I23" s="164" t="s">
        <v>94</v>
      </c>
      <c r="J23" s="167">
        <f>IF(ISERROR(VLOOKUP(I23,Max_Load_France!$B$2:$C$102,2,FALSE)/1000),"",VLOOKUP(I23,Max_Load_France!$B$2:$C$102,2,FALSE)/1000)</f>
        <v>40</v>
      </c>
      <c r="K23" s="157"/>
      <c r="L23" s="158">
        <f t="shared" si="0"/>
        <v>1.05975</v>
      </c>
      <c r="M23" s="160">
        <f>IF(VLOOKUP($I23,Max_Load_France!$B$2:$M$102,3,FALSE)="","",VLOOKUP($I23,Max_Load_France!$B$2:$M$102,3,FALSE))</f>
        <v>0</v>
      </c>
      <c r="N23" s="160">
        <f>IF(VLOOKUP($I23,Max_Load_France!$B$2:$M$102,4,FALSE)="","",VLOOKUP($I23,Max_Load_France!$B$2:$M$102,4,FALSE))</f>
        <v>0</v>
      </c>
      <c r="O23" s="160">
        <f>IF(VLOOKUP($I23,Max_Load_France!$B$2:$M$102,5,FALSE)="","",VLOOKUP($I23,Max_Load_France!$B$2:$M$102,5,FALSE))</f>
        <v>1</v>
      </c>
      <c r="P23" s="160">
        <f>IF(VLOOKUP($I23,Max_Load_France!$B$2:$M$102,6,FALSE)="","",VLOOKUP($I23,Max_Load_France!$B$2:$M$102,6,FALSE))</f>
        <v>1</v>
      </c>
      <c r="Q23" s="160">
        <f>IF(VLOOKUP($I23,Max_Load_France!$B$2:$M$102,7,FALSE)="","",VLOOKUP($I23,Max_Load_France!$B$2:$M$102,7,FALSE))</f>
        <v>1</v>
      </c>
      <c r="R23" s="160" t="str">
        <f>IF(VLOOKUP($I23,Max_Load_France!$B$2:$M$102,8,FALSE)="","",VLOOKUP($I23,Max_Load_France!$B$2:$M$102,8,FALSE))</f>
        <v/>
      </c>
      <c r="S23" s="160" t="str">
        <f>IF(VLOOKUP($I23,Max_Load_France!$B$2:$M$102,9,FALSE)="","",VLOOKUP($I23,Max_Load_France!$B$2:$M$102,9,FALSE))</f>
        <v/>
      </c>
      <c r="T23" s="160" t="str">
        <f>IF(VLOOKUP($I23,Max_Load_France!$B$2:$M$102,10,FALSE)="","",VLOOKUP($I23,Max_Load_France!$B$2:$M$102,10,FALSE))</f>
        <v/>
      </c>
      <c r="U23" s="160" t="str">
        <f>IF(VLOOKUP($I23,Max_Load_France!$B$2:$M$102,11,FALSE)="","",VLOOKUP($I23,Max_Load_France!$B$2:$M$102,11,FALSE))</f>
        <v/>
      </c>
      <c r="V23" s="160">
        <f>IF(VLOOKUP($I23,Max_Load_France!$B$2:$M$102,12,FALSE)="","",VLOOKUP($I23,Max_Load_France!$B$2:$M$102,12,FALSE))</f>
        <v>5</v>
      </c>
      <c r="W23" s="172">
        <f t="shared" si="2"/>
        <v>42.39</v>
      </c>
      <c r="X23" s="173">
        <v>5.77</v>
      </c>
      <c r="Y23" s="173">
        <v>7.9</v>
      </c>
      <c r="Z23" s="173">
        <v>10.5</v>
      </c>
      <c r="AA23" s="173">
        <v>9.4700000000000006</v>
      </c>
      <c r="AB23" s="173">
        <v>8.75</v>
      </c>
      <c r="AC23" s="174"/>
      <c r="AD23" s="175"/>
      <c r="AE23" s="175"/>
      <c r="AF23" s="175"/>
      <c r="AG23" s="176">
        <f t="shared" si="3"/>
        <v>28.72</v>
      </c>
      <c r="AH23" s="176" t="str">
        <f t="shared" si="4"/>
        <v/>
      </c>
      <c r="AI23" s="176" t="str">
        <f t="shared" si="5"/>
        <v/>
      </c>
      <c r="AJ23" s="176" t="str">
        <f t="shared" si="6"/>
        <v/>
      </c>
      <c r="AK23" s="177">
        <f t="shared" si="7"/>
        <v>45.166330275229356</v>
      </c>
      <c r="AL23" s="173">
        <v>7.6676146788990822</v>
      </c>
      <c r="AM23" s="173">
        <v>8.2457696228338424</v>
      </c>
      <c r="AN23" s="173">
        <v>9.9384913353720687</v>
      </c>
      <c r="AO23" s="173">
        <v>9.781865443425076</v>
      </c>
      <c r="AP23" s="173">
        <v>9.5325891946992858</v>
      </c>
      <c r="AQ23" s="174"/>
      <c r="AR23" s="175"/>
      <c r="AS23" s="175"/>
      <c r="AT23" s="175"/>
      <c r="AU23" s="176">
        <f t="shared" si="8"/>
        <v>29.252945973496431</v>
      </c>
      <c r="AV23" s="176" t="str">
        <f t="shared" si="9"/>
        <v/>
      </c>
      <c r="AW23" s="176" t="str">
        <f t="shared" si="10"/>
        <v/>
      </c>
      <c r="AX23" s="176" t="str">
        <f t="shared" si="11"/>
        <v/>
      </c>
      <c r="AY23" s="170">
        <f t="shared" si="1"/>
        <v>6.5494934541857883E-2</v>
      </c>
      <c r="AZ23" s="170">
        <f t="shared" si="1"/>
        <v>0.32887602753883582</v>
      </c>
      <c r="BA23" s="170">
        <f t="shared" si="1"/>
        <v>4.3768306687828107E-2</v>
      </c>
      <c r="BB23" s="170">
        <f t="shared" si="1"/>
        <v>-5.3477015678850597E-2</v>
      </c>
      <c r="BC23" s="170">
        <f t="shared" si="1"/>
        <v>3.2931937003703837E-2</v>
      </c>
      <c r="BD23" s="170">
        <f t="shared" si="1"/>
        <v>8.9438765108489804E-2</v>
      </c>
      <c r="BE23" s="168" t="str">
        <f t="shared" si="1"/>
        <v/>
      </c>
      <c r="BF23" s="168" t="str">
        <f t="shared" si="1"/>
        <v/>
      </c>
      <c r="BG23" s="168" t="str">
        <f t="shared" si="1"/>
        <v/>
      </c>
      <c r="BH23" s="168" t="str">
        <f t="shared" si="1"/>
        <v/>
      </c>
      <c r="BI23" s="170">
        <f t="shared" si="1"/>
        <v>1.85566146760596E-2</v>
      </c>
      <c r="BJ23" s="168"/>
      <c r="BK23" s="168"/>
      <c r="BL23" s="168"/>
      <c r="BM23" s="76"/>
      <c r="BN23" s="94"/>
      <c r="BO23" s="94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</row>
    <row r="24" spans="1:78" s="89" customFormat="1">
      <c r="A24" s="163" t="s">
        <v>297</v>
      </c>
      <c r="B24" s="164"/>
      <c r="C24" s="165"/>
      <c r="D24" s="155"/>
      <c r="E24" s="156"/>
      <c r="F24" s="155"/>
      <c r="G24" s="155"/>
      <c r="H24" s="166"/>
      <c r="I24" s="164" t="s">
        <v>94</v>
      </c>
      <c r="J24" s="167">
        <f>IF(ISERROR(VLOOKUP(I24,Max_Load_France!$B$2:$C$102,2,FALSE)/1000),"",VLOOKUP(I24,Max_Load_France!$B$2:$C$102,2,FALSE)/1000)</f>
        <v>40</v>
      </c>
      <c r="K24" s="157"/>
      <c r="L24" s="158">
        <f t="shared" si="0"/>
        <v>1.05975</v>
      </c>
      <c r="M24" s="160">
        <f>IF(VLOOKUP($I24,Max_Load_France!$B$2:$M$102,3,FALSE)="","",VLOOKUP($I24,Max_Load_France!$B$2:$M$102,3,FALSE))</f>
        <v>0</v>
      </c>
      <c r="N24" s="160">
        <f>IF(VLOOKUP($I24,Max_Load_France!$B$2:$M$102,4,FALSE)="","",VLOOKUP($I24,Max_Load_France!$B$2:$M$102,4,FALSE))</f>
        <v>0</v>
      </c>
      <c r="O24" s="160">
        <f>IF(VLOOKUP($I24,Max_Load_France!$B$2:$M$102,5,FALSE)="","",VLOOKUP($I24,Max_Load_France!$B$2:$M$102,5,FALSE))</f>
        <v>1</v>
      </c>
      <c r="P24" s="160">
        <f>IF(VLOOKUP($I24,Max_Load_France!$B$2:$M$102,6,FALSE)="","",VLOOKUP($I24,Max_Load_France!$B$2:$M$102,6,FALSE))</f>
        <v>1</v>
      </c>
      <c r="Q24" s="160">
        <f>IF(VLOOKUP($I24,Max_Load_France!$B$2:$M$102,7,FALSE)="","",VLOOKUP($I24,Max_Load_France!$B$2:$M$102,7,FALSE))</f>
        <v>1</v>
      </c>
      <c r="R24" s="160" t="str">
        <f>IF(VLOOKUP($I24,Max_Load_France!$B$2:$M$102,8,FALSE)="","",VLOOKUP($I24,Max_Load_France!$B$2:$M$102,8,FALSE))</f>
        <v/>
      </c>
      <c r="S24" s="160" t="str">
        <f>IF(VLOOKUP($I24,Max_Load_France!$B$2:$M$102,9,FALSE)="","",VLOOKUP($I24,Max_Load_France!$B$2:$M$102,9,FALSE))</f>
        <v/>
      </c>
      <c r="T24" s="160" t="str">
        <f>IF(VLOOKUP($I24,Max_Load_France!$B$2:$M$102,10,FALSE)="","",VLOOKUP($I24,Max_Load_France!$B$2:$M$102,10,FALSE))</f>
        <v/>
      </c>
      <c r="U24" s="160" t="str">
        <f>IF(VLOOKUP($I24,Max_Load_France!$B$2:$M$102,11,FALSE)="","",VLOOKUP($I24,Max_Load_France!$B$2:$M$102,11,FALSE))</f>
        <v/>
      </c>
      <c r="V24" s="160">
        <f>IF(VLOOKUP($I24,Max_Load_France!$B$2:$M$102,12,FALSE)="","",VLOOKUP($I24,Max_Load_France!$B$2:$M$102,12,FALSE))</f>
        <v>5</v>
      </c>
      <c r="W24" s="172">
        <f t="shared" si="2"/>
        <v>42.39</v>
      </c>
      <c r="X24" s="173">
        <v>5.77</v>
      </c>
      <c r="Y24" s="173">
        <v>7.9</v>
      </c>
      <c r="Z24" s="173">
        <v>10.5</v>
      </c>
      <c r="AA24" s="173">
        <v>9.4700000000000006</v>
      </c>
      <c r="AB24" s="173">
        <v>8.75</v>
      </c>
      <c r="AC24" s="174"/>
      <c r="AD24" s="175"/>
      <c r="AE24" s="175"/>
      <c r="AF24" s="175"/>
      <c r="AG24" s="176">
        <f t="shared" si="3"/>
        <v>28.72</v>
      </c>
      <c r="AH24" s="176" t="str">
        <f t="shared" si="4"/>
        <v/>
      </c>
      <c r="AI24" s="176" t="str">
        <f t="shared" si="5"/>
        <v/>
      </c>
      <c r="AJ24" s="176" t="str">
        <f t="shared" si="6"/>
        <v/>
      </c>
      <c r="AK24" s="177">
        <f t="shared" si="7"/>
        <v>43.07085626911315</v>
      </c>
      <c r="AL24" s="173">
        <v>5.6942303771661562</v>
      </c>
      <c r="AM24" s="173">
        <v>8.5718144750254837</v>
      </c>
      <c r="AN24" s="178">
        <v>8.8913251783893976</v>
      </c>
      <c r="AO24" s="173">
        <v>10.734046890927624</v>
      </c>
      <c r="AP24" s="173">
        <v>9.1794393476044842</v>
      </c>
      <c r="AQ24" s="174"/>
      <c r="AR24" s="175"/>
      <c r="AS24" s="175"/>
      <c r="AT24" s="175"/>
      <c r="AU24" s="176">
        <f t="shared" si="8"/>
        <v>28.80481141692151</v>
      </c>
      <c r="AV24" s="176" t="str">
        <f t="shared" si="9"/>
        <v/>
      </c>
      <c r="AW24" s="176" t="str">
        <f t="shared" si="10"/>
        <v/>
      </c>
      <c r="AX24" s="176" t="str">
        <f t="shared" si="11"/>
        <v/>
      </c>
      <c r="AY24" s="170">
        <f t="shared" si="1"/>
        <v>1.6061719016587636E-2</v>
      </c>
      <c r="AZ24" s="170">
        <f t="shared" si="1"/>
        <v>-1.3131650404478921E-2</v>
      </c>
      <c r="BA24" s="170">
        <f t="shared" si="1"/>
        <v>8.5039806965251041E-2</v>
      </c>
      <c r="BB24" s="170">
        <f t="shared" si="1"/>
        <v>-0.15320712586767643</v>
      </c>
      <c r="BC24" s="170">
        <f t="shared" si="1"/>
        <v>0.13347908035138581</v>
      </c>
      <c r="BD24" s="170">
        <f t="shared" si="1"/>
        <v>4.9078782583369625E-2</v>
      </c>
      <c r="BE24" s="168" t="str">
        <f t="shared" si="1"/>
        <v/>
      </c>
      <c r="BF24" s="168" t="str">
        <f t="shared" si="1"/>
        <v/>
      </c>
      <c r="BG24" s="168" t="str">
        <f t="shared" si="1"/>
        <v/>
      </c>
      <c r="BH24" s="168" t="str">
        <f t="shared" si="1"/>
        <v/>
      </c>
      <c r="BI24" s="170">
        <f t="shared" si="1"/>
        <v>2.9530437646765615E-3</v>
      </c>
      <c r="BJ24" s="168"/>
      <c r="BK24" s="168"/>
      <c r="BL24" s="168"/>
      <c r="BM24" s="76"/>
      <c r="BN24" s="70"/>
      <c r="BO24" s="70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</row>
    <row r="25" spans="1:78" s="89" customFormat="1">
      <c r="A25" s="163" t="s">
        <v>298</v>
      </c>
      <c r="B25" s="164"/>
      <c r="C25" s="165"/>
      <c r="D25" s="155"/>
      <c r="E25" s="156"/>
      <c r="F25" s="155"/>
      <c r="G25" s="155"/>
      <c r="H25" s="166"/>
      <c r="I25" s="164" t="s">
        <v>94</v>
      </c>
      <c r="J25" s="167">
        <f>IF(ISERROR(VLOOKUP(I25,Max_Load_France!$B$2:$C$102,2,FALSE)/1000),"",VLOOKUP(I25,Max_Load_France!$B$2:$C$102,2,FALSE)/1000)</f>
        <v>40</v>
      </c>
      <c r="K25" s="157"/>
      <c r="L25" s="158">
        <f t="shared" si="0"/>
        <v>1.05975</v>
      </c>
      <c r="M25" s="160">
        <f>IF(VLOOKUP($I25,Max_Load_France!$B$2:$M$102,3,FALSE)="","",VLOOKUP($I25,Max_Load_France!$B$2:$M$102,3,FALSE))</f>
        <v>0</v>
      </c>
      <c r="N25" s="160">
        <f>IF(VLOOKUP($I25,Max_Load_France!$B$2:$M$102,4,FALSE)="","",VLOOKUP($I25,Max_Load_France!$B$2:$M$102,4,FALSE))</f>
        <v>0</v>
      </c>
      <c r="O25" s="160">
        <f>IF(VLOOKUP($I25,Max_Load_France!$B$2:$M$102,5,FALSE)="","",VLOOKUP($I25,Max_Load_France!$B$2:$M$102,5,FALSE))</f>
        <v>1</v>
      </c>
      <c r="P25" s="160">
        <f>IF(VLOOKUP($I25,Max_Load_France!$B$2:$M$102,6,FALSE)="","",VLOOKUP($I25,Max_Load_France!$B$2:$M$102,6,FALSE))</f>
        <v>1</v>
      </c>
      <c r="Q25" s="160">
        <f>IF(VLOOKUP($I25,Max_Load_France!$B$2:$M$102,7,FALSE)="","",VLOOKUP($I25,Max_Load_France!$B$2:$M$102,7,FALSE))</f>
        <v>1</v>
      </c>
      <c r="R25" s="160" t="str">
        <f>IF(VLOOKUP($I25,Max_Load_France!$B$2:$M$102,8,FALSE)="","",VLOOKUP($I25,Max_Load_France!$B$2:$M$102,8,FALSE))</f>
        <v/>
      </c>
      <c r="S25" s="160" t="str">
        <f>IF(VLOOKUP($I25,Max_Load_France!$B$2:$M$102,9,FALSE)="","",VLOOKUP($I25,Max_Load_France!$B$2:$M$102,9,FALSE))</f>
        <v/>
      </c>
      <c r="T25" s="160" t="str">
        <f>IF(VLOOKUP($I25,Max_Load_France!$B$2:$M$102,10,FALSE)="","",VLOOKUP($I25,Max_Load_France!$B$2:$M$102,10,FALSE))</f>
        <v/>
      </c>
      <c r="U25" s="160" t="str">
        <f>IF(VLOOKUP($I25,Max_Load_France!$B$2:$M$102,11,FALSE)="","",VLOOKUP($I25,Max_Load_France!$B$2:$M$102,11,FALSE))</f>
        <v/>
      </c>
      <c r="V25" s="160">
        <f>IF(VLOOKUP($I25,Max_Load_France!$B$2:$M$102,12,FALSE)="","",VLOOKUP($I25,Max_Load_France!$B$2:$M$102,12,FALSE))</f>
        <v>5</v>
      </c>
      <c r="W25" s="172">
        <f t="shared" si="2"/>
        <v>42.39</v>
      </c>
      <c r="X25" s="173">
        <v>5.77</v>
      </c>
      <c r="Y25" s="173">
        <v>7.9</v>
      </c>
      <c r="Z25" s="173">
        <v>10.5</v>
      </c>
      <c r="AA25" s="173">
        <v>9.4700000000000006</v>
      </c>
      <c r="AB25" s="173">
        <v>8.75</v>
      </c>
      <c r="AC25" s="174"/>
      <c r="AD25" s="175"/>
      <c r="AE25" s="175"/>
      <c r="AF25" s="175"/>
      <c r="AG25" s="176">
        <f t="shared" si="3"/>
        <v>28.72</v>
      </c>
      <c r="AH25" s="176" t="str">
        <f t="shared" si="4"/>
        <v/>
      </c>
      <c r="AI25" s="176" t="str">
        <f t="shared" si="5"/>
        <v/>
      </c>
      <c r="AJ25" s="176" t="str">
        <f t="shared" si="6"/>
        <v/>
      </c>
      <c r="AK25" s="177">
        <f t="shared" si="7"/>
        <v>44.793537206931703</v>
      </c>
      <c r="AL25" s="173">
        <v>6.3200611620795106</v>
      </c>
      <c r="AM25" s="173">
        <v>9.1269928644240554</v>
      </c>
      <c r="AN25" s="173">
        <v>9.1176962283384295</v>
      </c>
      <c r="AO25" s="173">
        <v>10.751885830784913</v>
      </c>
      <c r="AP25" s="173">
        <v>9.47690112130479</v>
      </c>
      <c r="AQ25" s="174"/>
      <c r="AR25" s="175"/>
      <c r="AS25" s="175"/>
      <c r="AT25" s="175"/>
      <c r="AU25" s="176">
        <f t="shared" si="8"/>
        <v>29.34648318042813</v>
      </c>
      <c r="AV25" s="176" t="str">
        <f t="shared" si="9"/>
        <v/>
      </c>
      <c r="AW25" s="176" t="str">
        <f t="shared" si="10"/>
        <v/>
      </c>
      <c r="AX25" s="176" t="str">
        <f t="shared" si="11"/>
        <v/>
      </c>
      <c r="AY25" s="170">
        <f t="shared" si="1"/>
        <v>5.6700571052882801E-2</v>
      </c>
      <c r="AZ25" s="170">
        <f t="shared" si="1"/>
        <v>9.533122393059118E-2</v>
      </c>
      <c r="BA25" s="170">
        <f t="shared" si="1"/>
        <v>0.15531555245874115</v>
      </c>
      <c r="BB25" s="170">
        <f t="shared" si="1"/>
        <v>-0.1316479782534829</v>
      </c>
      <c r="BC25" s="170">
        <f t="shared" si="1"/>
        <v>0.13536281212089882</v>
      </c>
      <c r="BD25" s="170">
        <f t="shared" si="1"/>
        <v>8.307441386340457E-2</v>
      </c>
      <c r="BE25" s="168" t="str">
        <f t="shared" si="1"/>
        <v/>
      </c>
      <c r="BF25" s="168" t="str">
        <f t="shared" si="1"/>
        <v/>
      </c>
      <c r="BG25" s="168" t="str">
        <f t="shared" si="1"/>
        <v/>
      </c>
      <c r="BH25" s="168" t="str">
        <f t="shared" si="1"/>
        <v/>
      </c>
      <c r="BI25" s="170">
        <f t="shared" si="1"/>
        <v>2.1813481212678672E-2</v>
      </c>
      <c r="BJ25" s="168"/>
      <c r="BK25" s="168"/>
      <c r="BL25" s="168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  <c r="BZ25" s="76"/>
    </row>
    <row r="26" spans="1:78" s="89" customFormat="1">
      <c r="A26" s="163" t="s">
        <v>299</v>
      </c>
      <c r="B26" s="164"/>
      <c r="C26" s="165"/>
      <c r="D26" s="155"/>
      <c r="E26" s="156"/>
      <c r="F26" s="155"/>
      <c r="G26" s="155"/>
      <c r="H26" s="166"/>
      <c r="I26" s="164" t="s">
        <v>94</v>
      </c>
      <c r="J26" s="167">
        <f>IF(ISERROR(VLOOKUP(I26,Max_Load_France!$B$2:$C$102,2,FALSE)/1000),"",VLOOKUP(I26,Max_Load_France!$B$2:$C$102,2,FALSE)/1000)</f>
        <v>40</v>
      </c>
      <c r="K26" s="157"/>
      <c r="L26" s="158">
        <f t="shared" si="0"/>
        <v>1.05975</v>
      </c>
      <c r="M26" s="160">
        <f>IF(VLOOKUP($I26,Max_Load_France!$B$2:$M$102,3,FALSE)="","",VLOOKUP($I26,Max_Load_France!$B$2:$M$102,3,FALSE))</f>
        <v>0</v>
      </c>
      <c r="N26" s="160">
        <f>IF(VLOOKUP($I26,Max_Load_France!$B$2:$M$102,4,FALSE)="","",VLOOKUP($I26,Max_Load_France!$B$2:$M$102,4,FALSE))</f>
        <v>0</v>
      </c>
      <c r="O26" s="160">
        <f>IF(VLOOKUP($I26,Max_Load_France!$B$2:$M$102,5,FALSE)="","",VLOOKUP($I26,Max_Load_France!$B$2:$M$102,5,FALSE))</f>
        <v>1</v>
      </c>
      <c r="P26" s="160">
        <f>IF(VLOOKUP($I26,Max_Load_France!$B$2:$M$102,6,FALSE)="","",VLOOKUP($I26,Max_Load_France!$B$2:$M$102,6,FALSE))</f>
        <v>1</v>
      </c>
      <c r="Q26" s="160">
        <f>IF(VLOOKUP($I26,Max_Load_France!$B$2:$M$102,7,FALSE)="","",VLOOKUP($I26,Max_Load_France!$B$2:$M$102,7,FALSE))</f>
        <v>1</v>
      </c>
      <c r="R26" s="160" t="str">
        <f>IF(VLOOKUP($I26,Max_Load_France!$B$2:$M$102,8,FALSE)="","",VLOOKUP($I26,Max_Load_France!$B$2:$M$102,8,FALSE))</f>
        <v/>
      </c>
      <c r="S26" s="160" t="str">
        <f>IF(VLOOKUP($I26,Max_Load_France!$B$2:$M$102,9,FALSE)="","",VLOOKUP($I26,Max_Load_France!$B$2:$M$102,9,FALSE))</f>
        <v/>
      </c>
      <c r="T26" s="160" t="str">
        <f>IF(VLOOKUP($I26,Max_Load_France!$B$2:$M$102,10,FALSE)="","",VLOOKUP($I26,Max_Load_France!$B$2:$M$102,10,FALSE))</f>
        <v/>
      </c>
      <c r="U26" s="160" t="str">
        <f>IF(VLOOKUP($I26,Max_Load_France!$B$2:$M$102,11,FALSE)="","",VLOOKUP($I26,Max_Load_France!$B$2:$M$102,11,FALSE))</f>
        <v/>
      </c>
      <c r="V26" s="160">
        <f>IF(VLOOKUP($I26,Max_Load_France!$B$2:$M$102,12,FALSE)="","",VLOOKUP($I26,Max_Load_France!$B$2:$M$102,12,FALSE))</f>
        <v>5</v>
      </c>
      <c r="W26" s="172">
        <f t="shared" si="2"/>
        <v>42.39</v>
      </c>
      <c r="X26" s="173">
        <v>5.77</v>
      </c>
      <c r="Y26" s="173">
        <v>7.9</v>
      </c>
      <c r="Z26" s="173">
        <v>10.5</v>
      </c>
      <c r="AA26" s="173">
        <v>9.4700000000000006</v>
      </c>
      <c r="AB26" s="173">
        <v>8.75</v>
      </c>
      <c r="AC26" s="174"/>
      <c r="AD26" s="175"/>
      <c r="AE26" s="175"/>
      <c r="AF26" s="175"/>
      <c r="AG26" s="176">
        <f t="shared" si="3"/>
        <v>28.72</v>
      </c>
      <c r="AH26" s="176" t="str">
        <f t="shared" si="4"/>
        <v/>
      </c>
      <c r="AI26" s="176" t="str">
        <f t="shared" si="5"/>
        <v/>
      </c>
      <c r="AJ26" s="176" t="str">
        <f t="shared" si="6"/>
        <v/>
      </c>
      <c r="AK26" s="177">
        <f t="shared" si="7"/>
        <v>32.892242609582055</v>
      </c>
      <c r="AL26" s="173">
        <v>3.6042915392456676</v>
      </c>
      <c r="AM26" s="173">
        <v>5.6250356778797146</v>
      </c>
      <c r="AN26" s="173">
        <v>6.7200611620795101</v>
      </c>
      <c r="AO26" s="173">
        <v>10.84750254841998</v>
      </c>
      <c r="AP26" s="173">
        <v>6.0953516819571867</v>
      </c>
      <c r="AQ26" s="174"/>
      <c r="AR26" s="175"/>
      <c r="AS26" s="175"/>
      <c r="AT26" s="175"/>
      <c r="AU26" s="176">
        <f t="shared" si="8"/>
        <v>23.662915392456679</v>
      </c>
      <c r="AV26" s="176" t="str">
        <f t="shared" si="9"/>
        <v/>
      </c>
      <c r="AW26" s="176" t="str">
        <f t="shared" si="10"/>
        <v/>
      </c>
      <c r="AX26" s="176" t="str">
        <f t="shared" si="11"/>
        <v/>
      </c>
      <c r="AY26" s="170">
        <f t="shared" si="1"/>
        <v>-0.22405655556541507</v>
      </c>
      <c r="AZ26" s="170">
        <f t="shared" si="1"/>
        <v>-0.37533942127458098</v>
      </c>
      <c r="BA26" s="170">
        <f t="shared" si="1"/>
        <v>-0.28797016735699821</v>
      </c>
      <c r="BB26" s="170">
        <f t="shared" si="1"/>
        <v>-0.35999417504004666</v>
      </c>
      <c r="BC26" s="170">
        <f t="shared" si="1"/>
        <v>0.14545961440548885</v>
      </c>
      <c r="BD26" s="170">
        <f t="shared" si="1"/>
        <v>-0.30338837920489298</v>
      </c>
      <c r="BE26" s="168" t="str">
        <f t="shared" si="1"/>
        <v/>
      </c>
      <c r="BF26" s="168" t="str">
        <f t="shared" si="1"/>
        <v/>
      </c>
      <c r="BG26" s="168" t="str">
        <f t="shared" si="1"/>
        <v/>
      </c>
      <c r="BH26" s="168" t="str">
        <f t="shared" si="1"/>
        <v/>
      </c>
      <c r="BI26" s="170">
        <f t="shared" si="1"/>
        <v>-0.17608233313173122</v>
      </c>
      <c r="BJ26" s="168"/>
      <c r="BK26" s="168"/>
      <c r="BL26" s="168"/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  <c r="BZ26" s="76"/>
    </row>
    <row r="27" spans="1:78" s="85" customFormat="1">
      <c r="A27" s="163" t="s">
        <v>300</v>
      </c>
      <c r="B27" s="167"/>
      <c r="C27" s="169"/>
      <c r="D27" s="160"/>
      <c r="E27" s="161"/>
      <c r="F27" s="160"/>
      <c r="G27" s="160"/>
      <c r="H27" s="160"/>
      <c r="I27" s="164" t="s">
        <v>94</v>
      </c>
      <c r="J27" s="167">
        <f>IF(ISERROR(VLOOKUP(I27,Max_Load_France!$B$2:$C$102,2,FALSE)/1000),"",VLOOKUP(I27,Max_Load_France!$B$2:$C$102,2,FALSE)/1000)</f>
        <v>40</v>
      </c>
      <c r="K27" s="157"/>
      <c r="L27" s="158">
        <f t="shared" si="0"/>
        <v>1.05975</v>
      </c>
      <c r="M27" s="160">
        <f>IF(VLOOKUP($I27,Max_Load_France!$B$2:$M$102,3,FALSE)="","",VLOOKUP($I27,Max_Load_France!$B$2:$M$102,3,FALSE))</f>
        <v>0</v>
      </c>
      <c r="N27" s="160">
        <f>IF(VLOOKUP($I27,Max_Load_France!$B$2:$M$102,4,FALSE)="","",VLOOKUP($I27,Max_Load_France!$B$2:$M$102,4,FALSE))</f>
        <v>0</v>
      </c>
      <c r="O27" s="160">
        <f>IF(VLOOKUP($I27,Max_Load_France!$B$2:$M$102,5,FALSE)="","",VLOOKUP($I27,Max_Load_France!$B$2:$M$102,5,FALSE))</f>
        <v>1</v>
      </c>
      <c r="P27" s="160">
        <f>IF(VLOOKUP($I27,Max_Load_France!$B$2:$M$102,6,FALSE)="","",VLOOKUP($I27,Max_Load_France!$B$2:$M$102,6,FALSE))</f>
        <v>1</v>
      </c>
      <c r="Q27" s="160">
        <f>IF(VLOOKUP($I27,Max_Load_France!$B$2:$M$102,7,FALSE)="","",VLOOKUP($I27,Max_Load_France!$B$2:$M$102,7,FALSE))</f>
        <v>1</v>
      </c>
      <c r="R27" s="160" t="str">
        <f>IF(VLOOKUP($I27,Max_Load_France!$B$2:$M$102,8,FALSE)="","",VLOOKUP($I27,Max_Load_France!$B$2:$M$102,8,FALSE))</f>
        <v/>
      </c>
      <c r="S27" s="160" t="str">
        <f>IF(VLOOKUP($I27,Max_Load_France!$B$2:$M$102,9,FALSE)="","",VLOOKUP($I27,Max_Load_France!$B$2:$M$102,9,FALSE))</f>
        <v/>
      </c>
      <c r="T27" s="160" t="str">
        <f>IF(VLOOKUP($I27,Max_Load_France!$B$2:$M$102,10,FALSE)="","",VLOOKUP($I27,Max_Load_France!$B$2:$M$102,10,FALSE))</f>
        <v/>
      </c>
      <c r="U27" s="160" t="str">
        <f>IF(VLOOKUP($I27,Max_Load_France!$B$2:$M$102,11,FALSE)="","",VLOOKUP($I27,Max_Load_France!$B$2:$M$102,11,FALSE))</f>
        <v/>
      </c>
      <c r="V27" s="160">
        <f>IF(VLOOKUP($I27,Max_Load_France!$B$2:$M$102,12,FALSE)="","",VLOOKUP($I27,Max_Load_France!$B$2:$M$102,12,FALSE))</f>
        <v>5</v>
      </c>
      <c r="W27" s="172">
        <f t="shared" si="2"/>
        <v>42.39</v>
      </c>
      <c r="X27" s="173">
        <v>5.77</v>
      </c>
      <c r="Y27" s="173">
        <v>7.9</v>
      </c>
      <c r="Z27" s="173">
        <v>10.5</v>
      </c>
      <c r="AA27" s="173">
        <v>9.4700000000000006</v>
      </c>
      <c r="AB27" s="173">
        <v>8.75</v>
      </c>
      <c r="AC27" s="175"/>
      <c r="AD27" s="175"/>
      <c r="AE27" s="175"/>
      <c r="AF27" s="175"/>
      <c r="AG27" s="176">
        <f t="shared" si="3"/>
        <v>28.72</v>
      </c>
      <c r="AH27" s="176"/>
      <c r="AI27" s="176"/>
      <c r="AJ27" s="176"/>
      <c r="AK27" s="177">
        <f t="shared" si="7"/>
        <v>45.076605504587157</v>
      </c>
      <c r="AL27" s="173">
        <v>6.032823649337411</v>
      </c>
      <c r="AM27" s="173">
        <v>9.1235474006116206</v>
      </c>
      <c r="AN27" s="173">
        <v>9.6805912334352691</v>
      </c>
      <c r="AO27" s="173">
        <v>10.577573904179408</v>
      </c>
      <c r="AP27" s="173">
        <v>9.6620693170234446</v>
      </c>
      <c r="AQ27" s="175"/>
      <c r="AR27" s="175"/>
      <c r="AS27" s="175"/>
      <c r="AT27" s="175"/>
      <c r="AU27" s="176">
        <f t="shared" si="8"/>
        <v>29.92023445463812</v>
      </c>
      <c r="AV27" s="176"/>
      <c r="AW27" s="176"/>
      <c r="AX27" s="176"/>
      <c r="AY27" s="170">
        <f t="shared" si="1"/>
        <v>6.3378285081084132E-2</v>
      </c>
      <c r="AZ27" s="170">
        <f t="shared" si="1"/>
        <v>4.5550025881700422E-2</v>
      </c>
      <c r="BA27" s="170">
        <f t="shared" si="1"/>
        <v>0.15487941779893927</v>
      </c>
      <c r="BB27" s="170">
        <f t="shared" si="1"/>
        <v>-7.8038930149021996E-2</v>
      </c>
      <c r="BC27" s="170">
        <f t="shared" si="1"/>
        <v>0.11695606168737141</v>
      </c>
      <c r="BD27" s="170">
        <f t="shared" si="1"/>
        <v>0.10423649337410795</v>
      </c>
      <c r="BE27" s="168" t="str">
        <f t="shared" si="1"/>
        <v/>
      </c>
      <c r="BF27" s="168" t="str">
        <f t="shared" si="1"/>
        <v/>
      </c>
      <c r="BG27" s="168" t="str">
        <f t="shared" si="1"/>
        <v/>
      </c>
      <c r="BH27" s="168" t="str">
        <f t="shared" si="1"/>
        <v/>
      </c>
      <c r="BI27" s="170">
        <f t="shared" si="1"/>
        <v>4.1790893267344045E-2</v>
      </c>
      <c r="BJ27" s="168"/>
      <c r="BK27" s="168"/>
      <c r="BL27" s="168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</row>
    <row r="28" spans="1:78" s="85" customFormat="1">
      <c r="A28" s="163" t="s">
        <v>301</v>
      </c>
      <c r="B28" s="167"/>
      <c r="C28" s="169"/>
      <c r="D28" s="160"/>
      <c r="E28" s="161"/>
      <c r="F28" s="160"/>
      <c r="G28" s="160"/>
      <c r="H28" s="160"/>
      <c r="I28" s="164" t="s">
        <v>94</v>
      </c>
      <c r="J28" s="167">
        <f>IF(ISERROR(VLOOKUP(I28,Max_Load_France!$B$2:$C$102,2,FALSE)/1000),"",VLOOKUP(I28,Max_Load_France!$B$2:$C$102,2,FALSE)/1000)</f>
        <v>40</v>
      </c>
      <c r="K28" s="157"/>
      <c r="L28" s="158">
        <f t="shared" si="0"/>
        <v>1.05975</v>
      </c>
      <c r="M28" s="160">
        <f>IF(VLOOKUP($I28,Max_Load_France!$B$2:$M$102,3,FALSE)="","",VLOOKUP($I28,Max_Load_France!$B$2:$M$102,3,FALSE))</f>
        <v>0</v>
      </c>
      <c r="N28" s="160">
        <f>IF(VLOOKUP($I28,Max_Load_France!$B$2:$M$102,4,FALSE)="","",VLOOKUP($I28,Max_Load_France!$B$2:$M$102,4,FALSE))</f>
        <v>0</v>
      </c>
      <c r="O28" s="160">
        <f>IF(VLOOKUP($I28,Max_Load_France!$B$2:$M$102,5,FALSE)="","",VLOOKUP($I28,Max_Load_France!$B$2:$M$102,5,FALSE))</f>
        <v>1</v>
      </c>
      <c r="P28" s="160">
        <f>IF(VLOOKUP($I28,Max_Load_France!$B$2:$M$102,6,FALSE)="","",VLOOKUP($I28,Max_Load_France!$B$2:$M$102,6,FALSE))</f>
        <v>1</v>
      </c>
      <c r="Q28" s="160">
        <f>IF(VLOOKUP($I28,Max_Load_France!$B$2:$M$102,7,FALSE)="","",VLOOKUP($I28,Max_Load_France!$B$2:$M$102,7,FALSE))</f>
        <v>1</v>
      </c>
      <c r="R28" s="160" t="str">
        <f>IF(VLOOKUP($I28,Max_Load_France!$B$2:$M$102,8,FALSE)="","",VLOOKUP($I28,Max_Load_France!$B$2:$M$102,8,FALSE))</f>
        <v/>
      </c>
      <c r="S28" s="160" t="str">
        <f>IF(VLOOKUP($I28,Max_Load_France!$B$2:$M$102,9,FALSE)="","",VLOOKUP($I28,Max_Load_France!$B$2:$M$102,9,FALSE))</f>
        <v/>
      </c>
      <c r="T28" s="160" t="str">
        <f>IF(VLOOKUP($I28,Max_Load_France!$B$2:$M$102,10,FALSE)="","",VLOOKUP($I28,Max_Load_France!$B$2:$M$102,10,FALSE))</f>
        <v/>
      </c>
      <c r="U28" s="160" t="str">
        <f>IF(VLOOKUP($I28,Max_Load_France!$B$2:$M$102,11,FALSE)="","",VLOOKUP($I28,Max_Load_France!$B$2:$M$102,11,FALSE))</f>
        <v/>
      </c>
      <c r="V28" s="160">
        <f>IF(VLOOKUP($I28,Max_Load_France!$B$2:$M$102,12,FALSE)="","",VLOOKUP($I28,Max_Load_France!$B$2:$M$102,12,FALSE))</f>
        <v>5</v>
      </c>
      <c r="W28" s="172">
        <f t="shared" si="2"/>
        <v>42.39</v>
      </c>
      <c r="X28" s="173">
        <v>5.77</v>
      </c>
      <c r="Y28" s="173">
        <v>7.9</v>
      </c>
      <c r="Z28" s="173">
        <v>10.5</v>
      </c>
      <c r="AA28" s="173">
        <v>9.4700000000000006</v>
      </c>
      <c r="AB28" s="173">
        <v>8.75</v>
      </c>
      <c r="AC28" s="175"/>
      <c r="AD28" s="175"/>
      <c r="AE28" s="175"/>
      <c r="AF28" s="175"/>
      <c r="AG28" s="176">
        <f t="shared" si="3"/>
        <v>28.72</v>
      </c>
      <c r="AH28" s="176"/>
      <c r="AI28" s="176"/>
      <c r="AJ28" s="176"/>
      <c r="AK28" s="177">
        <f t="shared" si="7"/>
        <v>41.357645259938835</v>
      </c>
      <c r="AL28" s="173">
        <v>5.3388888888888886</v>
      </c>
      <c r="AM28" s="173">
        <v>8.0170744138634031</v>
      </c>
      <c r="AN28" s="173">
        <v>8.7246381243628957</v>
      </c>
      <c r="AO28" s="173">
        <v>10.550968399592252</v>
      </c>
      <c r="AP28" s="173">
        <v>8.7260754332313955</v>
      </c>
      <c r="AQ28" s="175"/>
      <c r="AR28" s="175"/>
      <c r="AS28" s="175"/>
      <c r="AT28" s="175"/>
      <c r="AU28" s="176">
        <f t="shared" si="8"/>
        <v>28.001681957186541</v>
      </c>
      <c r="AV28" s="176"/>
      <c r="AW28" s="176"/>
      <c r="AX28" s="176"/>
      <c r="AY28" s="170">
        <f t="shared" ref="AY28:AY36" si="12">IF(W28&gt;0,(AK28-W28)/W28,"")</f>
        <v>-2.4353732957328754E-2</v>
      </c>
      <c r="AZ28" s="170">
        <f t="shared" ref="AZ28:AZ36" si="13">IF(X28&gt;0,(AL28-X28)/X28,"")</f>
        <v>-7.4715963797419585E-2</v>
      </c>
      <c r="BA28" s="170">
        <f t="shared" ref="BA28:BA36" si="14">IF(Y28&gt;0,(AM28-Y28)/Y28,"")</f>
        <v>1.4819546058658579E-2</v>
      </c>
      <c r="BB28" s="170">
        <f t="shared" ref="BB28:BB36" si="15">IF(Z28&gt;0,(AN28-Z28)/Z28,"")</f>
        <v>-0.16908208339400993</v>
      </c>
      <c r="BC28" s="170">
        <f t="shared" ref="BC28:BC36" si="16">IF(AA28&gt;0,(AO28-AA28)/AA28,"")</f>
        <v>0.11414661030541194</v>
      </c>
      <c r="BD28" s="170">
        <f t="shared" ref="BD28:BD36" si="17">IF(AB28&gt;0,(AP28-AB28)/AB28,"")</f>
        <v>-2.7342362021262343E-3</v>
      </c>
      <c r="BE28" s="168" t="str">
        <f t="shared" ref="BE28:BE36" si="18">IF(AC28&gt;0,(AQ28-AC28)/AC28,"")</f>
        <v/>
      </c>
      <c r="BF28" s="168" t="str">
        <f t="shared" ref="BF28:BF36" si="19">IF(AD28&gt;0,(AR28-AD28)/AD28,"")</f>
        <v/>
      </c>
      <c r="BG28" s="168" t="str">
        <f t="shared" ref="BG28:BG36" si="20">IF(AE28&gt;0,(AS28-AE28)/AE28,"")</f>
        <v/>
      </c>
      <c r="BH28" s="168" t="str">
        <f t="shared" ref="BH28:BH36" si="21">IF(AF28&gt;0,(AT28-AF28)/AF28,"")</f>
        <v/>
      </c>
      <c r="BI28" s="170">
        <f t="shared" ref="BI28:BI36" si="22">IF(AG28&gt;0,(AU28-AG28)/AG28,"")</f>
        <v>-2.501107391411761E-2</v>
      </c>
      <c r="BJ28" s="168"/>
      <c r="BK28" s="168"/>
      <c r="BL28" s="168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</row>
    <row r="29" spans="1:78" s="76" customFormat="1">
      <c r="A29" s="163" t="s">
        <v>302</v>
      </c>
      <c r="B29" s="167"/>
      <c r="C29" s="169"/>
      <c r="D29" s="160"/>
      <c r="E29" s="161"/>
      <c r="F29" s="160"/>
      <c r="G29" s="160"/>
      <c r="H29" s="160"/>
      <c r="I29" s="164" t="s">
        <v>94</v>
      </c>
      <c r="J29" s="167">
        <f>IF(ISERROR(VLOOKUP(I29,Max_Load_France!$B$2:$C$102,2,FALSE)/1000),"",VLOOKUP(I29,Max_Load_France!$B$2:$C$102,2,FALSE)/1000)</f>
        <v>40</v>
      </c>
      <c r="K29" s="157"/>
      <c r="L29" s="158">
        <f t="shared" si="0"/>
        <v>1.05975</v>
      </c>
      <c r="M29" s="160">
        <f>IF(VLOOKUP($I29,Max_Load_France!$B$2:$M$102,3,FALSE)="","",VLOOKUP($I29,Max_Load_France!$B$2:$M$102,3,FALSE))</f>
        <v>0</v>
      </c>
      <c r="N29" s="160">
        <f>IF(VLOOKUP($I29,Max_Load_France!$B$2:$M$102,4,FALSE)="","",VLOOKUP($I29,Max_Load_France!$B$2:$M$102,4,FALSE))</f>
        <v>0</v>
      </c>
      <c r="O29" s="160">
        <f>IF(VLOOKUP($I29,Max_Load_France!$B$2:$M$102,5,FALSE)="","",VLOOKUP($I29,Max_Load_France!$B$2:$M$102,5,FALSE))</f>
        <v>1</v>
      </c>
      <c r="P29" s="160">
        <f>IF(VLOOKUP($I29,Max_Load_France!$B$2:$M$102,6,FALSE)="","",VLOOKUP($I29,Max_Load_France!$B$2:$M$102,6,FALSE))</f>
        <v>1</v>
      </c>
      <c r="Q29" s="160">
        <f>IF(VLOOKUP($I29,Max_Load_France!$B$2:$M$102,7,FALSE)="","",VLOOKUP($I29,Max_Load_France!$B$2:$M$102,7,FALSE))</f>
        <v>1</v>
      </c>
      <c r="R29" s="160" t="str">
        <f>IF(VLOOKUP($I29,Max_Load_France!$B$2:$M$102,8,FALSE)="","",VLOOKUP($I29,Max_Load_France!$B$2:$M$102,8,FALSE))</f>
        <v/>
      </c>
      <c r="S29" s="160" t="str">
        <f>IF(VLOOKUP($I29,Max_Load_France!$B$2:$M$102,9,FALSE)="","",VLOOKUP($I29,Max_Load_France!$B$2:$M$102,9,FALSE))</f>
        <v/>
      </c>
      <c r="T29" s="160" t="str">
        <f>IF(VLOOKUP($I29,Max_Load_France!$B$2:$M$102,10,FALSE)="","",VLOOKUP($I29,Max_Load_France!$B$2:$M$102,10,FALSE))</f>
        <v/>
      </c>
      <c r="U29" s="160" t="str">
        <f>IF(VLOOKUP($I29,Max_Load_France!$B$2:$M$102,11,FALSE)="","",VLOOKUP($I29,Max_Load_France!$B$2:$M$102,11,FALSE))</f>
        <v/>
      </c>
      <c r="V29" s="160">
        <f>IF(VLOOKUP($I29,Max_Load_France!$B$2:$M$102,12,FALSE)="","",VLOOKUP($I29,Max_Load_France!$B$2:$M$102,12,FALSE))</f>
        <v>5</v>
      </c>
      <c r="W29" s="172">
        <f t="shared" si="2"/>
        <v>42.39</v>
      </c>
      <c r="X29" s="173">
        <v>5.77</v>
      </c>
      <c r="Y29" s="173">
        <v>7.9</v>
      </c>
      <c r="Z29" s="173">
        <v>10.5</v>
      </c>
      <c r="AA29" s="173">
        <v>9.4700000000000006</v>
      </c>
      <c r="AB29" s="173">
        <v>8.75</v>
      </c>
      <c r="AC29" s="175"/>
      <c r="AD29" s="175"/>
      <c r="AE29" s="175"/>
      <c r="AF29" s="175"/>
      <c r="AG29" s="176">
        <f t="shared" si="3"/>
        <v>28.72</v>
      </c>
      <c r="AH29" s="176"/>
      <c r="AI29" s="176"/>
      <c r="AJ29" s="176"/>
      <c r="AK29" s="177">
        <f t="shared" si="7"/>
        <v>45.97054026503568</v>
      </c>
      <c r="AL29" s="173">
        <v>5.9558307849133527</v>
      </c>
      <c r="AM29" s="173">
        <v>9.5073598369011219</v>
      </c>
      <c r="AN29" s="173">
        <v>9.9149337410805298</v>
      </c>
      <c r="AO29" s="173">
        <v>10.415188583078491</v>
      </c>
      <c r="AP29" s="173">
        <v>10.177227319062181</v>
      </c>
      <c r="AQ29" s="175"/>
      <c r="AR29" s="175"/>
      <c r="AS29" s="175"/>
      <c r="AT29" s="175"/>
      <c r="AU29" s="176">
        <f t="shared" si="8"/>
        <v>30.507349643221204</v>
      </c>
      <c r="AV29" s="176"/>
      <c r="AW29" s="176"/>
      <c r="AX29" s="176"/>
      <c r="AY29" s="170">
        <f t="shared" si="12"/>
        <v>8.4466625738043866E-2</v>
      </c>
      <c r="AZ29" s="170">
        <f t="shared" si="13"/>
        <v>3.2206375201621E-2</v>
      </c>
      <c r="BA29" s="170">
        <f t="shared" si="14"/>
        <v>0.20346327049381283</v>
      </c>
      <c r="BB29" s="170">
        <f t="shared" si="15"/>
        <v>-5.5720596087568589E-2</v>
      </c>
      <c r="BC29" s="170">
        <f t="shared" si="16"/>
        <v>9.9808720494032763E-2</v>
      </c>
      <c r="BD29" s="170">
        <f t="shared" si="17"/>
        <v>0.16311169360710645</v>
      </c>
      <c r="BE29" s="168" t="str">
        <f t="shared" si="18"/>
        <v/>
      </c>
      <c r="BF29" s="168" t="str">
        <f t="shared" si="19"/>
        <v/>
      </c>
      <c r="BG29" s="168" t="str">
        <f t="shared" si="20"/>
        <v/>
      </c>
      <c r="BH29" s="168" t="str">
        <f t="shared" si="21"/>
        <v/>
      </c>
      <c r="BI29" s="170">
        <f t="shared" si="22"/>
        <v>6.2233622674833046E-2</v>
      </c>
      <c r="BJ29" s="168"/>
      <c r="BK29" s="168"/>
      <c r="BL29" s="168"/>
    </row>
    <row r="30" spans="1:78" s="85" customFormat="1">
      <c r="A30" s="163" t="s">
        <v>303</v>
      </c>
      <c r="B30" s="167"/>
      <c r="C30" s="169"/>
      <c r="D30" s="160"/>
      <c r="E30" s="161"/>
      <c r="F30" s="160"/>
      <c r="G30" s="160"/>
      <c r="H30" s="160"/>
      <c r="I30" s="164" t="s">
        <v>94</v>
      </c>
      <c r="J30" s="167">
        <f>IF(ISERROR(VLOOKUP(I30,Max_Load_France!$B$2:$C$102,2,FALSE)/1000),"",VLOOKUP(I30,Max_Load_France!$B$2:$C$102,2,FALSE)/1000)</f>
        <v>40</v>
      </c>
      <c r="K30" s="157"/>
      <c r="L30" s="158">
        <f t="shared" si="0"/>
        <v>1.05975</v>
      </c>
      <c r="M30" s="160">
        <f>IF(VLOOKUP($I30,Max_Load_France!$B$2:$M$102,3,FALSE)="","",VLOOKUP($I30,Max_Load_France!$B$2:$M$102,3,FALSE))</f>
        <v>0</v>
      </c>
      <c r="N30" s="160">
        <f>IF(VLOOKUP($I30,Max_Load_France!$B$2:$M$102,4,FALSE)="","",VLOOKUP($I30,Max_Load_France!$B$2:$M$102,4,FALSE))</f>
        <v>0</v>
      </c>
      <c r="O30" s="160">
        <f>IF(VLOOKUP($I30,Max_Load_France!$B$2:$M$102,5,FALSE)="","",VLOOKUP($I30,Max_Load_France!$B$2:$M$102,5,FALSE))</f>
        <v>1</v>
      </c>
      <c r="P30" s="160">
        <f>IF(VLOOKUP($I30,Max_Load_France!$B$2:$M$102,6,FALSE)="","",VLOOKUP($I30,Max_Load_France!$B$2:$M$102,6,FALSE))</f>
        <v>1</v>
      </c>
      <c r="Q30" s="160">
        <f>IF(VLOOKUP($I30,Max_Load_France!$B$2:$M$102,7,FALSE)="","",VLOOKUP($I30,Max_Load_France!$B$2:$M$102,7,FALSE))</f>
        <v>1</v>
      </c>
      <c r="R30" s="160" t="str">
        <f>IF(VLOOKUP($I30,Max_Load_France!$B$2:$M$102,8,FALSE)="","",VLOOKUP($I30,Max_Load_France!$B$2:$M$102,8,FALSE))</f>
        <v/>
      </c>
      <c r="S30" s="160" t="str">
        <f>IF(VLOOKUP($I30,Max_Load_France!$B$2:$M$102,9,FALSE)="","",VLOOKUP($I30,Max_Load_France!$B$2:$M$102,9,FALSE))</f>
        <v/>
      </c>
      <c r="T30" s="160" t="str">
        <f>IF(VLOOKUP($I30,Max_Load_France!$B$2:$M$102,10,FALSE)="","",VLOOKUP($I30,Max_Load_France!$B$2:$M$102,10,FALSE))</f>
        <v/>
      </c>
      <c r="U30" s="160" t="str">
        <f>IF(VLOOKUP($I30,Max_Load_France!$B$2:$M$102,11,FALSE)="","",VLOOKUP($I30,Max_Load_France!$B$2:$M$102,11,FALSE))</f>
        <v/>
      </c>
      <c r="V30" s="160">
        <f>IF(VLOOKUP($I30,Max_Load_France!$B$2:$M$102,12,FALSE)="","",VLOOKUP($I30,Max_Load_France!$B$2:$M$102,12,FALSE))</f>
        <v>5</v>
      </c>
      <c r="W30" s="172">
        <f t="shared" si="2"/>
        <v>42.39</v>
      </c>
      <c r="X30" s="173">
        <v>5.77</v>
      </c>
      <c r="Y30" s="173">
        <v>7.9</v>
      </c>
      <c r="Z30" s="173">
        <v>10.5</v>
      </c>
      <c r="AA30" s="173">
        <v>9.4700000000000006</v>
      </c>
      <c r="AB30" s="173">
        <v>8.75</v>
      </c>
      <c r="AC30" s="175"/>
      <c r="AD30" s="175"/>
      <c r="AE30" s="175"/>
      <c r="AF30" s="175"/>
      <c r="AG30" s="176">
        <f t="shared" si="3"/>
        <v>28.72</v>
      </c>
      <c r="AH30" s="176"/>
      <c r="AI30" s="176"/>
      <c r="AJ30" s="176"/>
      <c r="AK30" s="177">
        <f t="shared" si="7"/>
        <v>54.657319062181443</v>
      </c>
      <c r="AL30" s="173">
        <v>8.7637818552497446</v>
      </c>
      <c r="AM30" s="173">
        <v>12.539449541284403</v>
      </c>
      <c r="AN30" s="173">
        <v>13.182262996941896</v>
      </c>
      <c r="AO30" s="173">
        <v>7.951946992864424</v>
      </c>
      <c r="AP30" s="173">
        <v>12.219877675840978</v>
      </c>
      <c r="AQ30" s="175"/>
      <c r="AR30" s="175"/>
      <c r="AS30" s="175"/>
      <c r="AT30" s="175"/>
      <c r="AU30" s="176">
        <f t="shared" si="8"/>
        <v>33.354087665647299</v>
      </c>
      <c r="AV30" s="176"/>
      <c r="AW30" s="176"/>
      <c r="AX30" s="176"/>
      <c r="AY30" s="170">
        <f t="shared" si="12"/>
        <v>0.28939181557399013</v>
      </c>
      <c r="AZ30" s="170">
        <f t="shared" si="13"/>
        <v>0.51885300784224353</v>
      </c>
      <c r="BA30" s="170">
        <f t="shared" si="14"/>
        <v>0.58727209383346868</v>
      </c>
      <c r="BB30" s="170">
        <f t="shared" si="15"/>
        <v>0.25545361875637101</v>
      </c>
      <c r="BC30" s="170">
        <f t="shared" si="16"/>
        <v>-0.16030126791294366</v>
      </c>
      <c r="BD30" s="170">
        <f t="shared" si="17"/>
        <v>0.39655744866754034</v>
      </c>
      <c r="BE30" s="168" t="str">
        <f t="shared" si="18"/>
        <v/>
      </c>
      <c r="BF30" s="168" t="str">
        <f t="shared" si="19"/>
        <v/>
      </c>
      <c r="BG30" s="168" t="str">
        <f t="shared" si="20"/>
        <v/>
      </c>
      <c r="BH30" s="168" t="str">
        <f t="shared" si="21"/>
        <v/>
      </c>
      <c r="BI30" s="170">
        <f t="shared" si="22"/>
        <v>0.16135402735540738</v>
      </c>
      <c r="BJ30" s="168"/>
      <c r="BK30" s="168"/>
      <c r="BL30" s="168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  <c r="BZ30" s="76"/>
    </row>
    <row r="31" spans="1:78" s="85" customFormat="1">
      <c r="A31" s="163" t="s">
        <v>304</v>
      </c>
      <c r="B31" s="167"/>
      <c r="C31" s="169"/>
      <c r="D31" s="160"/>
      <c r="E31" s="161"/>
      <c r="F31" s="160"/>
      <c r="G31" s="160"/>
      <c r="H31" s="160"/>
      <c r="I31" s="164" t="s">
        <v>94</v>
      </c>
      <c r="J31" s="167">
        <f>IF(ISERROR(VLOOKUP(I31,Max_Load_France!$B$2:$C$102,2,FALSE)/1000),"",VLOOKUP(I31,Max_Load_France!$B$2:$C$102,2,FALSE)/1000)</f>
        <v>40</v>
      </c>
      <c r="K31" s="157"/>
      <c r="L31" s="158">
        <f t="shared" si="0"/>
        <v>1.05975</v>
      </c>
      <c r="M31" s="160">
        <f>IF(VLOOKUP($I31,Max_Load_France!$B$2:$M$102,3,FALSE)="","",VLOOKUP($I31,Max_Load_France!$B$2:$M$102,3,FALSE))</f>
        <v>0</v>
      </c>
      <c r="N31" s="160">
        <f>IF(VLOOKUP($I31,Max_Load_France!$B$2:$M$102,4,FALSE)="","",VLOOKUP($I31,Max_Load_France!$B$2:$M$102,4,FALSE))</f>
        <v>0</v>
      </c>
      <c r="O31" s="160">
        <f>IF(VLOOKUP($I31,Max_Load_France!$B$2:$M$102,5,FALSE)="","",VLOOKUP($I31,Max_Load_France!$B$2:$M$102,5,FALSE))</f>
        <v>1</v>
      </c>
      <c r="P31" s="160">
        <f>IF(VLOOKUP($I31,Max_Load_France!$B$2:$M$102,6,FALSE)="","",VLOOKUP($I31,Max_Load_France!$B$2:$M$102,6,FALSE))</f>
        <v>1</v>
      </c>
      <c r="Q31" s="160">
        <f>IF(VLOOKUP($I31,Max_Load_France!$B$2:$M$102,7,FALSE)="","",VLOOKUP($I31,Max_Load_France!$B$2:$M$102,7,FALSE))</f>
        <v>1</v>
      </c>
      <c r="R31" s="160" t="str">
        <f>IF(VLOOKUP($I31,Max_Load_France!$B$2:$M$102,8,FALSE)="","",VLOOKUP($I31,Max_Load_France!$B$2:$M$102,8,FALSE))</f>
        <v/>
      </c>
      <c r="S31" s="160" t="str">
        <f>IF(VLOOKUP($I31,Max_Load_France!$B$2:$M$102,9,FALSE)="","",VLOOKUP($I31,Max_Load_France!$B$2:$M$102,9,FALSE))</f>
        <v/>
      </c>
      <c r="T31" s="160" t="str">
        <f>IF(VLOOKUP($I31,Max_Load_France!$B$2:$M$102,10,FALSE)="","",VLOOKUP($I31,Max_Load_France!$B$2:$M$102,10,FALSE))</f>
        <v/>
      </c>
      <c r="U31" s="160" t="str">
        <f>IF(VLOOKUP($I31,Max_Load_France!$B$2:$M$102,11,FALSE)="","",VLOOKUP($I31,Max_Load_France!$B$2:$M$102,11,FALSE))</f>
        <v/>
      </c>
      <c r="V31" s="160">
        <f>IF(VLOOKUP($I31,Max_Load_France!$B$2:$M$102,12,FALSE)="","",VLOOKUP($I31,Max_Load_France!$B$2:$M$102,12,FALSE))</f>
        <v>5</v>
      </c>
      <c r="W31" s="172">
        <f t="shared" si="2"/>
        <v>42.39</v>
      </c>
      <c r="X31" s="173">
        <v>5.77</v>
      </c>
      <c r="Y31" s="173">
        <v>7.9</v>
      </c>
      <c r="Z31" s="173">
        <v>10.5</v>
      </c>
      <c r="AA31" s="173">
        <v>9.4700000000000006</v>
      </c>
      <c r="AB31" s="173">
        <v>8.75</v>
      </c>
      <c r="AC31" s="175"/>
      <c r="AD31" s="175"/>
      <c r="AE31" s="175"/>
      <c r="AF31" s="175"/>
      <c r="AG31" s="176">
        <f t="shared" si="3"/>
        <v>28.72</v>
      </c>
      <c r="AH31" s="176"/>
      <c r="AI31" s="176"/>
      <c r="AJ31" s="176"/>
      <c r="AK31" s="177">
        <f t="shared" si="7"/>
        <v>40.566901121304788</v>
      </c>
      <c r="AL31" s="173">
        <v>4.8041284403669726</v>
      </c>
      <c r="AM31" s="173">
        <v>7.2126197757390411</v>
      </c>
      <c r="AN31" s="173">
        <v>8.721039755351681</v>
      </c>
      <c r="AO31" s="173">
        <v>10.094658511722731</v>
      </c>
      <c r="AP31" s="173">
        <v>9.7344546381243635</v>
      </c>
      <c r="AQ31" s="175"/>
      <c r="AR31" s="175"/>
      <c r="AS31" s="175"/>
      <c r="AT31" s="175"/>
      <c r="AU31" s="176">
        <f t="shared" si="8"/>
        <v>28.550152905198772</v>
      </c>
      <c r="AV31" s="176"/>
      <c r="AW31" s="176"/>
      <c r="AX31" s="176"/>
      <c r="AY31" s="170">
        <f t="shared" si="12"/>
        <v>-4.3007758402812277E-2</v>
      </c>
      <c r="AZ31" s="170">
        <f t="shared" si="13"/>
        <v>-0.16739541761404281</v>
      </c>
      <c r="BA31" s="170">
        <f t="shared" si="14"/>
        <v>-8.7010154969741668E-2</v>
      </c>
      <c r="BB31" s="170">
        <f t="shared" si="15"/>
        <v>-0.1694247852046018</v>
      </c>
      <c r="BC31" s="170">
        <f t="shared" si="16"/>
        <v>6.5961828059422398E-2</v>
      </c>
      <c r="BD31" s="170">
        <f t="shared" si="17"/>
        <v>0.11250910149992725</v>
      </c>
      <c r="BE31" s="168" t="str">
        <f t="shared" si="18"/>
        <v/>
      </c>
      <c r="BF31" s="168" t="str">
        <f t="shared" si="19"/>
        <v/>
      </c>
      <c r="BG31" s="168" t="str">
        <f t="shared" si="20"/>
        <v/>
      </c>
      <c r="BH31" s="168" t="str">
        <f t="shared" si="21"/>
        <v/>
      </c>
      <c r="BI31" s="170">
        <f t="shared" si="22"/>
        <v>-5.9138960585385508E-3</v>
      </c>
      <c r="BJ31" s="168"/>
      <c r="BK31" s="168"/>
      <c r="BL31" s="168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  <c r="BZ31" s="76"/>
    </row>
    <row r="32" spans="1:78" s="85" customFormat="1">
      <c r="A32" s="163" t="s">
        <v>305</v>
      </c>
      <c r="B32" s="167"/>
      <c r="C32" s="169"/>
      <c r="D32" s="157"/>
      <c r="E32" s="162"/>
      <c r="F32" s="157"/>
      <c r="G32" s="157"/>
      <c r="H32" s="160"/>
      <c r="I32" s="164" t="s">
        <v>94</v>
      </c>
      <c r="J32" s="167">
        <f>IF(ISERROR(VLOOKUP(I32,Max_Load_France!$B$2:$C$102,2,FALSE)/1000),"",VLOOKUP(I32,Max_Load_France!$B$2:$C$102,2,FALSE)/1000)</f>
        <v>40</v>
      </c>
      <c r="K32" s="157"/>
      <c r="L32" s="158">
        <f t="shared" si="0"/>
        <v>1.05975</v>
      </c>
      <c r="M32" s="160">
        <f>IF(VLOOKUP($I32,Max_Load_France!$B$2:$M$102,3,FALSE)="","",VLOOKUP($I32,Max_Load_France!$B$2:$M$102,3,FALSE))</f>
        <v>0</v>
      </c>
      <c r="N32" s="160">
        <f>IF(VLOOKUP($I32,Max_Load_France!$B$2:$M$102,4,FALSE)="","",VLOOKUP($I32,Max_Load_France!$B$2:$M$102,4,FALSE))</f>
        <v>0</v>
      </c>
      <c r="O32" s="160">
        <f>IF(VLOOKUP($I32,Max_Load_France!$B$2:$M$102,5,FALSE)="","",VLOOKUP($I32,Max_Load_France!$B$2:$M$102,5,FALSE))</f>
        <v>1</v>
      </c>
      <c r="P32" s="160">
        <f>IF(VLOOKUP($I32,Max_Load_France!$B$2:$M$102,6,FALSE)="","",VLOOKUP($I32,Max_Load_France!$B$2:$M$102,6,FALSE))</f>
        <v>1</v>
      </c>
      <c r="Q32" s="160">
        <f>IF(VLOOKUP($I32,Max_Load_France!$B$2:$M$102,7,FALSE)="","",VLOOKUP($I32,Max_Load_France!$B$2:$M$102,7,FALSE))</f>
        <v>1</v>
      </c>
      <c r="R32" s="160" t="str">
        <f>IF(VLOOKUP($I32,Max_Load_France!$B$2:$M$102,8,FALSE)="","",VLOOKUP($I32,Max_Load_France!$B$2:$M$102,8,FALSE))</f>
        <v/>
      </c>
      <c r="S32" s="160" t="str">
        <f>IF(VLOOKUP($I32,Max_Load_France!$B$2:$M$102,9,FALSE)="","",VLOOKUP($I32,Max_Load_France!$B$2:$M$102,9,FALSE))</f>
        <v/>
      </c>
      <c r="T32" s="160" t="str">
        <f>IF(VLOOKUP($I32,Max_Load_France!$B$2:$M$102,10,FALSE)="","",VLOOKUP($I32,Max_Load_France!$B$2:$M$102,10,FALSE))</f>
        <v/>
      </c>
      <c r="U32" s="160" t="str">
        <f>IF(VLOOKUP($I32,Max_Load_France!$B$2:$M$102,11,FALSE)="","",VLOOKUP($I32,Max_Load_France!$B$2:$M$102,11,FALSE))</f>
        <v/>
      </c>
      <c r="V32" s="160">
        <f>IF(VLOOKUP($I32,Max_Load_France!$B$2:$M$102,12,FALSE)="","",VLOOKUP($I32,Max_Load_France!$B$2:$M$102,12,FALSE))</f>
        <v>5</v>
      </c>
      <c r="W32" s="172">
        <f t="shared" si="2"/>
        <v>42.39</v>
      </c>
      <c r="X32" s="173">
        <v>5.77</v>
      </c>
      <c r="Y32" s="173">
        <v>7.9</v>
      </c>
      <c r="Z32" s="173">
        <v>10.5</v>
      </c>
      <c r="AA32" s="173">
        <v>9.4700000000000006</v>
      </c>
      <c r="AB32" s="173">
        <v>8.75</v>
      </c>
      <c r="AC32" s="179"/>
      <c r="AD32" s="179"/>
      <c r="AE32" s="179"/>
      <c r="AF32" s="179"/>
      <c r="AG32" s="176">
        <f t="shared" si="3"/>
        <v>28.72</v>
      </c>
      <c r="AH32" s="176"/>
      <c r="AI32" s="176"/>
      <c r="AJ32" s="176"/>
      <c r="AK32" s="177">
        <f t="shared" si="7"/>
        <v>43.273853211009168</v>
      </c>
      <c r="AL32" s="173">
        <v>5.7327217125382264</v>
      </c>
      <c r="AM32" s="173">
        <v>9.1129459734964318</v>
      </c>
      <c r="AN32" s="173">
        <v>8.4363812436289507</v>
      </c>
      <c r="AO32" s="173">
        <v>11.132008154943934</v>
      </c>
      <c r="AP32" s="180">
        <v>8.8597961264016298</v>
      </c>
      <c r="AQ32" s="181"/>
      <c r="AR32" s="181"/>
      <c r="AS32" s="181"/>
      <c r="AT32" s="181"/>
      <c r="AU32" s="176">
        <f t="shared" si="8"/>
        <v>28.428185524974513</v>
      </c>
      <c r="AV32" s="176"/>
      <c r="AW32" s="176"/>
      <c r="AX32" s="176"/>
      <c r="AY32" s="170">
        <f t="shared" si="12"/>
        <v>2.0850512172898506E-2</v>
      </c>
      <c r="AZ32" s="170">
        <f t="shared" si="13"/>
        <v>-6.460708398920832E-3</v>
      </c>
      <c r="BA32" s="170">
        <f t="shared" si="14"/>
        <v>0.15353746499954826</v>
      </c>
      <c r="BB32" s="170">
        <f t="shared" si="15"/>
        <v>-0.19653511965438564</v>
      </c>
      <c r="BC32" s="170">
        <f t="shared" si="16"/>
        <v>0.17550244508383667</v>
      </c>
      <c r="BD32" s="170">
        <f t="shared" si="17"/>
        <v>1.2548128731614839E-2</v>
      </c>
      <c r="BE32" s="168" t="str">
        <f t="shared" si="18"/>
        <v/>
      </c>
      <c r="BF32" s="168" t="str">
        <f t="shared" si="19"/>
        <v/>
      </c>
      <c r="BG32" s="168" t="str">
        <f t="shared" si="20"/>
        <v/>
      </c>
      <c r="BH32" s="168" t="str">
        <f t="shared" si="21"/>
        <v/>
      </c>
      <c r="BI32" s="170">
        <f t="shared" si="22"/>
        <v>-1.0160671135984891E-2</v>
      </c>
      <c r="BJ32" s="168"/>
      <c r="BK32" s="168"/>
      <c r="BL32" s="168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  <c r="BZ32" s="76"/>
    </row>
    <row r="33" spans="1:66" s="85" customFormat="1">
      <c r="A33" s="163" t="s">
        <v>306</v>
      </c>
      <c r="B33" s="167"/>
      <c r="C33" s="169"/>
      <c r="D33" s="160"/>
      <c r="E33" s="161"/>
      <c r="F33" s="160"/>
      <c r="G33" s="160"/>
      <c r="H33" s="160"/>
      <c r="I33" s="164" t="s">
        <v>94</v>
      </c>
      <c r="J33" s="167">
        <f>IF(ISERROR(VLOOKUP(I33,Max_Load_France!$B$2:$C$102,2,FALSE)/1000),"",VLOOKUP(I33,Max_Load_France!$B$2:$C$102,2,FALSE)/1000)</f>
        <v>40</v>
      </c>
      <c r="K33" s="157"/>
      <c r="L33" s="158">
        <f t="shared" si="0"/>
        <v>1.05975</v>
      </c>
      <c r="M33" s="160">
        <f>IF(VLOOKUP($I33,Max_Load_France!$B$2:$M$102,3,FALSE)="","",VLOOKUP($I33,Max_Load_France!$B$2:$M$102,3,FALSE))</f>
        <v>0</v>
      </c>
      <c r="N33" s="160">
        <f>IF(VLOOKUP($I33,Max_Load_France!$B$2:$M$102,4,FALSE)="","",VLOOKUP($I33,Max_Load_France!$B$2:$M$102,4,FALSE))</f>
        <v>0</v>
      </c>
      <c r="O33" s="160">
        <f>IF(VLOOKUP($I33,Max_Load_France!$B$2:$M$102,5,FALSE)="","",VLOOKUP($I33,Max_Load_France!$B$2:$M$102,5,FALSE))</f>
        <v>1</v>
      </c>
      <c r="P33" s="160">
        <f>IF(VLOOKUP($I33,Max_Load_France!$B$2:$M$102,6,FALSE)="","",VLOOKUP($I33,Max_Load_France!$B$2:$M$102,6,FALSE))</f>
        <v>1</v>
      </c>
      <c r="Q33" s="160">
        <f>IF(VLOOKUP($I33,Max_Load_France!$B$2:$M$102,7,FALSE)="","",VLOOKUP($I33,Max_Load_France!$B$2:$M$102,7,FALSE))</f>
        <v>1</v>
      </c>
      <c r="R33" s="160" t="str">
        <f>IF(VLOOKUP($I33,Max_Load_France!$B$2:$M$102,8,FALSE)="","",VLOOKUP($I33,Max_Load_France!$B$2:$M$102,8,FALSE))</f>
        <v/>
      </c>
      <c r="S33" s="160" t="str">
        <f>IF(VLOOKUP($I33,Max_Load_France!$B$2:$M$102,9,FALSE)="","",VLOOKUP($I33,Max_Load_France!$B$2:$M$102,9,FALSE))</f>
        <v/>
      </c>
      <c r="T33" s="160" t="str">
        <f>IF(VLOOKUP($I33,Max_Load_France!$B$2:$M$102,10,FALSE)="","",VLOOKUP($I33,Max_Load_France!$B$2:$M$102,10,FALSE))</f>
        <v/>
      </c>
      <c r="U33" s="160" t="str">
        <f>IF(VLOOKUP($I33,Max_Load_France!$B$2:$M$102,11,FALSE)="","",VLOOKUP($I33,Max_Load_France!$B$2:$M$102,11,FALSE))</f>
        <v/>
      </c>
      <c r="V33" s="160">
        <f>IF(VLOOKUP($I33,Max_Load_France!$B$2:$M$102,12,FALSE)="","",VLOOKUP($I33,Max_Load_France!$B$2:$M$102,12,FALSE))</f>
        <v>5</v>
      </c>
      <c r="W33" s="172">
        <f t="shared" si="2"/>
        <v>42.39</v>
      </c>
      <c r="X33" s="173">
        <v>5.77</v>
      </c>
      <c r="Y33" s="173">
        <v>7.9</v>
      </c>
      <c r="Z33" s="173">
        <v>10.5</v>
      </c>
      <c r="AA33" s="173">
        <v>9.4700000000000006</v>
      </c>
      <c r="AB33" s="173">
        <v>8.75</v>
      </c>
      <c r="AC33" s="175"/>
      <c r="AD33" s="175"/>
      <c r="AE33" s="175"/>
      <c r="AF33" s="175"/>
      <c r="AG33" s="176">
        <f t="shared" si="3"/>
        <v>28.72</v>
      </c>
      <c r="AH33" s="176"/>
      <c r="AI33" s="176"/>
      <c r="AJ33" s="176"/>
      <c r="AK33" s="177">
        <f t="shared" si="7"/>
        <v>44.471773700305803</v>
      </c>
      <c r="AL33" s="173">
        <v>5.9306625891946991</v>
      </c>
      <c r="AM33" s="173">
        <v>8.963160040774719</v>
      </c>
      <c r="AN33" s="173">
        <v>9.9892354740061151</v>
      </c>
      <c r="AO33" s="173">
        <v>9.7872477064220185</v>
      </c>
      <c r="AP33" s="173">
        <v>9.8014678899082561</v>
      </c>
      <c r="AQ33" s="175"/>
      <c r="AR33" s="175"/>
      <c r="AS33" s="175"/>
      <c r="AT33" s="175"/>
      <c r="AU33" s="176">
        <f t="shared" si="8"/>
        <v>29.57795107033639</v>
      </c>
      <c r="AV33" s="176"/>
      <c r="AW33" s="176"/>
      <c r="AX33" s="176"/>
      <c r="AY33" s="170">
        <f t="shared" si="12"/>
        <v>4.9110018879589594E-2</v>
      </c>
      <c r="AZ33" s="170">
        <f t="shared" si="13"/>
        <v>2.7844469531143771E-2</v>
      </c>
      <c r="BA33" s="170">
        <f t="shared" si="14"/>
        <v>0.13457722035123021</v>
      </c>
      <c r="BB33" s="170">
        <f t="shared" si="15"/>
        <v>-4.8644240570846181E-2</v>
      </c>
      <c r="BC33" s="170">
        <f t="shared" si="16"/>
        <v>3.3500285789019833E-2</v>
      </c>
      <c r="BD33" s="170">
        <f t="shared" si="17"/>
        <v>0.12016775884665784</v>
      </c>
      <c r="BE33" s="168" t="str">
        <f t="shared" si="18"/>
        <v/>
      </c>
      <c r="BF33" s="168" t="str">
        <f t="shared" si="19"/>
        <v/>
      </c>
      <c r="BG33" s="168" t="str">
        <f t="shared" si="20"/>
        <v/>
      </c>
      <c r="BH33" s="168" t="str">
        <f t="shared" si="21"/>
        <v/>
      </c>
      <c r="BI33" s="170">
        <f t="shared" si="22"/>
        <v>2.9872948131489933E-2</v>
      </c>
      <c r="BJ33" s="168"/>
      <c r="BK33" s="168"/>
      <c r="BL33" s="168"/>
      <c r="BM33" s="76"/>
      <c r="BN33" s="76"/>
    </row>
    <row r="34" spans="1:66" s="85" customFormat="1">
      <c r="A34" s="163" t="s">
        <v>307</v>
      </c>
      <c r="B34" s="167"/>
      <c r="C34" s="169"/>
      <c r="D34" s="160"/>
      <c r="E34" s="161"/>
      <c r="F34" s="160"/>
      <c r="G34" s="160"/>
      <c r="H34" s="160"/>
      <c r="I34" s="164" t="s">
        <v>94</v>
      </c>
      <c r="J34" s="167">
        <f>IF(ISERROR(VLOOKUP(I34,Max_Load_France!$B$2:$C$102,2,FALSE)/1000),"",VLOOKUP(I34,Max_Load_France!$B$2:$C$102,2,FALSE)/1000)</f>
        <v>40</v>
      </c>
      <c r="K34" s="157"/>
      <c r="L34" s="158">
        <f t="shared" si="0"/>
        <v>1.05975</v>
      </c>
      <c r="M34" s="160">
        <f>IF(VLOOKUP($I34,Max_Load_France!$B$2:$M$102,3,FALSE)="","",VLOOKUP($I34,Max_Load_France!$B$2:$M$102,3,FALSE))</f>
        <v>0</v>
      </c>
      <c r="N34" s="160">
        <f>IF(VLOOKUP($I34,Max_Load_France!$B$2:$M$102,4,FALSE)="","",VLOOKUP($I34,Max_Load_France!$B$2:$M$102,4,FALSE))</f>
        <v>0</v>
      </c>
      <c r="O34" s="160">
        <f>IF(VLOOKUP($I34,Max_Load_France!$B$2:$M$102,5,FALSE)="","",VLOOKUP($I34,Max_Load_France!$B$2:$M$102,5,FALSE))</f>
        <v>1</v>
      </c>
      <c r="P34" s="160">
        <f>IF(VLOOKUP($I34,Max_Load_France!$B$2:$M$102,6,FALSE)="","",VLOOKUP($I34,Max_Load_France!$B$2:$M$102,6,FALSE))</f>
        <v>1</v>
      </c>
      <c r="Q34" s="160">
        <f>IF(VLOOKUP($I34,Max_Load_France!$B$2:$M$102,7,FALSE)="","",VLOOKUP($I34,Max_Load_France!$B$2:$M$102,7,FALSE))</f>
        <v>1</v>
      </c>
      <c r="R34" s="160" t="str">
        <f>IF(VLOOKUP($I34,Max_Load_France!$B$2:$M$102,8,FALSE)="","",VLOOKUP($I34,Max_Load_France!$B$2:$M$102,8,FALSE))</f>
        <v/>
      </c>
      <c r="S34" s="160" t="str">
        <f>IF(VLOOKUP($I34,Max_Load_France!$B$2:$M$102,9,FALSE)="","",VLOOKUP($I34,Max_Load_France!$B$2:$M$102,9,FALSE))</f>
        <v/>
      </c>
      <c r="T34" s="160" t="str">
        <f>IF(VLOOKUP($I34,Max_Load_France!$B$2:$M$102,10,FALSE)="","",VLOOKUP($I34,Max_Load_France!$B$2:$M$102,10,FALSE))</f>
        <v/>
      </c>
      <c r="U34" s="160" t="str">
        <f>IF(VLOOKUP($I34,Max_Load_France!$B$2:$M$102,11,FALSE)="","",VLOOKUP($I34,Max_Load_France!$B$2:$M$102,11,FALSE))</f>
        <v/>
      </c>
      <c r="V34" s="160">
        <f>IF(VLOOKUP($I34,Max_Load_France!$B$2:$M$102,12,FALSE)="","",VLOOKUP($I34,Max_Load_France!$B$2:$M$102,12,FALSE))</f>
        <v>5</v>
      </c>
      <c r="W34" s="172">
        <f t="shared" si="2"/>
        <v>42.39</v>
      </c>
      <c r="X34" s="173">
        <v>5.77</v>
      </c>
      <c r="Y34" s="173">
        <v>7.9</v>
      </c>
      <c r="Z34" s="173">
        <v>10.5</v>
      </c>
      <c r="AA34" s="173">
        <v>9.4700000000000006</v>
      </c>
      <c r="AB34" s="173">
        <v>8.75</v>
      </c>
      <c r="AC34" s="175"/>
      <c r="AD34" s="175"/>
      <c r="AE34" s="175"/>
      <c r="AF34" s="175"/>
      <c r="AG34" s="176">
        <f t="shared" si="3"/>
        <v>28.72</v>
      </c>
      <c r="AH34" s="176"/>
      <c r="AI34" s="176"/>
      <c r="AJ34" s="176"/>
      <c r="AK34" s="177">
        <f t="shared" si="7"/>
        <v>46.173496432212026</v>
      </c>
      <c r="AL34" s="173">
        <v>6.3985015290519875</v>
      </c>
      <c r="AM34" s="173">
        <v>9.4485626911314977</v>
      </c>
      <c r="AN34" s="173">
        <v>10.296126401630987</v>
      </c>
      <c r="AO34" s="173">
        <v>9.9989908256880735</v>
      </c>
      <c r="AP34" s="173">
        <v>10.03131498470948</v>
      </c>
      <c r="AQ34" s="175"/>
      <c r="AR34" s="175"/>
      <c r="AS34" s="175"/>
      <c r="AT34" s="175"/>
      <c r="AU34" s="176">
        <f t="shared" si="8"/>
        <v>30.326432212028543</v>
      </c>
      <c r="AV34" s="176"/>
      <c r="AW34" s="176"/>
      <c r="AX34" s="176"/>
      <c r="AY34" s="170">
        <f t="shared" si="12"/>
        <v>8.9254456999575973E-2</v>
      </c>
      <c r="AZ34" s="170">
        <f t="shared" si="13"/>
        <v>0.10892574160346413</v>
      </c>
      <c r="BA34" s="170">
        <f t="shared" si="14"/>
        <v>0.19602059381411358</v>
      </c>
      <c r="BB34" s="170">
        <f t="shared" si="15"/>
        <v>-1.9416533178001214E-2</v>
      </c>
      <c r="BC34" s="170">
        <f t="shared" si="16"/>
        <v>5.5859643684062599E-2</v>
      </c>
      <c r="BD34" s="170">
        <f t="shared" si="17"/>
        <v>0.14643599825251202</v>
      </c>
      <c r="BE34" s="168" t="str">
        <f t="shared" si="18"/>
        <v/>
      </c>
      <c r="BF34" s="168" t="str">
        <f t="shared" si="19"/>
        <v/>
      </c>
      <c r="BG34" s="168" t="str">
        <f t="shared" si="20"/>
        <v/>
      </c>
      <c r="BH34" s="168" t="str">
        <f t="shared" si="21"/>
        <v/>
      </c>
      <c r="BI34" s="170">
        <f t="shared" si="22"/>
        <v>5.5934269221049583E-2</v>
      </c>
      <c r="BJ34" s="168"/>
      <c r="BK34" s="168"/>
      <c r="BL34" s="168"/>
      <c r="BM34" s="76"/>
      <c r="BN34" s="76"/>
    </row>
    <row r="35" spans="1:66" s="85" customFormat="1">
      <c r="A35" s="163" t="s">
        <v>308</v>
      </c>
      <c r="B35" s="167"/>
      <c r="C35" s="169"/>
      <c r="D35" s="160"/>
      <c r="E35" s="161"/>
      <c r="F35" s="160"/>
      <c r="G35" s="160"/>
      <c r="H35" s="160"/>
      <c r="I35" s="164" t="s">
        <v>94</v>
      </c>
      <c r="J35" s="167">
        <f>IF(ISERROR(VLOOKUP(I35,Max_Load_France!$B$2:$C$102,2,FALSE)/1000),"",VLOOKUP(I35,Max_Load_France!$B$2:$C$102,2,FALSE)/1000)</f>
        <v>40</v>
      </c>
      <c r="K35" s="157"/>
      <c r="L35" s="158">
        <f t="shared" si="0"/>
        <v>1.05975</v>
      </c>
      <c r="M35" s="160">
        <f>IF(VLOOKUP($I35,Max_Load_France!$B$2:$M$102,3,FALSE)="","",VLOOKUP($I35,Max_Load_France!$B$2:$M$102,3,FALSE))</f>
        <v>0</v>
      </c>
      <c r="N35" s="160">
        <f>IF(VLOOKUP($I35,Max_Load_France!$B$2:$M$102,4,FALSE)="","",VLOOKUP($I35,Max_Load_France!$B$2:$M$102,4,FALSE))</f>
        <v>0</v>
      </c>
      <c r="O35" s="160">
        <f>IF(VLOOKUP($I35,Max_Load_France!$B$2:$M$102,5,FALSE)="","",VLOOKUP($I35,Max_Load_France!$B$2:$M$102,5,FALSE))</f>
        <v>1</v>
      </c>
      <c r="P35" s="160">
        <f>IF(VLOOKUP($I35,Max_Load_France!$B$2:$M$102,6,FALSE)="","",VLOOKUP($I35,Max_Load_France!$B$2:$M$102,6,FALSE))</f>
        <v>1</v>
      </c>
      <c r="Q35" s="160">
        <f>IF(VLOOKUP($I35,Max_Load_France!$B$2:$M$102,7,FALSE)="","",VLOOKUP($I35,Max_Load_France!$B$2:$M$102,7,FALSE))</f>
        <v>1</v>
      </c>
      <c r="R35" s="160" t="str">
        <f>IF(VLOOKUP($I35,Max_Load_France!$B$2:$M$102,8,FALSE)="","",VLOOKUP($I35,Max_Load_France!$B$2:$M$102,8,FALSE))</f>
        <v/>
      </c>
      <c r="S35" s="160" t="str">
        <f>IF(VLOOKUP($I35,Max_Load_France!$B$2:$M$102,9,FALSE)="","",VLOOKUP($I35,Max_Load_France!$B$2:$M$102,9,FALSE))</f>
        <v/>
      </c>
      <c r="T35" s="160" t="str">
        <f>IF(VLOOKUP($I35,Max_Load_France!$B$2:$M$102,10,FALSE)="","",VLOOKUP($I35,Max_Load_France!$B$2:$M$102,10,FALSE))</f>
        <v/>
      </c>
      <c r="U35" s="160" t="str">
        <f>IF(VLOOKUP($I35,Max_Load_France!$B$2:$M$102,11,FALSE)="","",VLOOKUP($I35,Max_Load_France!$B$2:$M$102,11,FALSE))</f>
        <v/>
      </c>
      <c r="V35" s="160">
        <f>IF(VLOOKUP($I35,Max_Load_France!$B$2:$M$102,12,FALSE)="","",VLOOKUP($I35,Max_Load_France!$B$2:$M$102,12,FALSE))</f>
        <v>5</v>
      </c>
      <c r="W35" s="172">
        <f t="shared" si="2"/>
        <v>42.39</v>
      </c>
      <c r="X35" s="173">
        <v>5.77</v>
      </c>
      <c r="Y35" s="173">
        <v>7.9</v>
      </c>
      <c r="Z35" s="173">
        <v>10.5</v>
      </c>
      <c r="AA35" s="173">
        <v>9.4700000000000006</v>
      </c>
      <c r="AB35" s="173">
        <v>8.75</v>
      </c>
      <c r="AC35" s="175"/>
      <c r="AD35" s="175"/>
      <c r="AE35" s="175"/>
      <c r="AF35" s="175"/>
      <c r="AG35" s="176">
        <f t="shared" si="3"/>
        <v>28.72</v>
      </c>
      <c r="AH35" s="176"/>
      <c r="AI35" s="176"/>
      <c r="AJ35" s="176"/>
      <c r="AK35" s="177">
        <f t="shared" si="7"/>
        <v>35.938552497451582</v>
      </c>
      <c r="AL35" s="173">
        <v>4.2451478083588174</v>
      </c>
      <c r="AM35" s="173">
        <v>6.3460040774719673</v>
      </c>
      <c r="AN35" s="173">
        <v>7.1902752293577983</v>
      </c>
      <c r="AO35" s="173">
        <v>10.829357798165137</v>
      </c>
      <c r="AP35" s="173">
        <v>7.3277675840978596</v>
      </c>
      <c r="AQ35" s="175"/>
      <c r="AR35" s="175"/>
      <c r="AS35" s="175"/>
      <c r="AT35" s="175"/>
      <c r="AU35" s="176">
        <f t="shared" si="8"/>
        <v>25.347400611620795</v>
      </c>
      <c r="AV35" s="176"/>
      <c r="AW35" s="176"/>
      <c r="AX35" s="176"/>
      <c r="AY35" s="170">
        <f t="shared" si="12"/>
        <v>-0.15219267521935406</v>
      </c>
      <c r="AZ35" s="170">
        <f t="shared" si="13"/>
        <v>-0.26427247688755323</v>
      </c>
      <c r="BA35" s="170">
        <f t="shared" si="14"/>
        <v>-0.19670834462380166</v>
      </c>
      <c r="BB35" s="170">
        <f t="shared" si="15"/>
        <v>-0.31521188291830493</v>
      </c>
      <c r="BC35" s="170">
        <f t="shared" si="16"/>
        <v>0.14354359009135551</v>
      </c>
      <c r="BD35" s="170">
        <f t="shared" si="17"/>
        <v>-0.16254084753167319</v>
      </c>
      <c r="BE35" s="168" t="str">
        <f t="shared" si="18"/>
        <v/>
      </c>
      <c r="BF35" s="168" t="str">
        <f t="shared" si="19"/>
        <v/>
      </c>
      <c r="BG35" s="168" t="str">
        <f t="shared" si="20"/>
        <v/>
      </c>
      <c r="BH35" s="168" t="str">
        <f t="shared" si="21"/>
        <v/>
      </c>
      <c r="BI35" s="170">
        <f t="shared" si="22"/>
        <v>-0.11743034082100291</v>
      </c>
      <c r="BJ35" s="168"/>
      <c r="BK35" s="168"/>
      <c r="BL35" s="168"/>
      <c r="BM35" s="76"/>
      <c r="BN35" s="76"/>
    </row>
    <row r="36" spans="1:66" s="85" customFormat="1">
      <c r="A36" s="163" t="s">
        <v>309</v>
      </c>
      <c r="B36" s="167"/>
      <c r="C36" s="169"/>
      <c r="D36" s="160"/>
      <c r="E36" s="161"/>
      <c r="F36" s="160"/>
      <c r="G36" s="160"/>
      <c r="H36" s="160"/>
      <c r="I36" s="164" t="s">
        <v>94</v>
      </c>
      <c r="J36" s="167">
        <f>IF(ISERROR(VLOOKUP(I36,Max_Load_France!$B$2:$C$102,2,FALSE)/1000),"",VLOOKUP(I36,Max_Load_France!$B$2:$C$102,2,FALSE)/1000)</f>
        <v>40</v>
      </c>
      <c r="K36" s="157"/>
      <c r="L36" s="158">
        <f t="shared" si="0"/>
        <v>1.05975</v>
      </c>
      <c r="M36" s="160">
        <f>IF(VLOOKUP($I36,Max_Load_France!$B$2:$M$102,3,FALSE)="","",VLOOKUP($I36,Max_Load_France!$B$2:$M$102,3,FALSE))</f>
        <v>0</v>
      </c>
      <c r="N36" s="160">
        <f>IF(VLOOKUP($I36,Max_Load_France!$B$2:$M$102,4,FALSE)="","",VLOOKUP($I36,Max_Load_France!$B$2:$M$102,4,FALSE))</f>
        <v>0</v>
      </c>
      <c r="O36" s="160">
        <f>IF(VLOOKUP($I36,Max_Load_France!$B$2:$M$102,5,FALSE)="","",VLOOKUP($I36,Max_Load_France!$B$2:$M$102,5,FALSE))</f>
        <v>1</v>
      </c>
      <c r="P36" s="160">
        <f>IF(VLOOKUP($I36,Max_Load_France!$B$2:$M$102,6,FALSE)="","",VLOOKUP($I36,Max_Load_France!$B$2:$M$102,6,FALSE))</f>
        <v>1</v>
      </c>
      <c r="Q36" s="160">
        <f>IF(VLOOKUP($I36,Max_Load_France!$B$2:$M$102,7,FALSE)="","",VLOOKUP($I36,Max_Load_France!$B$2:$M$102,7,FALSE))</f>
        <v>1</v>
      </c>
      <c r="R36" s="160" t="str">
        <f>IF(VLOOKUP($I36,Max_Load_France!$B$2:$M$102,8,FALSE)="","",VLOOKUP($I36,Max_Load_France!$B$2:$M$102,8,FALSE))</f>
        <v/>
      </c>
      <c r="S36" s="160" t="str">
        <f>IF(VLOOKUP($I36,Max_Load_France!$B$2:$M$102,9,FALSE)="","",VLOOKUP($I36,Max_Load_France!$B$2:$M$102,9,FALSE))</f>
        <v/>
      </c>
      <c r="T36" s="160" t="str">
        <f>IF(VLOOKUP($I36,Max_Load_France!$B$2:$M$102,10,FALSE)="","",VLOOKUP($I36,Max_Load_France!$B$2:$M$102,10,FALSE))</f>
        <v/>
      </c>
      <c r="U36" s="160" t="str">
        <f>IF(VLOOKUP($I36,Max_Load_France!$B$2:$M$102,11,FALSE)="","",VLOOKUP($I36,Max_Load_France!$B$2:$M$102,11,FALSE))</f>
        <v/>
      </c>
      <c r="V36" s="160">
        <f>IF(VLOOKUP($I36,Max_Load_France!$B$2:$M$102,12,FALSE)="","",VLOOKUP($I36,Max_Load_France!$B$2:$M$102,12,FALSE))</f>
        <v>5</v>
      </c>
      <c r="W36" s="172">
        <f t="shared" si="2"/>
        <v>42.39</v>
      </c>
      <c r="X36" s="173">
        <v>5.77</v>
      </c>
      <c r="Y36" s="173">
        <v>7.9</v>
      </c>
      <c r="Z36" s="173">
        <v>10.5</v>
      </c>
      <c r="AA36" s="173">
        <v>9.4700000000000006</v>
      </c>
      <c r="AB36" s="173">
        <v>8.75</v>
      </c>
      <c r="AC36" s="175"/>
      <c r="AD36" s="175"/>
      <c r="AE36" s="175"/>
      <c r="AF36" s="175"/>
      <c r="AG36" s="176">
        <f t="shared" si="3"/>
        <v>28.72</v>
      </c>
      <c r="AH36" s="176"/>
      <c r="AI36" s="176"/>
      <c r="AJ36" s="176"/>
      <c r="AK36" s="177">
        <f t="shared" si="7"/>
        <v>41.389143730886843</v>
      </c>
      <c r="AL36" s="173">
        <v>4.469887869520897</v>
      </c>
      <c r="AM36" s="173">
        <v>13.334148827726809</v>
      </c>
      <c r="AN36" s="173">
        <v>7.153088685015291</v>
      </c>
      <c r="AO36" s="173">
        <v>8.2065749235474001</v>
      </c>
      <c r="AP36" s="173">
        <v>8.2254434250764508</v>
      </c>
      <c r="AQ36" s="175"/>
      <c r="AR36" s="175"/>
      <c r="AS36" s="175"/>
      <c r="AT36" s="175"/>
      <c r="AU36" s="176">
        <f t="shared" si="8"/>
        <v>23.58510703363914</v>
      </c>
      <c r="AV36" s="176"/>
      <c r="AW36" s="176"/>
      <c r="AX36" s="176"/>
      <c r="AY36" s="170">
        <f t="shared" si="12"/>
        <v>-2.3610669240697268E-2</v>
      </c>
      <c r="AZ36" s="170">
        <f t="shared" si="13"/>
        <v>-0.22532272625287741</v>
      </c>
      <c r="BA36" s="170">
        <f t="shared" si="14"/>
        <v>0.6878669402185833</v>
      </c>
      <c r="BB36" s="170">
        <f t="shared" si="15"/>
        <v>-0.31875345856997228</v>
      </c>
      <c r="BC36" s="170">
        <f t="shared" si="16"/>
        <v>-0.1334134188439916</v>
      </c>
      <c r="BD36" s="170">
        <f t="shared" si="17"/>
        <v>-5.994932284840563E-2</v>
      </c>
      <c r="BE36" s="168" t="str">
        <f t="shared" si="18"/>
        <v/>
      </c>
      <c r="BF36" s="168" t="str">
        <f t="shared" si="19"/>
        <v/>
      </c>
      <c r="BG36" s="168" t="str">
        <f t="shared" si="20"/>
        <v/>
      </c>
      <c r="BH36" s="168" t="str">
        <f t="shared" si="21"/>
        <v/>
      </c>
      <c r="BI36" s="170">
        <f t="shared" si="22"/>
        <v>-0.17879153782593521</v>
      </c>
      <c r="BJ36" s="168"/>
      <c r="BK36" s="168"/>
      <c r="BL36" s="168"/>
      <c r="BM36" s="76"/>
      <c r="BN36" s="76"/>
    </row>
    <row r="37" spans="1:66" s="89" customFormat="1" ht="12.75">
      <c r="A37" s="73"/>
      <c r="B37" s="74"/>
      <c r="C37" s="91"/>
      <c r="D37" s="87"/>
      <c r="E37" s="96"/>
      <c r="F37" s="87"/>
      <c r="G37" s="87"/>
      <c r="H37" s="86"/>
      <c r="I37" s="74"/>
      <c r="J37" s="74"/>
      <c r="K37" s="64"/>
      <c r="L37" s="98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99"/>
      <c r="X37" s="100"/>
      <c r="Y37" s="100"/>
      <c r="Z37" s="100"/>
      <c r="AA37" s="100"/>
      <c r="AB37" s="100"/>
      <c r="AC37" s="102"/>
      <c r="AD37" s="102"/>
      <c r="AE37" s="102"/>
      <c r="AF37" s="102"/>
      <c r="AG37" s="75"/>
      <c r="AH37" s="75"/>
      <c r="AI37" s="75"/>
      <c r="AJ37" s="75"/>
      <c r="AK37" s="106"/>
      <c r="AL37" s="96"/>
      <c r="AM37" s="96"/>
      <c r="AN37" s="96"/>
      <c r="AO37" s="96"/>
      <c r="AP37" s="96"/>
      <c r="AQ37" s="102"/>
      <c r="AR37" s="102"/>
      <c r="AS37" s="102"/>
      <c r="AT37" s="102"/>
      <c r="AU37" s="75"/>
      <c r="AV37" s="75"/>
      <c r="AW37" s="75"/>
      <c r="AX37" s="75"/>
      <c r="AY37" s="171"/>
      <c r="AZ37" s="171"/>
      <c r="BA37" s="171"/>
      <c r="BB37" s="171"/>
      <c r="BC37" s="171"/>
      <c r="BD37" s="171"/>
      <c r="BE37" s="104"/>
      <c r="BF37" s="104"/>
      <c r="BG37" s="104"/>
      <c r="BH37" s="104"/>
      <c r="BI37" s="170"/>
      <c r="BJ37" s="104"/>
      <c r="BK37" s="104"/>
      <c r="BL37" s="104"/>
      <c r="BM37" s="76"/>
      <c r="BN37" s="76"/>
    </row>
    <row r="38" spans="1:66" ht="12.75">
      <c r="A38" s="73"/>
      <c r="B38" s="74"/>
      <c r="C38" s="91"/>
      <c r="H38" s="86"/>
      <c r="I38" s="74"/>
      <c r="J38" s="74"/>
      <c r="K38" s="64"/>
      <c r="L38" s="98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99"/>
      <c r="X38" s="100"/>
      <c r="Y38" s="100"/>
      <c r="Z38" s="100"/>
      <c r="AA38" s="100"/>
      <c r="AB38" s="100"/>
      <c r="AC38" s="102"/>
      <c r="AD38" s="102"/>
      <c r="AE38" s="102"/>
      <c r="AF38" s="102"/>
      <c r="AG38" s="75"/>
      <c r="AH38" s="75"/>
      <c r="AI38" s="75"/>
      <c r="AJ38" s="75"/>
      <c r="AK38" s="106"/>
      <c r="AQ38" s="102"/>
      <c r="AR38" s="102"/>
      <c r="AS38" s="102"/>
      <c r="AT38" s="102"/>
      <c r="AU38" s="75"/>
      <c r="AV38" s="75"/>
      <c r="AW38" s="75"/>
      <c r="AX38" s="75"/>
      <c r="AY38" s="171"/>
      <c r="AZ38" s="171"/>
      <c r="BA38" s="171"/>
      <c r="BB38" s="171"/>
      <c r="BC38" s="171"/>
      <c r="BD38" s="171"/>
      <c r="BE38" s="104"/>
      <c r="BF38" s="104"/>
      <c r="BG38" s="104"/>
      <c r="BH38" s="104"/>
      <c r="BI38" s="170"/>
      <c r="BJ38" s="104"/>
      <c r="BK38" s="104"/>
      <c r="BL38" s="104"/>
      <c r="BM38" s="76"/>
      <c r="BN38" s="76"/>
    </row>
    <row r="39" spans="1:66" ht="12.75">
      <c r="A39" s="73"/>
      <c r="B39" s="74"/>
      <c r="C39" s="91"/>
      <c r="H39" s="86"/>
      <c r="I39" s="74"/>
      <c r="J39" s="74"/>
      <c r="K39" s="64"/>
      <c r="L39" s="98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99"/>
      <c r="X39" s="100"/>
      <c r="Y39" s="100"/>
      <c r="Z39" s="100"/>
      <c r="AA39" s="100"/>
      <c r="AB39" s="100"/>
      <c r="AC39" s="102"/>
      <c r="AD39" s="102"/>
      <c r="AE39" s="102"/>
      <c r="AF39" s="102"/>
      <c r="AG39" s="75"/>
      <c r="AH39" s="75"/>
      <c r="AI39" s="75"/>
      <c r="AJ39" s="75"/>
      <c r="AK39" s="106"/>
      <c r="AL39" s="100"/>
      <c r="AM39" s="100"/>
      <c r="AN39" s="100"/>
      <c r="AO39" s="100"/>
      <c r="AP39" s="100"/>
      <c r="AQ39" s="102"/>
      <c r="AR39" s="102"/>
      <c r="AS39" s="102"/>
      <c r="AT39" s="102"/>
      <c r="AU39" s="75"/>
      <c r="AV39" s="75"/>
      <c r="AW39" s="75"/>
      <c r="AX39" s="75"/>
      <c r="AY39" s="171"/>
      <c r="AZ39" s="171"/>
      <c r="BA39" s="171"/>
      <c r="BB39" s="171"/>
      <c r="BC39" s="171"/>
      <c r="BD39" s="171"/>
      <c r="BE39" s="104"/>
      <c r="BF39" s="104"/>
      <c r="BG39" s="104"/>
      <c r="BH39" s="104"/>
      <c r="BI39" s="170"/>
      <c r="BJ39" s="104"/>
      <c r="BK39" s="104"/>
      <c r="BL39" s="104"/>
      <c r="BM39" s="76"/>
      <c r="BN39" s="76"/>
    </row>
  </sheetData>
  <dataConsolidate/>
  <mergeCells count="28">
    <mergeCell ref="AY10:BL10"/>
    <mergeCell ref="Z7:AG7"/>
    <mergeCell ref="AQ7:AX7"/>
    <mergeCell ref="A10:A11"/>
    <mergeCell ref="B10:B11"/>
    <mergeCell ref="C10:C11"/>
    <mergeCell ref="D10:D11"/>
    <mergeCell ref="E10:E11"/>
    <mergeCell ref="F10:F11"/>
    <mergeCell ref="G10:G11"/>
    <mergeCell ref="H10:H11"/>
    <mergeCell ref="I10:K10"/>
    <mergeCell ref="L10:L11"/>
    <mergeCell ref="M10:V10"/>
    <mergeCell ref="W10:AJ10"/>
    <mergeCell ref="AK10:AX10"/>
    <mergeCell ref="C5:H5"/>
    <mergeCell ref="Z5:AG5"/>
    <mergeCell ref="AQ5:AX5"/>
    <mergeCell ref="C6:H6"/>
    <mergeCell ref="Z6:AG6"/>
    <mergeCell ref="AQ6:AX6"/>
    <mergeCell ref="C3:H3"/>
    <mergeCell ref="Z3:AK3"/>
    <mergeCell ref="AQ3:BB3"/>
    <mergeCell ref="C4:H4"/>
    <mergeCell ref="Z4:AG4"/>
    <mergeCell ref="AQ4:AX4"/>
  </mergeCells>
  <pageMargins left="0.78740157480314965" right="0.78740157480314965" top="0.98425196850393704" bottom="0.98425196850393704" header="0.51181102362204722" footer="0.51181102362204722"/>
  <pageSetup paperSize="8" scale="60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Donnée non valide" error="Ce type n'existe pas">
          <x14:formula1>
            <xm:f>Max_Load_France!$B$3:$B$100</xm:f>
          </x14:formula1>
          <xm:sqref>I37:I39</xm:sqref>
        </x14:dataValidation>
        <x14:dataValidation type="list" allowBlank="1" showInputMessage="1" showErrorMessage="1" errorTitle="Donnée non valide" error="Ce type n'existe pas">
          <x14:formula1>
            <xm:f>Max_Load_France!$B$3:$B$102</xm:f>
          </x14:formula1>
          <xm:sqref>I12:I36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Q54"/>
  <sheetViews>
    <sheetView workbookViewId="0">
      <selection activeCell="B9" sqref="B9"/>
    </sheetView>
  </sheetViews>
  <sheetFormatPr baseColWidth="10" defaultColWidth="11.42578125" defaultRowHeight="12.75"/>
  <cols>
    <col min="1" max="1" width="14" style="3" bestFit="1" customWidth="1"/>
    <col min="2" max="2" width="8.140625" style="3" bestFit="1" customWidth="1"/>
    <col min="3" max="3" width="9.5703125" style="3" customWidth="1"/>
    <col min="4" max="4" width="7.28515625" style="3" bestFit="1" customWidth="1"/>
    <col min="5" max="5" width="10.140625" style="3" bestFit="1" customWidth="1"/>
    <col min="6" max="6" width="8.7109375" style="3" customWidth="1"/>
    <col min="7" max="7" width="6.5703125" style="3" bestFit="1" customWidth="1"/>
    <col min="8" max="8" width="5.7109375" style="3" customWidth="1"/>
    <col min="9" max="9" width="4.7109375" style="3" bestFit="1" customWidth="1"/>
    <col min="10" max="11" width="4.7109375" style="3" customWidth="1"/>
    <col min="12" max="12" width="5.7109375" style="3" hidden="1" customWidth="1"/>
    <col min="13" max="13" width="9.85546875" style="3" customWidth="1"/>
    <col min="14" max="14" width="7.42578125" style="3" hidden="1" customWidth="1"/>
    <col min="15" max="15" width="9.42578125" style="3" bestFit="1" customWidth="1"/>
    <col min="16" max="16384" width="11.42578125" style="3"/>
  </cols>
  <sheetData>
    <row r="1" spans="1:17" ht="30" customHeight="1">
      <c r="C1" s="4" t="s">
        <v>32</v>
      </c>
    </row>
    <row r="2" spans="1:17" ht="15" customHeight="1">
      <c r="C2" s="5" t="s">
        <v>33</v>
      </c>
    </row>
    <row r="3" spans="1:17" ht="15" customHeight="1">
      <c r="C3" s="4"/>
      <c r="M3" s="6" t="s">
        <v>34</v>
      </c>
    </row>
    <row r="4" spans="1:17" ht="14.25">
      <c r="A4" s="7" t="s">
        <v>75</v>
      </c>
      <c r="B4" s="8" t="s">
        <v>35</v>
      </c>
      <c r="C4" s="8"/>
      <c r="D4" s="8" t="s">
        <v>76</v>
      </c>
      <c r="F4" s="9" t="s">
        <v>36</v>
      </c>
      <c r="G4" s="10"/>
      <c r="H4" s="10"/>
      <c r="I4" s="10"/>
      <c r="J4" s="11"/>
      <c r="M4" s="12">
        <v>0</v>
      </c>
    </row>
    <row r="5" spans="1:17">
      <c r="A5" s="13"/>
      <c r="B5" s="184" t="s">
        <v>37</v>
      </c>
      <c r="C5" s="15"/>
      <c r="D5" s="16" t="s">
        <v>38</v>
      </c>
    </row>
    <row r="6" spans="1:17" ht="6" customHeight="1" thickBot="1">
      <c r="A6" s="17"/>
      <c r="B6" s="18"/>
      <c r="C6" s="19"/>
      <c r="D6" s="20"/>
      <c r="E6" s="20"/>
      <c r="F6" s="21"/>
      <c r="G6" s="22"/>
      <c r="H6" s="21"/>
      <c r="I6" s="21"/>
      <c r="J6" s="21"/>
      <c r="K6" s="21"/>
      <c r="L6" s="21"/>
      <c r="M6" s="21"/>
      <c r="N6" s="21"/>
      <c r="O6" s="23"/>
    </row>
    <row r="7" spans="1:17" ht="14.25">
      <c r="A7" s="24" t="s">
        <v>39</v>
      </c>
      <c r="B7" s="24" t="s">
        <v>40</v>
      </c>
      <c r="C7" s="24" t="s">
        <v>41</v>
      </c>
      <c r="D7" s="24" t="s">
        <v>42</v>
      </c>
      <c r="E7" s="24" t="s">
        <v>43</v>
      </c>
      <c r="F7" s="25" t="s">
        <v>77</v>
      </c>
      <c r="G7" s="24" t="s">
        <v>44</v>
      </c>
      <c r="H7" s="25" t="str">
        <f>IF(M4=0,"d","0.8*d")</f>
        <v>d</v>
      </c>
      <c r="I7" s="25" t="s">
        <v>78</v>
      </c>
      <c r="J7" s="25" t="s">
        <v>79</v>
      </c>
      <c r="K7" s="26" t="s">
        <v>45</v>
      </c>
      <c r="L7" s="27" t="s">
        <v>46</v>
      </c>
      <c r="M7" s="25" t="s">
        <v>46</v>
      </c>
      <c r="N7" s="28" t="s">
        <v>80</v>
      </c>
      <c r="O7" s="29" t="s">
        <v>47</v>
      </c>
      <c r="P7" s="30" t="s">
        <v>48</v>
      </c>
    </row>
    <row r="8" spans="1:17" ht="13.5" thickBot="1">
      <c r="A8" s="31" t="s">
        <v>49</v>
      </c>
      <c r="B8" s="32"/>
      <c r="C8" s="32" t="s">
        <v>50</v>
      </c>
      <c r="D8" s="32" t="s">
        <v>50</v>
      </c>
      <c r="E8" s="32" t="s">
        <v>50</v>
      </c>
      <c r="F8" s="32" t="s">
        <v>50</v>
      </c>
      <c r="G8" s="32"/>
      <c r="H8" s="32" t="s">
        <v>50</v>
      </c>
      <c r="I8" s="32" t="s">
        <v>50</v>
      </c>
      <c r="J8" s="32" t="s">
        <v>50</v>
      </c>
      <c r="K8" s="32"/>
      <c r="L8" s="32" t="s">
        <v>50</v>
      </c>
      <c r="M8" s="32" t="s">
        <v>50</v>
      </c>
      <c r="N8" s="33" t="s">
        <v>50</v>
      </c>
      <c r="O8" s="34" t="s">
        <v>45</v>
      </c>
    </row>
    <row r="9" spans="1:17" ht="13.5" thickBot="1">
      <c r="A9" s="24" t="s">
        <v>51</v>
      </c>
      <c r="B9" s="35">
        <f>Site_PLtraf_new!AY5</f>
        <v>41</v>
      </c>
      <c r="C9" s="36">
        <v>100</v>
      </c>
      <c r="D9" s="37">
        <f>Site_PLtraf_new!AY6*100</f>
        <v>-0.29634314289363772</v>
      </c>
      <c r="E9" s="37">
        <f>Site_PLtraf_new!AY7*100</f>
        <v>5.1536814028963676</v>
      </c>
      <c r="F9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90.788808716556034</v>
      </c>
      <c r="G9" s="39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C(15)</v>
      </c>
      <c r="H9" s="40">
        <f>K9*IF(M$4=0,1,0.8)</f>
        <v>15</v>
      </c>
      <c r="I9" s="41">
        <v>10.534654907407651</v>
      </c>
      <c r="J9" s="38">
        <f>I9*IF(M$4=0,1,1.25)</f>
        <v>10.534654907407651</v>
      </c>
      <c r="K9" s="40">
        <f>IF(OR(J9&lt;=5,J9&gt;7),ROUNDUP((J9/5),0)*5,7)</f>
        <v>15</v>
      </c>
      <c r="L9" s="38">
        <f>100*(1-TDIST((I9/E9-D9/E9)-TINV(0.05,B9-1)/SQRT(B9),B9-1,1)-TDIST((I9/E9+D9/E9)-TINV(0.05,B9-1)/SQRT(B9),B9-1,1))</f>
        <v>90.788808716556062</v>
      </c>
      <c r="M9" s="38">
        <f>100*(1-TDIST((H9/E9-D9/E9)-TINV(0.05,B9-1)/SQRT(B9),B9-1,1)-TDIST((H9/E9+D9/E9)-TINV(0.05,B9-1)/SQRT(B9),B9-1,1))</f>
        <v>98.671339336012124</v>
      </c>
      <c r="N9" s="42"/>
      <c r="O9" s="43"/>
    </row>
    <row r="10" spans="1:17">
      <c r="A10" s="24" t="s">
        <v>52</v>
      </c>
      <c r="B10" s="35">
        <f>Site_PLtraf_new!BB5</f>
        <v>40</v>
      </c>
      <c r="C10" s="36">
        <v>100</v>
      </c>
      <c r="D10" s="37">
        <f>Site_PLtraf_new!BB6*100</f>
        <v>-2.0319110199667043</v>
      </c>
      <c r="E10" s="37">
        <f>Site_PLtraf_new!BB7*100</f>
        <v>13.844129429955428</v>
      </c>
      <c r="F10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90.707857285354137</v>
      </c>
      <c r="G10" s="39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E(30)</v>
      </c>
      <c r="H10" s="12">
        <f>IF(K10&lt;7,K10/0.7,IF(K10&lt;30,K10+3,K10*1.1))*IF(M$4=0,1,0.8)</f>
        <v>33</v>
      </c>
      <c r="I10" s="41">
        <v>28.516018806891697</v>
      </c>
      <c r="J10" s="38">
        <f>IF(I10&lt;10,0.7*I10*IF(M$4=0,1,1.25),I10*IF(M$4=0,1,1.25)-3)</f>
        <v>25.516018806891697</v>
      </c>
      <c r="K10" s="40">
        <f>IF(OR(J10&lt;=5,J10&gt;7),ROUNDUP((J10/5),0)*5,7)</f>
        <v>30</v>
      </c>
      <c r="L10" s="38">
        <f>100*(1-TDIST((I10/E10-D10/E10)-TINV(0.05,B10-1)/SQRT(B10),B10-1,1)-TDIST((I10/E10+D10/E10)-TINV(0.05,B10-1)/SQRT(B10),B10-1,1))</f>
        <v>90.707857285354137</v>
      </c>
      <c r="M10" s="38">
        <f>100*(1-TDIST(((H10-D10)/E10)*SQRT(B10/(B10+1)),B10-1,1)-TDIST(((H10+D10)/E10)*SQRT(B10/(B10+1)),B10-1,1))</f>
        <v>97.507981710119097</v>
      </c>
      <c r="N10" s="44">
        <v>96.503494262695313</v>
      </c>
      <c r="O10" s="45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E(40)</v>
      </c>
    </row>
    <row r="11" spans="1:17">
      <c r="A11" s="24" t="s">
        <v>53</v>
      </c>
      <c r="B11" s="35">
        <f>Site_PLtraf_new!AZ5</f>
        <v>179</v>
      </c>
      <c r="C11" s="36">
        <v>100</v>
      </c>
      <c r="D11" s="37">
        <f>Site_PLtraf_new!AZ6*100</f>
        <v>-2.2111788249749251</v>
      </c>
      <c r="E11" s="37">
        <f>Site_PLtraf_new!AZ7*100</f>
        <v>20.280034231944597</v>
      </c>
      <c r="F11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93.604631361684795</v>
      </c>
      <c r="G11" s="39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E(40)</v>
      </c>
      <c r="H11" s="40">
        <f>IF(K11&lt;10,K11*(85-K11)/50,IF(K11&lt;25,K11+5,6*K11/5))*IF(M$4=0,1,0.8)</f>
        <v>48</v>
      </c>
      <c r="I11" s="41">
        <v>41.01613562508745</v>
      </c>
      <c r="J11" s="38">
        <f>IF(I11&lt;15,I11*(I11*IF(M$4=0,1,1.25)+97)*IF(M$4=0,1,1.25)/168,I11*IF(M$4=0,1,1.25)-5)</f>
        <v>36.01613562508745</v>
      </c>
      <c r="K11" s="12">
        <f>IF(OR(J11&lt;=5,J11&gt;7),ROUNDUP((J11/5),0)*5,7)</f>
        <v>40</v>
      </c>
      <c r="L11" s="38">
        <f>100*(1-TDIST((I11/E11-D11/E11)-TINV(0.05,B11-1)/SQRT(B11),B11-1,1)-TDIST((I11/E11+D11/E11)-TINV(0.05,B11-1)/SQRT(B11),B11-1,1))</f>
        <v>93.604631447607417</v>
      </c>
      <c r="M11" s="38">
        <f>100*(1-TDIST((H11/E11-D11/E11)-TINV(0.05,B11-1)/SQRT(B11),B11-1,1)-TDIST((H11/E11+D11/E11)-TINV(0.05,B11-1)/SQRT(B11),B11-1,1))</f>
        <v>97.137898242570856</v>
      </c>
      <c r="N11" s="46">
        <v>96.943229675292969</v>
      </c>
      <c r="O11" s="47"/>
    </row>
    <row r="12" spans="1:17">
      <c r="A12" s="24" t="s">
        <v>54</v>
      </c>
      <c r="B12" s="35">
        <f>Site_PLtraf_new!BA5</f>
        <v>111</v>
      </c>
      <c r="C12" s="36">
        <v>100</v>
      </c>
      <c r="D12" s="37">
        <f>Site_PLtraf_new!BA6*100</f>
        <v>1.6915967154835461</v>
      </c>
      <c r="E12" s="37">
        <f>Site_PLtraf_new!BA7*100</f>
        <v>17.334201922922389</v>
      </c>
      <c r="F12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92.999822133637934</v>
      </c>
      <c r="G12" s="39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E(30)</v>
      </c>
      <c r="H12" s="40">
        <f>IF(K12&lt;10,2*K12,IF(K12&lt;25,K12+10,6*K12/5+5))*IF(M$4=0,1,0.8)</f>
        <v>41</v>
      </c>
      <c r="I12" s="41">
        <v>35.124567213705895</v>
      </c>
      <c r="J12" s="38">
        <f>IF(I12&lt;20,I12*IF(M$4=0,1,1.25)/2,(I12*IF(M$4=0,1,1.25)-10))</f>
        <v>25.124567213705895</v>
      </c>
      <c r="K12" s="40">
        <f>IF(OR(J12&lt;=5,J12&gt;7),ROUNDUP((J12/5),0)*5,7)</f>
        <v>30</v>
      </c>
      <c r="L12" s="38">
        <f>100*(1-TDIST((I12/E12-D12/E12)-TINV(0.05,B12-1)/SQRT(B12),B12-1,1)-TDIST((I12/E12+D12/E12)-TINV(0.05,B12-1)/SQRT(B12),B12-1,1))</f>
        <v>92.999822133637934</v>
      </c>
      <c r="M12" s="38">
        <f>100*(1-TDIST((H12/E12-D12/E12)-TINV(0.05,B12-1)/SQRT(B12),B12-1,1)-TDIST((H12/E12+D12/E12)-TINV(0.05,B12-1)/SQRT(B12),B12-1,1))</f>
        <v>96.762594074506239</v>
      </c>
      <c r="N12" s="44">
        <v>95.904441833496094</v>
      </c>
      <c r="O12" s="48">
        <f>MAX(K9:K12)</f>
        <v>40</v>
      </c>
    </row>
    <row r="13" spans="1:17">
      <c r="A13" s="49" t="s">
        <v>55</v>
      </c>
    </row>
    <row r="14" spans="1:17">
      <c r="A14" s="3" t="s">
        <v>56</v>
      </c>
      <c r="C14" s="50"/>
      <c r="E14" s="51" t="s">
        <v>57</v>
      </c>
      <c r="Q14" s="52"/>
    </row>
    <row r="15" spans="1:17">
      <c r="A15" s="3" t="s">
        <v>58</v>
      </c>
      <c r="E15" s="53" t="s">
        <v>59</v>
      </c>
      <c r="F15" s="54" t="s">
        <v>60</v>
      </c>
    </row>
    <row r="16" spans="1:17">
      <c r="A16" s="3" t="s">
        <v>61</v>
      </c>
      <c r="F16" s="54" t="s">
        <v>62</v>
      </c>
    </row>
    <row r="17" spans="1:6">
      <c r="A17" s="3" t="s">
        <v>63</v>
      </c>
      <c r="E17" s="53" t="s">
        <v>64</v>
      </c>
      <c r="F17" s="54" t="s">
        <v>65</v>
      </c>
    </row>
    <row r="18" spans="1:6" ht="15.75">
      <c r="A18" s="3" t="s">
        <v>66</v>
      </c>
      <c r="E18" s="53" t="s">
        <v>67</v>
      </c>
      <c r="F18" s="54" t="s">
        <v>81</v>
      </c>
    </row>
    <row r="19" spans="1:6">
      <c r="A19" s="3" t="s">
        <v>68</v>
      </c>
      <c r="E19" s="53" t="s">
        <v>69</v>
      </c>
      <c r="F19" s="54" t="s">
        <v>70</v>
      </c>
    </row>
    <row r="20" spans="1:6">
      <c r="A20" s="3" t="s">
        <v>71</v>
      </c>
      <c r="F20" s="54" t="s">
        <v>72</v>
      </c>
    </row>
    <row r="21" spans="1:6">
      <c r="F21" s="6" t="s">
        <v>73</v>
      </c>
    </row>
    <row r="22" spans="1:6" ht="14.25">
      <c r="F22" s="6" t="s">
        <v>82</v>
      </c>
    </row>
    <row r="41" spans="1:1">
      <c r="A41" s="55" t="s">
        <v>74</v>
      </c>
    </row>
    <row r="42" spans="1:1">
      <c r="A42" s="56" t="s">
        <v>83</v>
      </c>
    </row>
    <row r="43" spans="1:1">
      <c r="A43" s="56" t="s">
        <v>84</v>
      </c>
    </row>
    <row r="44" spans="1:1">
      <c r="A44" s="56" t="s">
        <v>85</v>
      </c>
    </row>
    <row r="45" spans="1:1">
      <c r="A45" s="57" t="s">
        <v>86</v>
      </c>
    </row>
    <row r="46" spans="1:1">
      <c r="A46" s="58" t="s">
        <v>87</v>
      </c>
    </row>
    <row r="47" spans="1:1">
      <c r="A47" s="58" t="s">
        <v>88</v>
      </c>
    </row>
    <row r="48" spans="1:1">
      <c r="A48" s="59"/>
    </row>
    <row r="49" spans="1:1">
      <c r="A49" s="59"/>
    </row>
    <row r="50" spans="1:1">
      <c r="A50" s="59"/>
    </row>
    <row r="51" spans="1:1">
      <c r="A51" s="59"/>
    </row>
    <row r="52" spans="1:1">
      <c r="A52" s="59"/>
    </row>
    <row r="53" spans="1:1">
      <c r="A53" s="59"/>
    </row>
    <row r="54" spans="1:1">
      <c r="A54" s="59"/>
    </row>
  </sheetData>
  <scenarios current="0">
    <scenario name="accur1" count="4" user="Bernard Jacob" comment="Créé par Bernard Jacob le 11/28/98">
      <inputCells r="I11" val="22.4272510621533" numFmtId="165"/>
      <inputCells r="I12" val="18.4903608949355" numFmtId="165"/>
      <inputCells r="I10" val="16.015615153721" numFmtId="165"/>
      <inputCells r="I9" val="19.6284274872054" numFmtId="165"/>
    </scenario>
  </scenarios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102"/>
  <sheetViews>
    <sheetView workbookViewId="0">
      <selection activeCell="E26" sqref="E26"/>
    </sheetView>
  </sheetViews>
  <sheetFormatPr baseColWidth="10" defaultColWidth="11.42578125" defaultRowHeight="15"/>
  <cols>
    <col min="1" max="1" width="11.42578125" style="67"/>
    <col min="2" max="2" width="20" style="67" bestFit="1" customWidth="1"/>
    <col min="3" max="3" width="17.7109375" style="67" customWidth="1"/>
    <col min="4" max="16384" width="11.42578125" style="67"/>
  </cols>
  <sheetData>
    <row r="2" spans="1:13" ht="15.75">
      <c r="A2" s="69" t="s">
        <v>12</v>
      </c>
      <c r="B2" s="69" t="s">
        <v>17</v>
      </c>
      <c r="C2" s="69" t="s">
        <v>195</v>
      </c>
      <c r="D2" s="69" t="s">
        <v>186</v>
      </c>
      <c r="E2" s="69" t="s">
        <v>187</v>
      </c>
      <c r="F2" s="69" t="s">
        <v>188</v>
      </c>
      <c r="G2" s="69" t="s">
        <v>189</v>
      </c>
      <c r="H2" s="69" t="s">
        <v>190</v>
      </c>
      <c r="I2" s="69" t="s">
        <v>191</v>
      </c>
      <c r="J2" s="69" t="s">
        <v>192</v>
      </c>
      <c r="K2" s="69" t="s">
        <v>193</v>
      </c>
      <c r="L2" s="69" t="s">
        <v>194</v>
      </c>
      <c r="M2" s="69" t="s">
        <v>185</v>
      </c>
    </row>
    <row r="3" spans="1:13">
      <c r="A3" s="112">
        <v>1</v>
      </c>
      <c r="B3" s="68" t="s">
        <v>96</v>
      </c>
      <c r="C3" s="68">
        <v>3500</v>
      </c>
      <c r="D3" s="68">
        <v>0</v>
      </c>
      <c r="E3" s="68">
        <v>0</v>
      </c>
      <c r="F3" s="68"/>
      <c r="G3" s="68"/>
      <c r="H3" s="68"/>
      <c r="I3" s="68"/>
      <c r="J3" s="68"/>
      <c r="K3" s="68"/>
      <c r="L3" s="68"/>
      <c r="M3" s="112">
        <f>COUNT(D3:L3)</f>
        <v>2</v>
      </c>
    </row>
    <row r="4" spans="1:13">
      <c r="A4" s="112">
        <v>2</v>
      </c>
      <c r="B4" s="68" t="s">
        <v>97</v>
      </c>
      <c r="C4" s="68">
        <v>19000</v>
      </c>
      <c r="D4" s="68"/>
      <c r="E4" s="68"/>
      <c r="F4" s="68"/>
      <c r="G4" s="68"/>
      <c r="H4" s="68"/>
      <c r="I4" s="68"/>
      <c r="J4" s="68"/>
      <c r="K4" s="68"/>
      <c r="L4" s="68"/>
      <c r="M4" s="112"/>
    </row>
    <row r="5" spans="1:13">
      <c r="A5" s="112">
        <v>3</v>
      </c>
      <c r="B5" s="68" t="s">
        <v>98</v>
      </c>
      <c r="C5" s="68">
        <v>5000</v>
      </c>
      <c r="D5" s="68"/>
      <c r="E5" s="68"/>
      <c r="F5" s="68"/>
      <c r="G5" s="68"/>
      <c r="H5" s="68"/>
      <c r="I5" s="68"/>
      <c r="J5" s="68"/>
      <c r="K5" s="68"/>
      <c r="L5" s="68"/>
      <c r="M5" s="112"/>
    </row>
    <row r="6" spans="1:13">
      <c r="A6" s="112">
        <v>4</v>
      </c>
      <c r="B6" s="68" t="s">
        <v>96</v>
      </c>
      <c r="C6" s="68">
        <v>3500</v>
      </c>
      <c r="D6" s="68">
        <v>0</v>
      </c>
      <c r="E6" s="68">
        <v>0</v>
      </c>
      <c r="F6" s="68"/>
      <c r="G6" s="68"/>
      <c r="H6" s="68"/>
      <c r="I6" s="68"/>
      <c r="J6" s="68"/>
      <c r="K6" s="68"/>
      <c r="L6" s="68"/>
      <c r="M6" s="112">
        <f t="shared" ref="M6:M67" si="0">COUNT(D6:L6)</f>
        <v>2</v>
      </c>
    </row>
    <row r="7" spans="1:13">
      <c r="A7" s="112">
        <v>5</v>
      </c>
      <c r="B7" s="68" t="s">
        <v>97</v>
      </c>
      <c r="C7" s="68">
        <v>19000</v>
      </c>
      <c r="D7" s="68"/>
      <c r="E7" s="68"/>
      <c r="F7" s="68"/>
      <c r="G7" s="68"/>
      <c r="H7" s="68"/>
      <c r="I7" s="68"/>
      <c r="J7" s="68"/>
      <c r="K7" s="68"/>
      <c r="L7" s="68"/>
      <c r="M7" s="112"/>
    </row>
    <row r="8" spans="1:13">
      <c r="A8" s="112">
        <v>6</v>
      </c>
      <c r="B8" s="68" t="s">
        <v>98</v>
      </c>
      <c r="C8" s="68">
        <v>5000</v>
      </c>
      <c r="D8" s="68"/>
      <c r="E8" s="68"/>
      <c r="F8" s="68"/>
      <c r="G8" s="68"/>
      <c r="H8" s="68"/>
      <c r="I8" s="68"/>
      <c r="J8" s="68"/>
      <c r="K8" s="68"/>
      <c r="L8" s="68"/>
      <c r="M8" s="112"/>
    </row>
    <row r="9" spans="1:13">
      <c r="A9" s="112">
        <v>7</v>
      </c>
      <c r="B9" s="68" t="s">
        <v>96</v>
      </c>
      <c r="C9" s="68">
        <v>3500</v>
      </c>
      <c r="D9" s="68">
        <v>0</v>
      </c>
      <c r="E9" s="68">
        <v>0</v>
      </c>
      <c r="F9" s="68"/>
      <c r="G9" s="68"/>
      <c r="H9" s="68"/>
      <c r="I9" s="68"/>
      <c r="J9" s="68"/>
      <c r="K9" s="68"/>
      <c r="L9" s="68"/>
      <c r="M9" s="112">
        <f t="shared" si="0"/>
        <v>2</v>
      </c>
    </row>
    <row r="10" spans="1:13">
      <c r="A10" s="112">
        <v>8</v>
      </c>
      <c r="B10" s="68" t="s">
        <v>99</v>
      </c>
      <c r="C10" s="68">
        <v>19000</v>
      </c>
      <c r="D10" s="68">
        <v>0</v>
      </c>
      <c r="E10" s="68">
        <v>0</v>
      </c>
      <c r="F10" s="68"/>
      <c r="G10" s="68"/>
      <c r="H10" s="68"/>
      <c r="I10" s="68"/>
      <c r="J10" s="68"/>
      <c r="K10" s="68"/>
      <c r="L10" s="68"/>
      <c r="M10" s="112">
        <f t="shared" si="0"/>
        <v>2</v>
      </c>
    </row>
    <row r="11" spans="1:13">
      <c r="A11" s="112">
        <v>9</v>
      </c>
      <c r="B11" s="68" t="s">
        <v>100</v>
      </c>
      <c r="C11" s="68">
        <v>19000</v>
      </c>
      <c r="D11" s="68">
        <v>0</v>
      </c>
      <c r="E11" s="68">
        <v>0</v>
      </c>
      <c r="F11" s="68"/>
      <c r="G11" s="68"/>
      <c r="H11" s="68"/>
      <c r="I11" s="68"/>
      <c r="J11" s="68"/>
      <c r="K11" s="68"/>
      <c r="L11" s="68"/>
      <c r="M11" s="112">
        <f t="shared" si="0"/>
        <v>2</v>
      </c>
    </row>
    <row r="12" spans="1:13">
      <c r="A12" s="112">
        <v>10</v>
      </c>
      <c r="B12" s="68" t="s">
        <v>101</v>
      </c>
      <c r="C12" s="68">
        <v>7000</v>
      </c>
      <c r="D12" s="68">
        <v>0</v>
      </c>
      <c r="E12" s="68">
        <v>0</v>
      </c>
      <c r="F12" s="68"/>
      <c r="G12" s="68"/>
      <c r="H12" s="68"/>
      <c r="I12" s="68"/>
      <c r="J12" s="68"/>
      <c r="K12" s="68"/>
      <c r="L12" s="68"/>
      <c r="M12" s="112">
        <f t="shared" si="0"/>
        <v>2</v>
      </c>
    </row>
    <row r="13" spans="1:13">
      <c r="A13" s="112">
        <v>11</v>
      </c>
      <c r="B13" s="68" t="s">
        <v>102</v>
      </c>
      <c r="C13" s="68">
        <v>7000</v>
      </c>
      <c r="D13" s="68">
        <v>0</v>
      </c>
      <c r="E13" s="68">
        <v>0</v>
      </c>
      <c r="F13" s="68">
        <v>0</v>
      </c>
      <c r="G13" s="68"/>
      <c r="H13" s="68"/>
      <c r="I13" s="68"/>
      <c r="J13" s="68"/>
      <c r="K13" s="68"/>
      <c r="L13" s="68"/>
      <c r="M13" s="112">
        <f t="shared" si="0"/>
        <v>3</v>
      </c>
    </row>
    <row r="14" spans="1:13">
      <c r="A14" s="112">
        <v>12</v>
      </c>
      <c r="B14" s="68" t="s">
        <v>98</v>
      </c>
      <c r="C14" s="68">
        <v>5000</v>
      </c>
      <c r="D14" s="68">
        <v>0</v>
      </c>
      <c r="E14" s="68">
        <v>0</v>
      </c>
      <c r="F14" s="68"/>
      <c r="G14" s="68"/>
      <c r="H14" s="68"/>
      <c r="I14" s="68"/>
      <c r="J14" s="68"/>
      <c r="K14" s="68"/>
      <c r="L14" s="68"/>
      <c r="M14" s="112">
        <f t="shared" si="0"/>
        <v>2</v>
      </c>
    </row>
    <row r="15" spans="1:13">
      <c r="A15" s="112">
        <v>13</v>
      </c>
      <c r="B15" s="68" t="s">
        <v>103</v>
      </c>
      <c r="C15" s="68">
        <v>22500</v>
      </c>
      <c r="D15" s="68">
        <v>0</v>
      </c>
      <c r="E15" s="68">
        <v>0</v>
      </c>
      <c r="F15" s="68">
        <v>0</v>
      </c>
      <c r="G15" s="68"/>
      <c r="H15" s="68"/>
      <c r="I15" s="68"/>
      <c r="J15" s="68"/>
      <c r="K15" s="68"/>
      <c r="L15" s="68"/>
      <c r="M15" s="112">
        <f t="shared" si="0"/>
        <v>3</v>
      </c>
    </row>
    <row r="16" spans="1:13">
      <c r="A16" s="112">
        <v>14</v>
      </c>
      <c r="B16" s="68" t="s">
        <v>104</v>
      </c>
      <c r="C16" s="68">
        <v>26000</v>
      </c>
      <c r="D16" s="68">
        <v>0</v>
      </c>
      <c r="E16" s="68">
        <v>0</v>
      </c>
      <c r="F16" s="68">
        <v>0</v>
      </c>
      <c r="G16" s="68"/>
      <c r="H16" s="68"/>
      <c r="I16" s="68"/>
      <c r="J16" s="68"/>
      <c r="K16" s="68"/>
      <c r="L16" s="68"/>
      <c r="M16" s="112">
        <f t="shared" si="0"/>
        <v>3</v>
      </c>
    </row>
    <row r="17" spans="1:13">
      <c r="A17" s="112">
        <v>15</v>
      </c>
      <c r="B17" s="68" t="s">
        <v>105</v>
      </c>
      <c r="C17" s="68">
        <v>26000</v>
      </c>
      <c r="D17" s="68">
        <v>0</v>
      </c>
      <c r="E17" s="68">
        <v>0</v>
      </c>
      <c r="F17" s="68">
        <v>0</v>
      </c>
      <c r="G17" s="68"/>
      <c r="H17" s="68"/>
      <c r="I17" s="68"/>
      <c r="J17" s="68"/>
      <c r="K17" s="68"/>
      <c r="L17" s="68"/>
      <c r="M17" s="112">
        <f t="shared" si="0"/>
        <v>3</v>
      </c>
    </row>
    <row r="18" spans="1:13">
      <c r="A18" s="112">
        <v>16</v>
      </c>
      <c r="B18" s="68" t="s">
        <v>102</v>
      </c>
      <c r="C18" s="68">
        <v>7000</v>
      </c>
      <c r="D18" s="68">
        <v>0</v>
      </c>
      <c r="E18" s="68">
        <v>0</v>
      </c>
      <c r="F18" s="68">
        <v>0</v>
      </c>
      <c r="G18" s="68"/>
      <c r="H18" s="68"/>
      <c r="I18" s="68"/>
      <c r="J18" s="68"/>
      <c r="K18" s="68"/>
      <c r="L18" s="68"/>
      <c r="M18" s="112">
        <f t="shared" si="0"/>
        <v>3</v>
      </c>
    </row>
    <row r="19" spans="1:13">
      <c r="A19" s="112">
        <v>17</v>
      </c>
      <c r="B19" s="68" t="s">
        <v>102</v>
      </c>
      <c r="C19" s="68">
        <v>7000</v>
      </c>
      <c r="D19" s="68">
        <v>0</v>
      </c>
      <c r="E19" s="68">
        <v>0</v>
      </c>
      <c r="F19" s="68">
        <v>0</v>
      </c>
      <c r="G19" s="68"/>
      <c r="H19" s="68"/>
      <c r="I19" s="68"/>
      <c r="J19" s="68"/>
      <c r="K19" s="68"/>
      <c r="L19" s="68"/>
      <c r="M19" s="112">
        <f t="shared" si="0"/>
        <v>3</v>
      </c>
    </row>
    <row r="20" spans="1:13">
      <c r="A20" s="112">
        <v>18</v>
      </c>
      <c r="B20" s="68" t="s">
        <v>106</v>
      </c>
      <c r="C20" s="68">
        <v>26000</v>
      </c>
      <c r="D20" s="68">
        <v>0</v>
      </c>
      <c r="E20" s="68">
        <v>1</v>
      </c>
      <c r="F20" s="68">
        <v>1</v>
      </c>
      <c r="G20" s="68"/>
      <c r="H20" s="68"/>
      <c r="I20" s="68"/>
      <c r="J20" s="68"/>
      <c r="K20" s="68"/>
      <c r="L20" s="68"/>
      <c r="M20" s="112">
        <f t="shared" si="0"/>
        <v>3</v>
      </c>
    </row>
    <row r="21" spans="1:13">
      <c r="A21" s="112">
        <v>19</v>
      </c>
      <c r="B21" s="68" t="s">
        <v>107</v>
      </c>
      <c r="C21" s="68">
        <v>26000</v>
      </c>
      <c r="D21" s="68">
        <v>0</v>
      </c>
      <c r="E21" s="68">
        <v>1</v>
      </c>
      <c r="F21" s="68">
        <v>1</v>
      </c>
      <c r="G21" s="68"/>
      <c r="H21" s="68"/>
      <c r="I21" s="68"/>
      <c r="J21" s="68"/>
      <c r="K21" s="68"/>
      <c r="L21" s="68"/>
      <c r="M21" s="112">
        <f t="shared" si="0"/>
        <v>3</v>
      </c>
    </row>
    <row r="22" spans="1:13">
      <c r="A22" s="112">
        <v>20</v>
      </c>
      <c r="B22" s="68" t="s">
        <v>108</v>
      </c>
      <c r="C22" s="68">
        <v>26000</v>
      </c>
      <c r="D22" s="68">
        <v>0</v>
      </c>
      <c r="E22" s="68">
        <v>1</v>
      </c>
      <c r="F22" s="68">
        <v>1</v>
      </c>
      <c r="G22" s="68"/>
      <c r="H22" s="68"/>
      <c r="I22" s="68"/>
      <c r="J22" s="68"/>
      <c r="K22" s="68"/>
      <c r="L22" s="68"/>
      <c r="M22" s="112">
        <f t="shared" si="0"/>
        <v>3</v>
      </c>
    </row>
    <row r="23" spans="1:13">
      <c r="A23" s="112">
        <v>21</v>
      </c>
      <c r="B23" s="68" t="s">
        <v>109</v>
      </c>
      <c r="C23" s="68">
        <v>26000</v>
      </c>
      <c r="D23" s="68">
        <v>1</v>
      </c>
      <c r="E23" s="68">
        <v>1</v>
      </c>
      <c r="F23" s="68">
        <v>0</v>
      </c>
      <c r="G23" s="68"/>
      <c r="H23" s="68"/>
      <c r="I23" s="68"/>
      <c r="J23" s="68"/>
      <c r="K23" s="68"/>
      <c r="L23" s="68"/>
      <c r="M23" s="112">
        <f t="shared" si="0"/>
        <v>3</v>
      </c>
    </row>
    <row r="24" spans="1:13">
      <c r="A24" s="112">
        <v>22</v>
      </c>
      <c r="B24" s="68" t="s">
        <v>179</v>
      </c>
      <c r="C24" s="68">
        <v>26000</v>
      </c>
      <c r="D24" s="68"/>
      <c r="E24" s="68"/>
      <c r="F24" s="68"/>
      <c r="G24" s="68"/>
      <c r="H24" s="68"/>
      <c r="I24" s="68"/>
      <c r="J24" s="68"/>
      <c r="K24" s="68"/>
      <c r="L24" s="68"/>
      <c r="M24" s="112"/>
    </row>
    <row r="25" spans="1:13">
      <c r="A25" s="112">
        <v>23</v>
      </c>
      <c r="B25" s="68" t="s">
        <v>178</v>
      </c>
      <c r="C25" s="68">
        <v>0</v>
      </c>
      <c r="D25" s="68"/>
      <c r="E25" s="68"/>
      <c r="F25" s="68"/>
      <c r="G25" s="68"/>
      <c r="H25" s="68"/>
      <c r="I25" s="68"/>
      <c r="J25" s="68"/>
      <c r="K25" s="68"/>
      <c r="L25" s="68"/>
      <c r="M25" s="112"/>
    </row>
    <row r="26" spans="1:13">
      <c r="A26" s="112">
        <v>24</v>
      </c>
      <c r="B26" s="68" t="s">
        <v>110</v>
      </c>
      <c r="C26" s="68">
        <v>22500</v>
      </c>
      <c r="D26" s="68">
        <v>0</v>
      </c>
      <c r="E26" s="68">
        <v>0</v>
      </c>
      <c r="F26" s="68">
        <v>0</v>
      </c>
      <c r="G26" s="68">
        <v>0</v>
      </c>
      <c r="H26" s="68"/>
      <c r="I26" s="68"/>
      <c r="J26" s="68"/>
      <c r="K26" s="68"/>
      <c r="L26" s="68"/>
      <c r="M26" s="112">
        <f t="shared" si="0"/>
        <v>4</v>
      </c>
    </row>
    <row r="27" spans="1:13">
      <c r="A27" s="112">
        <v>25</v>
      </c>
      <c r="B27" s="68" t="s">
        <v>111</v>
      </c>
      <c r="C27" s="68">
        <v>38000</v>
      </c>
      <c r="D27" s="68">
        <v>0</v>
      </c>
      <c r="E27" s="68">
        <v>0</v>
      </c>
      <c r="F27" s="68">
        <v>0</v>
      </c>
      <c r="G27" s="68">
        <v>0</v>
      </c>
      <c r="H27" s="68"/>
      <c r="I27" s="68"/>
      <c r="J27" s="68"/>
      <c r="K27" s="68"/>
      <c r="L27" s="68"/>
      <c r="M27" s="112">
        <f t="shared" si="0"/>
        <v>4</v>
      </c>
    </row>
    <row r="28" spans="1:13">
      <c r="A28" s="112">
        <v>26</v>
      </c>
      <c r="B28" s="68" t="s">
        <v>112</v>
      </c>
      <c r="C28" s="68">
        <v>7000</v>
      </c>
      <c r="D28" s="68">
        <v>0</v>
      </c>
      <c r="E28" s="68">
        <v>0</v>
      </c>
      <c r="F28" s="68">
        <v>0</v>
      </c>
      <c r="G28" s="68">
        <v>0</v>
      </c>
      <c r="H28" s="68"/>
      <c r="I28" s="68"/>
      <c r="J28" s="68"/>
      <c r="K28" s="68"/>
      <c r="L28" s="68"/>
      <c r="M28" s="112">
        <f t="shared" si="0"/>
        <v>4</v>
      </c>
    </row>
    <row r="29" spans="1:13">
      <c r="A29" s="112">
        <v>27</v>
      </c>
      <c r="B29" s="68" t="s">
        <v>113</v>
      </c>
      <c r="C29" s="68">
        <v>22500</v>
      </c>
      <c r="D29" s="68">
        <v>0</v>
      </c>
      <c r="E29" s="68">
        <v>0</v>
      </c>
      <c r="F29" s="68">
        <v>1</v>
      </c>
      <c r="G29" s="68">
        <v>1</v>
      </c>
      <c r="H29" s="68"/>
      <c r="I29" s="68"/>
      <c r="J29" s="68"/>
      <c r="K29" s="68"/>
      <c r="L29" s="68"/>
      <c r="M29" s="112">
        <f t="shared" si="0"/>
        <v>4</v>
      </c>
    </row>
    <row r="30" spans="1:13">
      <c r="A30" s="112">
        <v>28</v>
      </c>
      <c r="B30" s="68" t="s">
        <v>114</v>
      </c>
      <c r="C30" s="68">
        <v>38000</v>
      </c>
      <c r="D30" s="68">
        <v>0</v>
      </c>
      <c r="E30" s="68">
        <v>0</v>
      </c>
      <c r="F30" s="68">
        <v>1</v>
      </c>
      <c r="G30" s="68">
        <v>1</v>
      </c>
      <c r="H30" s="68"/>
      <c r="I30" s="68"/>
      <c r="J30" s="68"/>
      <c r="K30" s="68"/>
      <c r="L30" s="68"/>
      <c r="M30" s="112">
        <f t="shared" si="0"/>
        <v>4</v>
      </c>
    </row>
    <row r="31" spans="1:13">
      <c r="A31" s="112">
        <v>29</v>
      </c>
      <c r="B31" s="68" t="s">
        <v>115</v>
      </c>
      <c r="C31" s="68">
        <v>38000</v>
      </c>
      <c r="D31" s="68">
        <v>0</v>
      </c>
      <c r="E31" s="68">
        <v>0</v>
      </c>
      <c r="F31" s="68">
        <v>1</v>
      </c>
      <c r="G31" s="68">
        <v>1</v>
      </c>
      <c r="H31" s="68"/>
      <c r="I31" s="68"/>
      <c r="J31" s="68"/>
      <c r="K31" s="68"/>
      <c r="L31" s="68"/>
      <c r="M31" s="112">
        <f t="shared" si="0"/>
        <v>4</v>
      </c>
    </row>
    <row r="32" spans="1:13">
      <c r="A32" s="112">
        <v>30</v>
      </c>
      <c r="B32" s="68" t="s">
        <v>116</v>
      </c>
      <c r="C32" s="68">
        <v>7000</v>
      </c>
      <c r="D32" s="68">
        <v>0</v>
      </c>
      <c r="E32" s="68">
        <v>0</v>
      </c>
      <c r="F32" s="68">
        <v>1</v>
      </c>
      <c r="G32" s="68">
        <v>1</v>
      </c>
      <c r="H32" s="68"/>
      <c r="I32" s="68"/>
      <c r="J32" s="68"/>
      <c r="K32" s="68"/>
      <c r="L32" s="68"/>
      <c r="M32" s="112">
        <f t="shared" si="0"/>
        <v>4</v>
      </c>
    </row>
    <row r="33" spans="1:13">
      <c r="A33" s="112">
        <v>31</v>
      </c>
      <c r="B33" s="68" t="s">
        <v>117</v>
      </c>
      <c r="C33" s="68">
        <v>29500</v>
      </c>
      <c r="D33" s="68">
        <v>0</v>
      </c>
      <c r="E33" s="68">
        <v>1</v>
      </c>
      <c r="F33" s="68">
        <v>1</v>
      </c>
      <c r="G33" s="68">
        <v>0</v>
      </c>
      <c r="H33" s="68"/>
      <c r="I33" s="68"/>
      <c r="J33" s="68"/>
      <c r="K33" s="68"/>
      <c r="L33" s="68"/>
      <c r="M33" s="112">
        <f t="shared" si="0"/>
        <v>4</v>
      </c>
    </row>
    <row r="34" spans="1:13">
      <c r="A34" s="112">
        <v>32</v>
      </c>
      <c r="B34" s="68" t="s">
        <v>118</v>
      </c>
      <c r="C34" s="68">
        <v>38000</v>
      </c>
      <c r="D34" s="68">
        <v>0</v>
      </c>
      <c r="E34" s="68">
        <v>1</v>
      </c>
      <c r="F34" s="68">
        <v>1</v>
      </c>
      <c r="G34" s="68">
        <v>0</v>
      </c>
      <c r="H34" s="68"/>
      <c r="I34" s="68"/>
      <c r="J34" s="68"/>
      <c r="K34" s="68"/>
      <c r="L34" s="68"/>
      <c r="M34" s="112">
        <f t="shared" si="0"/>
        <v>4</v>
      </c>
    </row>
    <row r="35" spans="1:13">
      <c r="A35" s="112">
        <v>33</v>
      </c>
      <c r="B35" s="68" t="s">
        <v>119</v>
      </c>
      <c r="C35" s="68">
        <v>38000</v>
      </c>
      <c r="D35" s="68">
        <v>0</v>
      </c>
      <c r="E35" s="68">
        <v>1</v>
      </c>
      <c r="F35" s="68">
        <v>1</v>
      </c>
      <c r="G35" s="68">
        <v>0</v>
      </c>
      <c r="H35" s="68"/>
      <c r="I35" s="68"/>
      <c r="J35" s="68"/>
      <c r="K35" s="68"/>
      <c r="L35" s="68"/>
      <c r="M35" s="112">
        <f t="shared" si="0"/>
        <v>4</v>
      </c>
    </row>
    <row r="36" spans="1:13">
      <c r="A36" s="112">
        <v>34</v>
      </c>
      <c r="B36" s="68" t="s">
        <v>120</v>
      </c>
      <c r="C36" s="68">
        <v>32000</v>
      </c>
      <c r="D36" s="68">
        <v>0</v>
      </c>
      <c r="E36" s="68">
        <v>1</v>
      </c>
      <c r="F36" s="68">
        <v>1</v>
      </c>
      <c r="G36" s="68">
        <v>1</v>
      </c>
      <c r="H36" s="68"/>
      <c r="I36" s="68"/>
      <c r="J36" s="68"/>
      <c r="K36" s="68"/>
      <c r="L36" s="68"/>
      <c r="M36" s="112">
        <f t="shared" si="0"/>
        <v>4</v>
      </c>
    </row>
    <row r="37" spans="1:13">
      <c r="A37" s="112">
        <v>35</v>
      </c>
      <c r="B37" s="68" t="s">
        <v>121</v>
      </c>
      <c r="C37" s="68">
        <v>38000</v>
      </c>
      <c r="D37" s="68">
        <v>1</v>
      </c>
      <c r="E37" s="68">
        <v>1</v>
      </c>
      <c r="F37" s="68">
        <v>0</v>
      </c>
      <c r="G37" s="68">
        <v>0</v>
      </c>
      <c r="H37" s="68"/>
      <c r="I37" s="68"/>
      <c r="J37" s="68"/>
      <c r="K37" s="68"/>
      <c r="L37" s="68"/>
      <c r="M37" s="112">
        <f t="shared" si="0"/>
        <v>4</v>
      </c>
    </row>
    <row r="38" spans="1:13">
      <c r="A38" s="112">
        <v>36</v>
      </c>
      <c r="B38" s="68" t="s">
        <v>122</v>
      </c>
      <c r="C38" s="68">
        <v>32000</v>
      </c>
      <c r="D38" s="68">
        <v>1</v>
      </c>
      <c r="E38" s="68">
        <v>1</v>
      </c>
      <c r="F38" s="68">
        <v>2</v>
      </c>
      <c r="G38" s="68">
        <v>2</v>
      </c>
      <c r="H38" s="68"/>
      <c r="I38" s="68"/>
      <c r="J38" s="68"/>
      <c r="K38" s="68"/>
      <c r="L38" s="68"/>
      <c r="M38" s="112">
        <f t="shared" si="0"/>
        <v>4</v>
      </c>
    </row>
    <row r="39" spans="1:13">
      <c r="A39" s="112">
        <v>37</v>
      </c>
      <c r="B39" s="68" t="s">
        <v>123</v>
      </c>
      <c r="C39" s="68">
        <v>32000</v>
      </c>
      <c r="D39" s="68">
        <v>1</v>
      </c>
      <c r="E39" s="68">
        <v>1</v>
      </c>
      <c r="F39" s="68">
        <v>2</v>
      </c>
      <c r="G39" s="68">
        <v>2</v>
      </c>
      <c r="H39" s="68"/>
      <c r="I39" s="68"/>
      <c r="J39" s="68"/>
      <c r="K39" s="68"/>
      <c r="L39" s="68"/>
      <c r="M39" s="112">
        <f t="shared" si="0"/>
        <v>4</v>
      </c>
    </row>
    <row r="40" spans="1:13">
      <c r="A40" s="112">
        <v>38</v>
      </c>
      <c r="B40" s="68" t="s">
        <v>177</v>
      </c>
      <c r="C40" s="68">
        <v>38000</v>
      </c>
      <c r="D40" s="68"/>
      <c r="E40" s="68"/>
      <c r="F40" s="68"/>
      <c r="G40" s="68"/>
      <c r="H40" s="68"/>
      <c r="I40" s="68"/>
      <c r="J40" s="68"/>
      <c r="K40" s="68"/>
      <c r="L40" s="68"/>
      <c r="M40" s="112"/>
    </row>
    <row r="41" spans="1:13">
      <c r="A41" s="112">
        <v>39</v>
      </c>
      <c r="B41" s="68" t="s">
        <v>176</v>
      </c>
      <c r="C41" s="68">
        <v>0</v>
      </c>
      <c r="D41" s="68"/>
      <c r="E41" s="68"/>
      <c r="F41" s="68"/>
      <c r="G41" s="68"/>
      <c r="H41" s="68"/>
      <c r="I41" s="68"/>
      <c r="J41" s="68"/>
      <c r="K41" s="68"/>
      <c r="L41" s="68"/>
      <c r="M41" s="112"/>
    </row>
    <row r="42" spans="1:13">
      <c r="A42" s="112">
        <v>40</v>
      </c>
      <c r="B42" s="68" t="s">
        <v>124</v>
      </c>
      <c r="C42" s="68">
        <v>40000</v>
      </c>
      <c r="D42" s="68">
        <v>0</v>
      </c>
      <c r="E42" s="68">
        <v>0</v>
      </c>
      <c r="F42" s="68">
        <v>0</v>
      </c>
      <c r="G42" s="68">
        <v>1</v>
      </c>
      <c r="H42" s="68">
        <v>1</v>
      </c>
      <c r="I42" s="68"/>
      <c r="J42" s="68"/>
      <c r="K42" s="68"/>
      <c r="L42" s="68"/>
      <c r="M42" s="112">
        <f t="shared" si="0"/>
        <v>5</v>
      </c>
    </row>
    <row r="43" spans="1:13">
      <c r="A43" s="112">
        <v>41</v>
      </c>
      <c r="B43" s="68" t="s">
        <v>94</v>
      </c>
      <c r="C43" s="68">
        <v>40000</v>
      </c>
      <c r="D43" s="68">
        <v>0</v>
      </c>
      <c r="E43" s="68">
        <v>0</v>
      </c>
      <c r="F43" s="68">
        <v>1</v>
      </c>
      <c r="G43" s="68">
        <v>1</v>
      </c>
      <c r="H43" s="68">
        <v>1</v>
      </c>
      <c r="I43" s="68"/>
      <c r="J43" s="68"/>
      <c r="K43" s="68"/>
      <c r="L43" s="68"/>
      <c r="M43" s="112">
        <f t="shared" si="0"/>
        <v>5</v>
      </c>
    </row>
    <row r="44" spans="1:13">
      <c r="A44" s="112">
        <v>42</v>
      </c>
      <c r="B44" s="68" t="s">
        <v>125</v>
      </c>
      <c r="C44" s="68">
        <v>40000</v>
      </c>
      <c r="D44" s="68">
        <v>0</v>
      </c>
      <c r="E44" s="68">
        <v>0</v>
      </c>
      <c r="F44" s="68">
        <v>1</v>
      </c>
      <c r="G44" s="68">
        <v>1</v>
      </c>
      <c r="H44" s="68">
        <v>1</v>
      </c>
      <c r="I44" s="68"/>
      <c r="J44" s="68"/>
      <c r="K44" s="68"/>
      <c r="L44" s="68"/>
      <c r="M44" s="112">
        <f t="shared" si="0"/>
        <v>5</v>
      </c>
    </row>
    <row r="45" spans="1:13">
      <c r="A45" s="112">
        <v>43</v>
      </c>
      <c r="B45" s="68" t="s">
        <v>126</v>
      </c>
      <c r="C45" s="68">
        <v>29500</v>
      </c>
      <c r="D45" s="68">
        <v>0</v>
      </c>
      <c r="E45" s="68">
        <v>1</v>
      </c>
      <c r="F45" s="68">
        <v>1</v>
      </c>
      <c r="G45" s="68">
        <v>0</v>
      </c>
      <c r="H45" s="68">
        <v>0</v>
      </c>
      <c r="I45" s="68"/>
      <c r="J45" s="68"/>
      <c r="K45" s="68"/>
      <c r="L45" s="68"/>
      <c r="M45" s="112">
        <f t="shared" si="0"/>
        <v>5</v>
      </c>
    </row>
    <row r="46" spans="1:13">
      <c r="A46" s="112">
        <v>44</v>
      </c>
      <c r="B46" s="68" t="s">
        <v>127</v>
      </c>
      <c r="C46" s="68">
        <v>40000</v>
      </c>
      <c r="D46" s="68">
        <v>0</v>
      </c>
      <c r="E46" s="68">
        <v>1</v>
      </c>
      <c r="F46" s="68">
        <v>1</v>
      </c>
      <c r="G46" s="68">
        <v>0</v>
      </c>
      <c r="H46" s="68">
        <v>0</v>
      </c>
      <c r="I46" s="68"/>
      <c r="J46" s="68"/>
      <c r="K46" s="68"/>
      <c r="L46" s="68"/>
      <c r="M46" s="112">
        <f t="shared" si="0"/>
        <v>5</v>
      </c>
    </row>
    <row r="47" spans="1:13">
      <c r="A47" s="112">
        <v>45</v>
      </c>
      <c r="B47" s="68" t="s">
        <v>128</v>
      </c>
      <c r="C47" s="68">
        <v>29500</v>
      </c>
      <c r="D47" s="68">
        <v>0</v>
      </c>
      <c r="E47" s="68">
        <v>1</v>
      </c>
      <c r="F47" s="68">
        <v>1</v>
      </c>
      <c r="G47" s="68">
        <v>2</v>
      </c>
      <c r="H47" s="68">
        <v>2</v>
      </c>
      <c r="I47" s="68"/>
      <c r="J47" s="68"/>
      <c r="K47" s="68"/>
      <c r="L47" s="68"/>
      <c r="M47" s="112">
        <f t="shared" si="0"/>
        <v>5</v>
      </c>
    </row>
    <row r="48" spans="1:13">
      <c r="A48" s="112">
        <v>46</v>
      </c>
      <c r="B48" s="68" t="s">
        <v>129</v>
      </c>
      <c r="C48" s="68">
        <v>40000</v>
      </c>
      <c r="D48" s="68">
        <v>0</v>
      </c>
      <c r="E48" s="68">
        <v>1</v>
      </c>
      <c r="F48" s="68">
        <v>1</v>
      </c>
      <c r="G48" s="68">
        <v>2</v>
      </c>
      <c r="H48" s="68">
        <v>2</v>
      </c>
      <c r="I48" s="68"/>
      <c r="J48" s="68"/>
      <c r="K48" s="68"/>
      <c r="L48" s="68"/>
      <c r="M48" s="112">
        <f t="shared" si="0"/>
        <v>5</v>
      </c>
    </row>
    <row r="49" spans="1:13">
      <c r="A49" s="112">
        <v>47</v>
      </c>
      <c r="B49" s="68" t="s">
        <v>130</v>
      </c>
      <c r="C49" s="68">
        <v>40000</v>
      </c>
      <c r="D49" s="68">
        <v>0</v>
      </c>
      <c r="E49" s="68">
        <v>1</v>
      </c>
      <c r="F49" s="68">
        <v>1</v>
      </c>
      <c r="G49" s="68">
        <v>2</v>
      </c>
      <c r="H49" s="68">
        <v>2</v>
      </c>
      <c r="I49" s="68"/>
      <c r="J49" s="68"/>
      <c r="K49" s="68"/>
      <c r="L49" s="68"/>
      <c r="M49" s="112">
        <f t="shared" si="0"/>
        <v>5</v>
      </c>
    </row>
    <row r="50" spans="1:13">
      <c r="A50" s="112">
        <v>48</v>
      </c>
      <c r="B50" s="68" t="s">
        <v>131</v>
      </c>
      <c r="C50" s="68">
        <v>22500</v>
      </c>
      <c r="D50" s="68">
        <v>0</v>
      </c>
      <c r="E50" s="68">
        <v>0</v>
      </c>
      <c r="F50" s="68">
        <v>0</v>
      </c>
      <c r="G50" s="68">
        <v>1</v>
      </c>
      <c r="H50" s="68">
        <v>1</v>
      </c>
      <c r="I50" s="68"/>
      <c r="J50" s="68"/>
      <c r="K50" s="68"/>
      <c r="L50" s="68"/>
      <c r="M50" s="112">
        <f t="shared" si="0"/>
        <v>5</v>
      </c>
    </row>
    <row r="51" spans="1:13">
      <c r="A51" s="112">
        <v>49</v>
      </c>
      <c r="B51" s="68" t="s">
        <v>132</v>
      </c>
      <c r="C51" s="68">
        <v>22500</v>
      </c>
      <c r="D51" s="68">
        <v>0</v>
      </c>
      <c r="E51" s="68">
        <v>0</v>
      </c>
      <c r="F51" s="68">
        <v>1</v>
      </c>
      <c r="G51" s="68">
        <v>1</v>
      </c>
      <c r="H51" s="68">
        <v>1</v>
      </c>
      <c r="I51" s="68"/>
      <c r="J51" s="68"/>
      <c r="K51" s="68"/>
      <c r="L51" s="68"/>
      <c r="M51" s="112">
        <f t="shared" si="0"/>
        <v>5</v>
      </c>
    </row>
    <row r="52" spans="1:13">
      <c r="A52" s="112">
        <v>50</v>
      </c>
      <c r="B52" s="68" t="s">
        <v>133</v>
      </c>
      <c r="C52" s="68">
        <v>38000</v>
      </c>
      <c r="D52" s="68">
        <v>1</v>
      </c>
      <c r="E52" s="68">
        <v>1</v>
      </c>
      <c r="F52" s="68">
        <v>0</v>
      </c>
      <c r="G52" s="68">
        <v>0</v>
      </c>
      <c r="H52" s="68">
        <v>0</v>
      </c>
      <c r="I52" s="68"/>
      <c r="J52" s="68"/>
      <c r="K52" s="68"/>
      <c r="L52" s="68"/>
      <c r="M52" s="112">
        <f t="shared" si="0"/>
        <v>5</v>
      </c>
    </row>
    <row r="53" spans="1:13">
      <c r="A53" s="112">
        <v>51</v>
      </c>
      <c r="B53" s="68" t="s">
        <v>134</v>
      </c>
      <c r="C53" s="68">
        <v>38000</v>
      </c>
      <c r="D53" s="68">
        <v>1</v>
      </c>
      <c r="E53" s="68">
        <v>1</v>
      </c>
      <c r="F53" s="68">
        <v>0</v>
      </c>
      <c r="G53" s="68">
        <v>2</v>
      </c>
      <c r="H53" s="68">
        <v>2</v>
      </c>
      <c r="I53" s="68"/>
      <c r="J53" s="68"/>
      <c r="K53" s="68"/>
      <c r="L53" s="68"/>
      <c r="M53" s="112">
        <f t="shared" si="0"/>
        <v>5</v>
      </c>
    </row>
    <row r="54" spans="1:13">
      <c r="A54" s="112">
        <v>52</v>
      </c>
      <c r="B54" s="68" t="s">
        <v>135</v>
      </c>
      <c r="C54" s="68">
        <v>35500</v>
      </c>
      <c r="D54" s="68">
        <v>1</v>
      </c>
      <c r="E54" s="68">
        <v>1</v>
      </c>
      <c r="F54" s="68">
        <v>2</v>
      </c>
      <c r="G54" s="68">
        <v>2</v>
      </c>
      <c r="H54" s="68">
        <v>0</v>
      </c>
      <c r="I54" s="68"/>
      <c r="J54" s="68"/>
      <c r="K54" s="68"/>
      <c r="L54" s="68"/>
      <c r="M54" s="112">
        <f t="shared" si="0"/>
        <v>5</v>
      </c>
    </row>
    <row r="55" spans="1:13">
      <c r="A55" s="112">
        <v>53</v>
      </c>
      <c r="B55" s="68" t="s">
        <v>136</v>
      </c>
      <c r="C55" s="68">
        <v>32000</v>
      </c>
      <c r="D55" s="68">
        <v>1</v>
      </c>
      <c r="E55" s="68">
        <v>1</v>
      </c>
      <c r="F55" s="68">
        <v>2</v>
      </c>
      <c r="G55" s="68">
        <v>2</v>
      </c>
      <c r="H55" s="68">
        <v>2</v>
      </c>
      <c r="I55" s="68"/>
      <c r="J55" s="68"/>
      <c r="K55" s="68"/>
      <c r="L55" s="68"/>
      <c r="M55" s="112">
        <f t="shared" si="0"/>
        <v>5</v>
      </c>
    </row>
    <row r="56" spans="1:13">
      <c r="A56" s="112">
        <v>54</v>
      </c>
      <c r="B56" s="68" t="s">
        <v>175</v>
      </c>
      <c r="C56" s="68">
        <v>40000</v>
      </c>
      <c r="D56" s="68"/>
      <c r="E56" s="68"/>
      <c r="F56" s="68"/>
      <c r="G56" s="68"/>
      <c r="H56" s="68"/>
      <c r="I56" s="68"/>
      <c r="J56" s="68"/>
      <c r="K56" s="68"/>
      <c r="L56" s="68"/>
      <c r="M56" s="112"/>
    </row>
    <row r="57" spans="1:13">
      <c r="A57" s="112">
        <v>55</v>
      </c>
      <c r="B57" s="68" t="s">
        <v>174</v>
      </c>
      <c r="C57" s="68">
        <v>0</v>
      </c>
      <c r="D57" s="68"/>
      <c r="E57" s="68"/>
      <c r="F57" s="68"/>
      <c r="G57" s="68"/>
      <c r="H57" s="68"/>
      <c r="I57" s="68"/>
      <c r="J57" s="68"/>
      <c r="K57" s="68"/>
      <c r="L57" s="68"/>
      <c r="M57" s="112"/>
    </row>
    <row r="58" spans="1:13">
      <c r="A58" s="112">
        <v>56</v>
      </c>
      <c r="B58" s="68" t="s">
        <v>137</v>
      </c>
      <c r="C58" s="68">
        <v>40000</v>
      </c>
      <c r="D58" s="68">
        <v>0</v>
      </c>
      <c r="E58" s="68">
        <v>0</v>
      </c>
      <c r="F58" s="68">
        <v>1</v>
      </c>
      <c r="G58" s="68">
        <v>1</v>
      </c>
      <c r="H58" s="68">
        <v>1</v>
      </c>
      <c r="I58" s="68">
        <v>1</v>
      </c>
      <c r="J58" s="68"/>
      <c r="K58" s="68"/>
      <c r="L58" s="68"/>
      <c r="M58" s="112">
        <f t="shared" si="0"/>
        <v>6</v>
      </c>
    </row>
    <row r="59" spans="1:13">
      <c r="A59" s="112">
        <v>57</v>
      </c>
      <c r="B59" s="68" t="s">
        <v>138</v>
      </c>
      <c r="C59" s="68">
        <v>40000</v>
      </c>
      <c r="D59" s="68">
        <v>0</v>
      </c>
      <c r="E59" s="68">
        <v>0</v>
      </c>
      <c r="F59" s="68">
        <v>1</v>
      </c>
      <c r="G59" s="68">
        <v>1</v>
      </c>
      <c r="H59" s="68">
        <v>2</v>
      </c>
      <c r="I59" s="68">
        <v>2</v>
      </c>
      <c r="J59" s="68"/>
      <c r="K59" s="68"/>
      <c r="L59" s="68"/>
      <c r="M59" s="112">
        <f t="shared" si="0"/>
        <v>6</v>
      </c>
    </row>
    <row r="60" spans="1:13">
      <c r="A60" s="112">
        <v>58</v>
      </c>
      <c r="B60" s="68" t="s">
        <v>148</v>
      </c>
      <c r="C60" s="68">
        <v>40000</v>
      </c>
      <c r="D60" s="68">
        <v>0</v>
      </c>
      <c r="E60" s="68">
        <v>0</v>
      </c>
      <c r="F60" s="68">
        <v>1</v>
      </c>
      <c r="G60" s="68">
        <v>1</v>
      </c>
      <c r="H60" s="68">
        <v>2</v>
      </c>
      <c r="I60" s="68">
        <v>2</v>
      </c>
      <c r="J60" s="68"/>
      <c r="K60" s="68"/>
      <c r="L60" s="68"/>
      <c r="M60" s="112">
        <f t="shared" si="0"/>
        <v>6</v>
      </c>
    </row>
    <row r="61" spans="1:13">
      <c r="A61" s="112">
        <v>59</v>
      </c>
      <c r="B61" s="68" t="s">
        <v>139</v>
      </c>
      <c r="C61" s="68">
        <v>40000</v>
      </c>
      <c r="D61" s="68">
        <v>0</v>
      </c>
      <c r="E61" s="68">
        <v>1</v>
      </c>
      <c r="F61" s="68">
        <v>1</v>
      </c>
      <c r="G61" s="68">
        <v>0</v>
      </c>
      <c r="H61" s="68">
        <v>2</v>
      </c>
      <c r="I61" s="68">
        <v>2</v>
      </c>
      <c r="J61" s="68"/>
      <c r="K61" s="68"/>
      <c r="L61" s="68"/>
      <c r="M61" s="112">
        <f t="shared" si="0"/>
        <v>6</v>
      </c>
    </row>
    <row r="62" spans="1:13">
      <c r="A62" s="112">
        <v>60</v>
      </c>
      <c r="B62" s="68" t="s">
        <v>140</v>
      </c>
      <c r="C62" s="68">
        <v>40000</v>
      </c>
      <c r="D62" s="68">
        <v>0</v>
      </c>
      <c r="E62" s="68">
        <v>1</v>
      </c>
      <c r="F62" s="68">
        <v>1</v>
      </c>
      <c r="G62" s="68">
        <v>2</v>
      </c>
      <c r="H62" s="68">
        <v>2</v>
      </c>
      <c r="I62" s="68">
        <v>2</v>
      </c>
      <c r="J62" s="68"/>
      <c r="K62" s="68"/>
      <c r="L62" s="68"/>
      <c r="M62" s="112">
        <f t="shared" si="0"/>
        <v>6</v>
      </c>
    </row>
    <row r="63" spans="1:13">
      <c r="A63" s="112">
        <v>61</v>
      </c>
      <c r="B63" s="68" t="s">
        <v>141</v>
      </c>
      <c r="C63" s="68">
        <v>40000</v>
      </c>
      <c r="D63" s="68">
        <v>0</v>
      </c>
      <c r="E63" s="68">
        <v>1</v>
      </c>
      <c r="F63" s="68">
        <v>1</v>
      </c>
      <c r="G63" s="68">
        <v>2</v>
      </c>
      <c r="H63" s="68">
        <v>2</v>
      </c>
      <c r="I63" s="68">
        <v>2</v>
      </c>
      <c r="J63" s="68"/>
      <c r="K63" s="68"/>
      <c r="L63" s="68"/>
      <c r="M63" s="112">
        <f t="shared" si="0"/>
        <v>6</v>
      </c>
    </row>
    <row r="64" spans="1:13">
      <c r="A64" s="112">
        <v>62</v>
      </c>
      <c r="B64" s="68" t="s">
        <v>142</v>
      </c>
      <c r="C64" s="68">
        <v>29500</v>
      </c>
      <c r="D64" s="68">
        <v>0</v>
      </c>
      <c r="E64" s="68">
        <v>1</v>
      </c>
      <c r="F64" s="68">
        <v>1</v>
      </c>
      <c r="G64" s="68">
        <v>0</v>
      </c>
      <c r="H64" s="68">
        <v>2</v>
      </c>
      <c r="I64" s="68">
        <v>2</v>
      </c>
      <c r="J64" s="68"/>
      <c r="K64" s="68"/>
      <c r="L64" s="68"/>
      <c r="M64" s="112">
        <f t="shared" si="0"/>
        <v>6</v>
      </c>
    </row>
    <row r="65" spans="1:13">
      <c r="A65" s="112">
        <v>63</v>
      </c>
      <c r="B65" s="68" t="s">
        <v>143</v>
      </c>
      <c r="C65" s="68">
        <v>29500</v>
      </c>
      <c r="D65" s="68">
        <v>0</v>
      </c>
      <c r="E65" s="68">
        <v>1</v>
      </c>
      <c r="F65" s="68">
        <v>1</v>
      </c>
      <c r="G65" s="68">
        <v>2</v>
      </c>
      <c r="H65" s="68">
        <v>2</v>
      </c>
      <c r="I65" s="68">
        <v>2</v>
      </c>
      <c r="J65" s="68"/>
      <c r="K65" s="68"/>
      <c r="L65" s="68"/>
      <c r="M65" s="112">
        <f t="shared" si="0"/>
        <v>6</v>
      </c>
    </row>
    <row r="66" spans="1:13">
      <c r="A66" s="112">
        <v>64</v>
      </c>
      <c r="B66" s="68" t="s">
        <v>144</v>
      </c>
      <c r="C66" s="68">
        <v>40000</v>
      </c>
      <c r="D66" s="68">
        <v>1</v>
      </c>
      <c r="E66" s="68">
        <v>1</v>
      </c>
      <c r="F66" s="68">
        <v>0</v>
      </c>
      <c r="G66" s="68">
        <v>0</v>
      </c>
      <c r="H66" s="68">
        <v>2</v>
      </c>
      <c r="I66" s="68">
        <v>2</v>
      </c>
      <c r="J66" s="68"/>
      <c r="K66" s="68"/>
      <c r="L66" s="68"/>
      <c r="M66" s="112">
        <f t="shared" si="0"/>
        <v>6</v>
      </c>
    </row>
    <row r="67" spans="1:13">
      <c r="A67" s="112">
        <v>65</v>
      </c>
      <c r="B67" s="68" t="s">
        <v>145</v>
      </c>
      <c r="C67" s="68">
        <v>40000</v>
      </c>
      <c r="D67" s="68">
        <v>1</v>
      </c>
      <c r="E67" s="68">
        <v>1</v>
      </c>
      <c r="F67" s="68">
        <v>0</v>
      </c>
      <c r="G67" s="68">
        <v>2</v>
      </c>
      <c r="H67" s="68">
        <v>2</v>
      </c>
      <c r="I67" s="68">
        <v>2</v>
      </c>
      <c r="J67" s="68"/>
      <c r="K67" s="68"/>
      <c r="L67" s="68"/>
      <c r="M67" s="112">
        <f t="shared" si="0"/>
        <v>6</v>
      </c>
    </row>
    <row r="68" spans="1:13">
      <c r="A68" s="112">
        <v>66</v>
      </c>
      <c r="B68" s="68" t="s">
        <v>146</v>
      </c>
      <c r="C68" s="68">
        <v>35500</v>
      </c>
      <c r="D68" s="68">
        <v>1</v>
      </c>
      <c r="E68" s="68">
        <v>1</v>
      </c>
      <c r="F68" s="68">
        <v>2</v>
      </c>
      <c r="G68" s="68">
        <v>2</v>
      </c>
      <c r="H68" s="68">
        <v>0</v>
      </c>
      <c r="I68" s="68">
        <v>0</v>
      </c>
      <c r="J68" s="68"/>
      <c r="K68" s="68"/>
      <c r="L68" s="68"/>
      <c r="M68" s="112">
        <f t="shared" ref="M68:M97" si="1">COUNT(D68:L68)</f>
        <v>6</v>
      </c>
    </row>
    <row r="69" spans="1:13">
      <c r="A69" s="112">
        <v>67</v>
      </c>
      <c r="B69" s="68" t="s">
        <v>147</v>
      </c>
      <c r="C69" s="68">
        <v>35500</v>
      </c>
      <c r="D69" s="68">
        <v>1</v>
      </c>
      <c r="E69" s="68">
        <v>1</v>
      </c>
      <c r="F69" s="68">
        <v>2</v>
      </c>
      <c r="G69" s="68">
        <v>2</v>
      </c>
      <c r="H69" s="68">
        <v>3</v>
      </c>
      <c r="I69" s="68">
        <v>3</v>
      </c>
      <c r="J69" s="68"/>
      <c r="K69" s="68"/>
      <c r="L69" s="68"/>
      <c r="M69" s="112">
        <f t="shared" si="1"/>
        <v>6</v>
      </c>
    </row>
    <row r="70" spans="1:13">
      <c r="A70" s="112">
        <v>68</v>
      </c>
      <c r="B70" s="68" t="s">
        <v>173</v>
      </c>
      <c r="C70" s="68">
        <v>40000</v>
      </c>
      <c r="D70" s="68"/>
      <c r="E70" s="68"/>
      <c r="F70" s="68"/>
      <c r="G70" s="68"/>
      <c r="H70" s="68"/>
      <c r="I70" s="68"/>
      <c r="J70" s="68"/>
      <c r="K70" s="68"/>
      <c r="L70" s="68"/>
      <c r="M70" s="112"/>
    </row>
    <row r="71" spans="1:13">
      <c r="A71" s="112">
        <v>69</v>
      </c>
      <c r="B71" s="68" t="s">
        <v>172</v>
      </c>
      <c r="C71" s="68">
        <v>0</v>
      </c>
      <c r="D71" s="68"/>
      <c r="E71" s="68"/>
      <c r="F71" s="68"/>
      <c r="G71" s="68"/>
      <c r="H71" s="68"/>
      <c r="I71" s="68"/>
      <c r="J71" s="68"/>
      <c r="K71" s="68"/>
      <c r="L71" s="68"/>
      <c r="M71" s="112"/>
    </row>
    <row r="72" spans="1:13">
      <c r="A72" s="112">
        <v>70</v>
      </c>
      <c r="B72" s="68" t="s">
        <v>138</v>
      </c>
      <c r="C72" s="68">
        <v>40000</v>
      </c>
      <c r="D72" s="68">
        <v>0</v>
      </c>
      <c r="E72" s="68">
        <v>0</v>
      </c>
      <c r="F72" s="68">
        <v>1</v>
      </c>
      <c r="G72" s="68">
        <v>1</v>
      </c>
      <c r="H72" s="68">
        <v>1</v>
      </c>
      <c r="I72" s="68">
        <v>2</v>
      </c>
      <c r="J72" s="68">
        <v>2</v>
      </c>
      <c r="K72" s="68"/>
      <c r="L72" s="68"/>
      <c r="M72" s="112">
        <f t="shared" si="1"/>
        <v>7</v>
      </c>
    </row>
    <row r="73" spans="1:13">
      <c r="A73" s="112">
        <v>71</v>
      </c>
      <c r="B73" s="68" t="s">
        <v>149</v>
      </c>
      <c r="C73" s="68">
        <v>40000</v>
      </c>
      <c r="D73" s="68">
        <v>0</v>
      </c>
      <c r="E73" s="68">
        <v>0</v>
      </c>
      <c r="F73" s="68">
        <v>1</v>
      </c>
      <c r="G73" s="68">
        <v>1</v>
      </c>
      <c r="H73" s="68">
        <v>1</v>
      </c>
      <c r="I73" s="68">
        <v>2</v>
      </c>
      <c r="J73" s="68">
        <v>2</v>
      </c>
      <c r="K73" s="68"/>
      <c r="L73" s="68"/>
      <c r="M73" s="112">
        <f t="shared" si="1"/>
        <v>7</v>
      </c>
    </row>
    <row r="74" spans="1:13">
      <c r="A74" s="112">
        <v>72</v>
      </c>
      <c r="B74" s="68" t="s">
        <v>150</v>
      </c>
      <c r="C74" s="68">
        <v>40000</v>
      </c>
      <c r="D74" s="68">
        <v>0</v>
      </c>
      <c r="E74" s="68">
        <v>1</v>
      </c>
      <c r="F74" s="68">
        <v>1</v>
      </c>
      <c r="G74" s="68">
        <v>3</v>
      </c>
      <c r="H74" s="68">
        <v>3</v>
      </c>
      <c r="I74" s="68">
        <v>3</v>
      </c>
      <c r="J74" s="68">
        <v>3</v>
      </c>
      <c r="K74" s="68"/>
      <c r="L74" s="68"/>
      <c r="M74" s="112">
        <f t="shared" si="1"/>
        <v>7</v>
      </c>
    </row>
    <row r="75" spans="1:13">
      <c r="A75" s="112">
        <v>73</v>
      </c>
      <c r="B75" s="68" t="s">
        <v>151</v>
      </c>
      <c r="C75" s="68">
        <v>40000</v>
      </c>
      <c r="D75" s="68">
        <v>0</v>
      </c>
      <c r="E75" s="68">
        <v>1</v>
      </c>
      <c r="F75" s="68">
        <v>1</v>
      </c>
      <c r="G75" s="68">
        <v>2</v>
      </c>
      <c r="H75" s="68">
        <v>2</v>
      </c>
      <c r="I75" s="68">
        <v>3</v>
      </c>
      <c r="J75" s="68">
        <v>3</v>
      </c>
      <c r="K75" s="68"/>
      <c r="L75" s="68"/>
      <c r="M75" s="112">
        <f t="shared" si="1"/>
        <v>7</v>
      </c>
    </row>
    <row r="76" spans="1:13">
      <c r="A76" s="112">
        <v>74</v>
      </c>
      <c r="B76" s="68" t="s">
        <v>152</v>
      </c>
      <c r="C76" s="68">
        <v>40000</v>
      </c>
      <c r="D76" s="68">
        <v>0</v>
      </c>
      <c r="E76" s="68">
        <v>1</v>
      </c>
      <c r="F76" s="68">
        <v>1</v>
      </c>
      <c r="G76" s="68">
        <v>2</v>
      </c>
      <c r="H76" s="68">
        <v>2</v>
      </c>
      <c r="I76" s="68">
        <v>3</v>
      </c>
      <c r="J76" s="68">
        <v>3</v>
      </c>
      <c r="K76" s="68"/>
      <c r="L76" s="68"/>
      <c r="M76" s="112">
        <f t="shared" si="1"/>
        <v>7</v>
      </c>
    </row>
    <row r="77" spans="1:13">
      <c r="A77" s="112">
        <v>75</v>
      </c>
      <c r="B77" s="68" t="s">
        <v>153</v>
      </c>
      <c r="C77" s="68">
        <v>40000</v>
      </c>
      <c r="D77" s="68">
        <v>1</v>
      </c>
      <c r="E77" s="68">
        <v>1</v>
      </c>
      <c r="F77" s="68">
        <v>0</v>
      </c>
      <c r="G77" s="68">
        <v>2</v>
      </c>
      <c r="H77" s="68">
        <v>2</v>
      </c>
      <c r="I77" s="68">
        <v>3</v>
      </c>
      <c r="J77" s="68">
        <v>3</v>
      </c>
      <c r="K77" s="68"/>
      <c r="L77" s="68"/>
      <c r="M77" s="112">
        <f t="shared" si="1"/>
        <v>7</v>
      </c>
    </row>
    <row r="78" spans="1:13">
      <c r="A78" s="112">
        <v>76</v>
      </c>
      <c r="B78" s="68" t="s">
        <v>154</v>
      </c>
      <c r="C78" s="68">
        <v>35500</v>
      </c>
      <c r="D78" s="68">
        <v>1</v>
      </c>
      <c r="E78" s="68">
        <v>1</v>
      </c>
      <c r="F78" s="68">
        <v>2</v>
      </c>
      <c r="G78" s="68">
        <v>2</v>
      </c>
      <c r="H78" s="68">
        <v>0</v>
      </c>
      <c r="I78" s="68">
        <v>3</v>
      </c>
      <c r="J78" s="68">
        <v>3</v>
      </c>
      <c r="K78" s="68"/>
      <c r="L78" s="68"/>
      <c r="M78" s="112">
        <f t="shared" si="1"/>
        <v>7</v>
      </c>
    </row>
    <row r="79" spans="1:13">
      <c r="A79" s="112">
        <v>77</v>
      </c>
      <c r="B79" s="68" t="s">
        <v>155</v>
      </c>
      <c r="C79" s="68">
        <v>35500</v>
      </c>
      <c r="D79" s="68">
        <v>1</v>
      </c>
      <c r="E79" s="68">
        <v>1</v>
      </c>
      <c r="F79" s="68">
        <v>2</v>
      </c>
      <c r="G79" s="68">
        <v>2</v>
      </c>
      <c r="H79" s="68">
        <v>3</v>
      </c>
      <c r="I79" s="68">
        <v>3</v>
      </c>
      <c r="J79" s="68">
        <v>3</v>
      </c>
      <c r="K79" s="68"/>
      <c r="L79" s="68"/>
      <c r="M79" s="112">
        <f t="shared" si="1"/>
        <v>7</v>
      </c>
    </row>
    <row r="80" spans="1:13">
      <c r="A80" s="112">
        <v>78</v>
      </c>
      <c r="B80" s="68" t="s">
        <v>171</v>
      </c>
      <c r="C80" s="68">
        <v>40000</v>
      </c>
      <c r="D80" s="68"/>
      <c r="E80" s="68"/>
      <c r="F80" s="68"/>
      <c r="G80" s="68"/>
      <c r="H80" s="68"/>
      <c r="I80" s="68"/>
      <c r="J80" s="68"/>
      <c r="K80" s="68"/>
      <c r="L80" s="68"/>
      <c r="M80" s="112"/>
    </row>
    <row r="81" spans="1:13">
      <c r="A81" s="112">
        <v>79</v>
      </c>
      <c r="B81" s="68" t="s">
        <v>170</v>
      </c>
      <c r="C81" s="68">
        <v>0</v>
      </c>
      <c r="D81" s="68"/>
      <c r="E81" s="68"/>
      <c r="F81" s="68"/>
      <c r="G81" s="68"/>
      <c r="H81" s="68"/>
      <c r="I81" s="68"/>
      <c r="J81" s="68"/>
      <c r="K81" s="68"/>
      <c r="L81" s="68"/>
      <c r="M81" s="112"/>
    </row>
    <row r="82" spans="1:13">
      <c r="A82" s="112">
        <v>80</v>
      </c>
      <c r="B82" s="68" t="s">
        <v>156</v>
      </c>
      <c r="C82" s="68">
        <v>40000</v>
      </c>
      <c r="D82" s="68">
        <v>0</v>
      </c>
      <c r="E82" s="68">
        <v>0</v>
      </c>
      <c r="F82" s="68">
        <v>1</v>
      </c>
      <c r="G82" s="68">
        <v>1</v>
      </c>
      <c r="H82" s="68">
        <v>1</v>
      </c>
      <c r="I82" s="68">
        <v>0</v>
      </c>
      <c r="J82" s="68">
        <v>2</v>
      </c>
      <c r="K82" s="68">
        <v>2</v>
      </c>
      <c r="L82" s="68"/>
      <c r="M82" s="112">
        <f t="shared" si="1"/>
        <v>8</v>
      </c>
    </row>
    <row r="83" spans="1:13">
      <c r="A83" s="112">
        <v>81</v>
      </c>
      <c r="B83" s="68" t="s">
        <v>149</v>
      </c>
      <c r="C83" s="68">
        <v>40000</v>
      </c>
      <c r="D83" s="68">
        <v>0</v>
      </c>
      <c r="E83" s="68">
        <v>0</v>
      </c>
      <c r="F83" s="68">
        <v>1</v>
      </c>
      <c r="G83" s="68">
        <v>1</v>
      </c>
      <c r="H83" s="68">
        <v>1</v>
      </c>
      <c r="I83" s="68">
        <v>2</v>
      </c>
      <c r="J83" s="68">
        <v>2</v>
      </c>
      <c r="K83" s="68">
        <v>2</v>
      </c>
      <c r="L83" s="68"/>
      <c r="M83" s="112">
        <f t="shared" si="1"/>
        <v>8</v>
      </c>
    </row>
    <row r="84" spans="1:13">
      <c r="A84" s="112">
        <v>82</v>
      </c>
      <c r="B84" s="68" t="s">
        <v>151</v>
      </c>
      <c r="C84" s="68">
        <v>40000</v>
      </c>
      <c r="D84" s="68">
        <v>0</v>
      </c>
      <c r="E84" s="68">
        <v>1</v>
      </c>
      <c r="F84" s="68">
        <v>1</v>
      </c>
      <c r="G84" s="68">
        <v>2</v>
      </c>
      <c r="H84" s="68">
        <v>2</v>
      </c>
      <c r="I84" s="68">
        <v>2</v>
      </c>
      <c r="J84" s="68">
        <v>3</v>
      </c>
      <c r="K84" s="68">
        <v>3</v>
      </c>
      <c r="L84" s="68"/>
      <c r="M84" s="112">
        <f t="shared" si="1"/>
        <v>8</v>
      </c>
    </row>
    <row r="85" spans="1:13">
      <c r="A85" s="112">
        <v>83</v>
      </c>
      <c r="B85" s="68" t="s">
        <v>152</v>
      </c>
      <c r="C85" s="68">
        <v>40000</v>
      </c>
      <c r="D85" s="68">
        <v>0</v>
      </c>
      <c r="E85" s="68">
        <v>1</v>
      </c>
      <c r="F85" s="68">
        <v>1</v>
      </c>
      <c r="G85" s="68">
        <v>2</v>
      </c>
      <c r="H85" s="68">
        <v>2</v>
      </c>
      <c r="I85" s="68">
        <v>2</v>
      </c>
      <c r="J85" s="68">
        <v>3</v>
      </c>
      <c r="K85" s="68">
        <v>3</v>
      </c>
      <c r="L85" s="68"/>
      <c r="M85" s="112">
        <f t="shared" si="1"/>
        <v>8</v>
      </c>
    </row>
    <row r="86" spans="1:13">
      <c r="A86" s="112">
        <v>84</v>
      </c>
      <c r="B86" s="68" t="s">
        <v>157</v>
      </c>
      <c r="C86" s="68">
        <v>40000</v>
      </c>
      <c r="D86" s="68">
        <v>0</v>
      </c>
      <c r="E86" s="68">
        <v>1</v>
      </c>
      <c r="F86" s="68">
        <v>1</v>
      </c>
      <c r="G86" s="68">
        <v>1</v>
      </c>
      <c r="H86" s="68">
        <v>0</v>
      </c>
      <c r="I86" s="68">
        <v>2</v>
      </c>
      <c r="J86" s="68">
        <v>2</v>
      </c>
      <c r="K86" s="68">
        <v>2</v>
      </c>
      <c r="L86" s="68"/>
      <c r="M86" s="112">
        <f t="shared" si="1"/>
        <v>8</v>
      </c>
    </row>
    <row r="87" spans="1:13">
      <c r="A87" s="112">
        <v>85</v>
      </c>
      <c r="B87" s="68" t="s">
        <v>158</v>
      </c>
      <c r="C87" s="68">
        <v>40000</v>
      </c>
      <c r="D87" s="68">
        <v>0</v>
      </c>
      <c r="E87" s="68">
        <v>1</v>
      </c>
      <c r="F87" s="68">
        <v>1</v>
      </c>
      <c r="G87" s="68">
        <v>1</v>
      </c>
      <c r="H87" s="68">
        <v>2</v>
      </c>
      <c r="I87" s="68">
        <v>2</v>
      </c>
      <c r="J87" s="68">
        <v>3</v>
      </c>
      <c r="K87" s="68">
        <v>3</v>
      </c>
      <c r="L87" s="68"/>
      <c r="M87" s="112">
        <f t="shared" si="1"/>
        <v>8</v>
      </c>
    </row>
    <row r="88" spans="1:13">
      <c r="A88" s="112">
        <v>86</v>
      </c>
      <c r="B88" s="68" t="s">
        <v>159</v>
      </c>
      <c r="C88" s="68">
        <v>40000</v>
      </c>
      <c r="D88" s="68">
        <v>1</v>
      </c>
      <c r="E88" s="68">
        <v>1</v>
      </c>
      <c r="F88" s="68">
        <v>0</v>
      </c>
      <c r="G88" s="68">
        <v>2</v>
      </c>
      <c r="H88" s="68">
        <v>2</v>
      </c>
      <c r="I88" s="68">
        <v>2</v>
      </c>
      <c r="J88" s="68">
        <v>3</v>
      </c>
      <c r="K88" s="68">
        <v>3</v>
      </c>
      <c r="L88" s="68"/>
      <c r="M88" s="112">
        <f t="shared" si="1"/>
        <v>8</v>
      </c>
    </row>
    <row r="89" spans="1:13">
      <c r="A89" s="112">
        <v>87</v>
      </c>
      <c r="B89" s="68" t="s">
        <v>164</v>
      </c>
      <c r="C89" s="68">
        <v>40000</v>
      </c>
      <c r="D89" s="68">
        <v>1</v>
      </c>
      <c r="E89" s="68">
        <v>1</v>
      </c>
      <c r="F89" s="68">
        <v>2</v>
      </c>
      <c r="G89" s="68">
        <v>2</v>
      </c>
      <c r="H89" s="68">
        <v>0</v>
      </c>
      <c r="I89" s="68">
        <v>3</v>
      </c>
      <c r="J89" s="68">
        <v>3</v>
      </c>
      <c r="K89" s="68">
        <v>3</v>
      </c>
      <c r="L89" s="68"/>
      <c r="M89" s="112">
        <f t="shared" si="1"/>
        <v>8</v>
      </c>
    </row>
    <row r="90" spans="1:13">
      <c r="A90" s="112">
        <v>88</v>
      </c>
      <c r="B90" s="68" t="s">
        <v>160</v>
      </c>
      <c r="C90" s="68">
        <v>40000</v>
      </c>
      <c r="D90" s="68">
        <v>1</v>
      </c>
      <c r="E90" s="68">
        <v>1</v>
      </c>
      <c r="F90" s="68">
        <v>2</v>
      </c>
      <c r="G90" s="68">
        <v>2</v>
      </c>
      <c r="H90" s="68">
        <v>3</v>
      </c>
      <c r="I90" s="68">
        <v>3</v>
      </c>
      <c r="J90" s="68">
        <v>4</v>
      </c>
      <c r="K90" s="68">
        <v>4</v>
      </c>
      <c r="L90" s="68"/>
      <c r="M90" s="112">
        <f t="shared" si="1"/>
        <v>8</v>
      </c>
    </row>
    <row r="91" spans="1:13">
      <c r="A91" s="112">
        <v>89</v>
      </c>
      <c r="B91" s="68" t="s">
        <v>169</v>
      </c>
      <c r="C91" s="68">
        <v>40000</v>
      </c>
      <c r="D91" s="68"/>
      <c r="E91" s="68"/>
      <c r="F91" s="68"/>
      <c r="G91" s="68"/>
      <c r="H91" s="68"/>
      <c r="I91" s="68"/>
      <c r="J91" s="68"/>
      <c r="K91" s="68"/>
      <c r="L91" s="68"/>
      <c r="M91" s="112"/>
    </row>
    <row r="92" spans="1:13">
      <c r="A92" s="112">
        <v>90</v>
      </c>
      <c r="B92" s="68" t="s">
        <v>168</v>
      </c>
      <c r="C92" s="68">
        <v>0</v>
      </c>
      <c r="D92" s="68"/>
      <c r="E92" s="68"/>
      <c r="F92" s="68"/>
      <c r="G92" s="68"/>
      <c r="H92" s="68"/>
      <c r="I92" s="68"/>
      <c r="J92" s="68"/>
      <c r="K92" s="68"/>
      <c r="L92" s="68"/>
      <c r="M92" s="112"/>
    </row>
    <row r="93" spans="1:13">
      <c r="A93" s="112">
        <v>91</v>
      </c>
      <c r="B93" s="68" t="s">
        <v>161</v>
      </c>
      <c r="C93" s="68">
        <v>40000</v>
      </c>
      <c r="D93" s="68">
        <v>0</v>
      </c>
      <c r="E93" s="68">
        <v>1</v>
      </c>
      <c r="F93" s="68">
        <v>1</v>
      </c>
      <c r="G93" s="68">
        <v>2</v>
      </c>
      <c r="H93" s="68">
        <v>2</v>
      </c>
      <c r="I93" s="68">
        <v>2</v>
      </c>
      <c r="J93" s="68">
        <v>3</v>
      </c>
      <c r="K93" s="68">
        <v>3</v>
      </c>
      <c r="L93" s="68">
        <v>3</v>
      </c>
      <c r="M93" s="112">
        <f t="shared" si="1"/>
        <v>9</v>
      </c>
    </row>
    <row r="94" spans="1:13">
      <c r="A94" s="112">
        <v>92</v>
      </c>
      <c r="B94" s="68" t="s">
        <v>152</v>
      </c>
      <c r="C94" s="68">
        <v>40000</v>
      </c>
      <c r="D94" s="68">
        <v>0</v>
      </c>
      <c r="E94" s="68">
        <v>1</v>
      </c>
      <c r="F94" s="68">
        <v>1</v>
      </c>
      <c r="G94" s="68">
        <v>2</v>
      </c>
      <c r="H94" s="68">
        <v>2</v>
      </c>
      <c r="I94" s="68">
        <v>2</v>
      </c>
      <c r="J94" s="68">
        <v>3</v>
      </c>
      <c r="K94" s="68">
        <v>3</v>
      </c>
      <c r="L94" s="68">
        <v>3</v>
      </c>
      <c r="M94" s="112">
        <f t="shared" si="1"/>
        <v>9</v>
      </c>
    </row>
    <row r="95" spans="1:13">
      <c r="A95" s="112">
        <v>93</v>
      </c>
      <c r="B95" s="68" t="s">
        <v>162</v>
      </c>
      <c r="C95" s="68">
        <v>40000</v>
      </c>
      <c r="D95" s="68">
        <v>0</v>
      </c>
      <c r="E95" s="68">
        <v>1</v>
      </c>
      <c r="F95" s="68">
        <v>1</v>
      </c>
      <c r="G95" s="68">
        <v>1</v>
      </c>
      <c r="H95" s="68">
        <v>2</v>
      </c>
      <c r="I95" s="68">
        <v>2</v>
      </c>
      <c r="J95" s="68">
        <v>3</v>
      </c>
      <c r="K95" s="68">
        <v>3</v>
      </c>
      <c r="L95" s="68">
        <v>3</v>
      </c>
      <c r="M95" s="112">
        <f t="shared" si="1"/>
        <v>9</v>
      </c>
    </row>
    <row r="96" spans="1:13">
      <c r="A96" s="112">
        <v>94</v>
      </c>
      <c r="B96" s="68" t="s">
        <v>159</v>
      </c>
      <c r="C96" s="68">
        <v>40000</v>
      </c>
      <c r="D96" s="68">
        <v>1</v>
      </c>
      <c r="E96" s="68">
        <v>1</v>
      </c>
      <c r="F96" s="68">
        <v>0</v>
      </c>
      <c r="G96" s="68">
        <v>2</v>
      </c>
      <c r="H96" s="68">
        <v>2</v>
      </c>
      <c r="I96" s="68">
        <v>2</v>
      </c>
      <c r="J96" s="68">
        <v>3</v>
      </c>
      <c r="K96" s="68">
        <v>3</v>
      </c>
      <c r="L96" s="68">
        <v>3</v>
      </c>
      <c r="M96" s="112">
        <f t="shared" si="1"/>
        <v>9</v>
      </c>
    </row>
    <row r="97" spans="1:13">
      <c r="A97" s="112">
        <v>95</v>
      </c>
      <c r="B97" s="68" t="s">
        <v>163</v>
      </c>
      <c r="C97" s="68">
        <v>40000</v>
      </c>
      <c r="D97" s="68">
        <v>1</v>
      </c>
      <c r="E97" s="68">
        <v>1</v>
      </c>
      <c r="F97" s="68">
        <v>2</v>
      </c>
      <c r="G97" s="68">
        <v>2</v>
      </c>
      <c r="H97" s="68">
        <v>3</v>
      </c>
      <c r="I97" s="68">
        <v>3</v>
      </c>
      <c r="J97" s="68">
        <v>4</v>
      </c>
      <c r="K97" s="68">
        <v>4</v>
      </c>
      <c r="L97" s="68">
        <v>4</v>
      </c>
      <c r="M97" s="112">
        <f t="shared" si="1"/>
        <v>9</v>
      </c>
    </row>
    <row r="98" spans="1:13">
      <c r="A98" s="112">
        <v>96</v>
      </c>
      <c r="B98" s="68" t="s">
        <v>167</v>
      </c>
      <c r="C98" s="68">
        <v>40000</v>
      </c>
      <c r="D98" s="68"/>
      <c r="E98" s="68"/>
      <c r="F98" s="68"/>
      <c r="G98" s="68"/>
      <c r="H98" s="68"/>
      <c r="I98" s="68"/>
      <c r="J98" s="68"/>
      <c r="K98" s="68"/>
      <c r="L98" s="68"/>
      <c r="M98" s="112"/>
    </row>
    <row r="99" spans="1:13">
      <c r="A99" s="112">
        <v>97</v>
      </c>
      <c r="B99" s="68" t="s">
        <v>166</v>
      </c>
      <c r="C99" s="68">
        <v>0</v>
      </c>
      <c r="D99" s="68"/>
      <c r="E99" s="68"/>
      <c r="F99" s="68"/>
      <c r="G99" s="68"/>
      <c r="H99" s="68"/>
      <c r="I99" s="68"/>
      <c r="J99" s="68"/>
      <c r="K99" s="68"/>
      <c r="L99" s="68"/>
      <c r="M99" s="112"/>
    </row>
    <row r="100" spans="1:13">
      <c r="A100" s="112">
        <v>98</v>
      </c>
      <c r="B100" s="68" t="s">
        <v>197</v>
      </c>
      <c r="C100" s="68">
        <v>40000</v>
      </c>
      <c r="D100" s="68">
        <v>0</v>
      </c>
      <c r="E100" s="68">
        <v>0</v>
      </c>
      <c r="F100" s="68">
        <v>1</v>
      </c>
      <c r="G100" s="68">
        <v>1</v>
      </c>
      <c r="H100" s="68">
        <v>1</v>
      </c>
      <c r="I100" s="68"/>
      <c r="J100" s="68"/>
      <c r="K100" s="68"/>
      <c r="L100" s="68"/>
      <c r="M100" s="112">
        <f>COUNT(D100:L100)</f>
        <v>5</v>
      </c>
    </row>
    <row r="101" spans="1:13">
      <c r="A101" s="112">
        <v>99</v>
      </c>
      <c r="B101" s="68" t="s">
        <v>198</v>
      </c>
      <c r="C101" s="68">
        <v>40000</v>
      </c>
      <c r="D101" s="68">
        <v>0</v>
      </c>
      <c r="E101" s="68">
        <v>0</v>
      </c>
      <c r="F101" s="68">
        <v>1</v>
      </c>
      <c r="G101" s="68">
        <v>1</v>
      </c>
      <c r="H101" s="68">
        <v>1</v>
      </c>
      <c r="I101" s="68"/>
      <c r="J101" s="68"/>
      <c r="K101" s="68"/>
      <c r="L101" s="68"/>
      <c r="M101" s="112">
        <f>COUNT(D101:L101)</f>
        <v>5</v>
      </c>
    </row>
    <row r="102" spans="1:13">
      <c r="A102" s="112">
        <v>100</v>
      </c>
      <c r="B102" s="68" t="s">
        <v>199</v>
      </c>
      <c r="C102" s="68">
        <v>40000</v>
      </c>
      <c r="D102" s="68">
        <v>0</v>
      </c>
      <c r="E102" s="68">
        <v>1</v>
      </c>
      <c r="F102" s="68">
        <v>1</v>
      </c>
      <c r="G102" s="68">
        <v>2</v>
      </c>
      <c r="H102" s="68">
        <v>2</v>
      </c>
      <c r="I102" s="68">
        <v>2</v>
      </c>
      <c r="J102" s="68"/>
      <c r="K102" s="68"/>
      <c r="L102" s="68"/>
      <c r="M102" s="112">
        <f>COUNT(D102:L102)</f>
        <v>6</v>
      </c>
    </row>
  </sheetData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Q54"/>
  <sheetViews>
    <sheetView workbookViewId="0">
      <selection activeCell="D11" sqref="D11"/>
    </sheetView>
  </sheetViews>
  <sheetFormatPr baseColWidth="10" defaultColWidth="11.42578125" defaultRowHeight="12.75"/>
  <cols>
    <col min="1" max="1" width="14" style="3" bestFit="1" customWidth="1"/>
    <col min="2" max="2" width="8.140625" style="3" bestFit="1" customWidth="1"/>
    <col min="3" max="3" width="9.5703125" style="3" customWidth="1"/>
    <col min="4" max="4" width="11.140625" style="3" bestFit="1" customWidth="1"/>
    <col min="5" max="5" width="10.5703125" style="3" bestFit="1" customWidth="1"/>
    <col min="6" max="6" width="8.7109375" style="3" customWidth="1"/>
    <col min="7" max="7" width="6.5703125" style="3" bestFit="1" customWidth="1"/>
    <col min="8" max="8" width="5.7109375" style="3" customWidth="1"/>
    <col min="9" max="9" width="4.7109375" style="3" bestFit="1" customWidth="1"/>
    <col min="10" max="11" width="4.7109375" style="3" customWidth="1"/>
    <col min="12" max="12" width="5.7109375" style="3" hidden="1" customWidth="1"/>
    <col min="13" max="13" width="9.85546875" style="3" customWidth="1"/>
    <col min="14" max="14" width="7.42578125" style="3" hidden="1" customWidth="1"/>
    <col min="15" max="15" width="9.42578125" style="3" bestFit="1" customWidth="1"/>
    <col min="16" max="16384" width="11.42578125" style="3"/>
  </cols>
  <sheetData>
    <row r="1" spans="1:17" ht="30" customHeight="1">
      <c r="C1" s="4" t="s">
        <v>32</v>
      </c>
    </row>
    <row r="2" spans="1:17" ht="15" customHeight="1">
      <c r="C2" s="5" t="s">
        <v>33</v>
      </c>
    </row>
    <row r="3" spans="1:17" ht="15" customHeight="1">
      <c r="C3" s="4"/>
      <c r="M3" s="6" t="s">
        <v>34</v>
      </c>
    </row>
    <row r="4" spans="1:17" ht="14.25">
      <c r="A4" s="7" t="s">
        <v>75</v>
      </c>
      <c r="B4" s="8" t="s">
        <v>35</v>
      </c>
      <c r="C4" s="8"/>
      <c r="D4" s="8" t="s">
        <v>76</v>
      </c>
      <c r="F4" s="9" t="s">
        <v>36</v>
      </c>
      <c r="G4" s="10"/>
      <c r="H4" s="10"/>
      <c r="I4" s="10"/>
      <c r="J4" s="11"/>
      <c r="M4" s="12">
        <v>1</v>
      </c>
    </row>
    <row r="5" spans="1:17">
      <c r="A5" s="13"/>
      <c r="B5" s="14" t="s">
        <v>37</v>
      </c>
      <c r="C5" s="15"/>
      <c r="D5" s="16" t="s">
        <v>38</v>
      </c>
    </row>
    <row r="6" spans="1:17" ht="6" customHeight="1" thickBot="1">
      <c r="A6" s="17"/>
      <c r="B6" s="18"/>
      <c r="C6" s="19"/>
      <c r="D6" s="20"/>
      <c r="E6" s="20"/>
      <c r="F6" s="21"/>
      <c r="G6" s="22"/>
      <c r="H6" s="21"/>
      <c r="I6" s="21"/>
      <c r="J6" s="21"/>
      <c r="K6" s="21"/>
      <c r="L6" s="21"/>
      <c r="M6" s="21"/>
      <c r="N6" s="21"/>
      <c r="O6" s="23"/>
    </row>
    <row r="7" spans="1:17" ht="14.25">
      <c r="A7" s="24" t="s">
        <v>39</v>
      </c>
      <c r="B7" s="24" t="s">
        <v>40</v>
      </c>
      <c r="C7" s="24" t="s">
        <v>41</v>
      </c>
      <c r="D7" s="24" t="s">
        <v>42</v>
      </c>
      <c r="E7" s="24" t="s">
        <v>43</v>
      </c>
      <c r="F7" s="25" t="s">
        <v>77</v>
      </c>
      <c r="G7" s="24" t="s">
        <v>44</v>
      </c>
      <c r="H7" s="25" t="str">
        <f>IF(M4=0,"d","0.8*d")</f>
        <v>0.8*d</v>
      </c>
      <c r="I7" s="25" t="s">
        <v>78</v>
      </c>
      <c r="J7" s="25" t="s">
        <v>79</v>
      </c>
      <c r="K7" s="26" t="s">
        <v>45</v>
      </c>
      <c r="L7" s="27" t="s">
        <v>46</v>
      </c>
      <c r="M7" s="25" t="s">
        <v>46</v>
      </c>
      <c r="N7" s="28" t="s">
        <v>80</v>
      </c>
      <c r="O7" s="29" t="s">
        <v>47</v>
      </c>
      <c r="P7" s="30" t="s">
        <v>48</v>
      </c>
    </row>
    <row r="8" spans="1:17" ht="13.5" thickBot="1">
      <c r="A8" s="31" t="s">
        <v>49</v>
      </c>
      <c r="B8" s="32"/>
      <c r="C8" s="32" t="s">
        <v>50</v>
      </c>
      <c r="D8" s="32" t="s">
        <v>50</v>
      </c>
      <c r="E8" s="32" t="s">
        <v>50</v>
      </c>
      <c r="F8" s="32" t="s">
        <v>50</v>
      </c>
      <c r="G8" s="32"/>
      <c r="H8" s="32" t="s">
        <v>50</v>
      </c>
      <c r="I8" s="32" t="s">
        <v>50</v>
      </c>
      <c r="J8" s="32" t="s">
        <v>50</v>
      </c>
      <c r="K8" s="32"/>
      <c r="L8" s="32" t="s">
        <v>50</v>
      </c>
      <c r="M8" s="32" t="s">
        <v>50</v>
      </c>
      <c r="N8" s="33" t="s">
        <v>50</v>
      </c>
      <c r="O8" s="34" t="s">
        <v>45</v>
      </c>
    </row>
    <row r="9" spans="1:17" ht="13.5" thickBot="1">
      <c r="A9" s="24" t="s">
        <v>51</v>
      </c>
      <c r="B9" s="35">
        <f>Site_PLtraf!AH5</f>
        <v>18</v>
      </c>
      <c r="C9" s="36">
        <v>100</v>
      </c>
      <c r="D9" s="37">
        <f>Site_PLtraf!AH6*100</f>
        <v>7.1370772651396743</v>
      </c>
      <c r="E9" s="37">
        <f>Site_PLtraf!AH7*100</f>
        <v>13.852283175275018</v>
      </c>
      <c r="F9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86.708659550752458</v>
      </c>
      <c r="G9" s="39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D(25)</v>
      </c>
      <c r="H9" s="40">
        <f>K9*IF(M$4=0,1,0.8)</f>
        <v>20</v>
      </c>
      <c r="I9" s="41">
        <v>20</v>
      </c>
      <c r="J9" s="38">
        <f>I9*IF(M$4=0,1,1.25)</f>
        <v>25</v>
      </c>
      <c r="K9" s="40">
        <f>IF(OR(J9&lt;=5,J9&gt;7),ROUNDUP((J9/5),0)*5,7)</f>
        <v>25</v>
      </c>
      <c r="L9" s="38">
        <f>100*(1-TDIST((I9/E9-D9/E9)-TINV(0.05,B9-1)/SQRT(B9),B9-1,1)-TDIST((I9/E9+D9/E9)-TINV(0.05,B9-1)/SQRT(B9),B9-1,1))</f>
        <v>58.313607613055588</v>
      </c>
      <c r="M9" s="38">
        <f>100*(1-TDIST((H9/E9-D9/E9)-TINV(0.05,B9-1)/SQRT(B9),B9-1,1)-TDIST((H9/E9+D9/E9)-TINV(0.05,B9-1)/SQRT(B9),B9-1,1))</f>
        <v>58.313607613055588</v>
      </c>
      <c r="N9" s="42"/>
      <c r="O9" s="43"/>
    </row>
    <row r="10" spans="1:17">
      <c r="A10" s="24" t="s">
        <v>52</v>
      </c>
      <c r="B10" s="35">
        <f>Site_PLtraf!AK5</f>
        <v>20</v>
      </c>
      <c r="C10" s="36">
        <v>100</v>
      </c>
      <c r="D10" s="37">
        <f>Site_PLtraf!AH7*100</f>
        <v>13.852283175275018</v>
      </c>
      <c r="E10" s="37">
        <f>Site_PLtraf!AK7*100</f>
        <v>15.340473631412783</v>
      </c>
      <c r="F10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87.447401015016396</v>
      </c>
      <c r="G10" s="39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B(10)</v>
      </c>
      <c r="H10" s="12">
        <f>IF(K10&lt;7,K10/0.7,IF(K10&lt;30,K10+3,K10*1.1))*IF(M$4=0,1,0.8)</f>
        <v>10.4</v>
      </c>
      <c r="I10" s="41">
        <v>10.193904454564604</v>
      </c>
      <c r="J10" s="38">
        <f>IF(I10&lt;10,0.7*I10*IF(M$4=0,1,1.25),I10*IF(M$4=0,1,1.25)-3)</f>
        <v>9.7423805682057552</v>
      </c>
      <c r="K10" s="40">
        <f>IF(OR(J10&lt;=5,J10&gt;7),ROUNDUP((J10/5),0)*5,7)</f>
        <v>10</v>
      </c>
      <c r="L10" s="38" t="e">
        <f>100*(1-TDIST((I10/E10-D10/E10)-TINV(0.05,B10-1)/SQRT(B10),B10-1,1)-TDIST((I10/E10+D10/E10)-TINV(0.05,B10-1)/SQRT(B10),B10-1,1))</f>
        <v>#NUM!</v>
      </c>
      <c r="M10" s="38" t="e">
        <f>100*(1-TDIST(((H10-D10)/E10)*SQRT(B10/(B10+1)),B10-1,1)-TDIST(((H10+D10)/E10)*SQRT(B10/(B10+1)),B10-1,1))</f>
        <v>#NUM!</v>
      </c>
      <c r="N10" s="44">
        <v>96.503494262695313</v>
      </c>
      <c r="O10" s="45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D(25)</v>
      </c>
    </row>
    <row r="11" spans="1:17">
      <c r="A11" s="24" t="s">
        <v>53</v>
      </c>
      <c r="B11" s="35">
        <f>Site_PLtraf!AI5</f>
        <v>91</v>
      </c>
      <c r="C11" s="36">
        <v>100</v>
      </c>
      <c r="D11" s="37">
        <f>Site_PLtraf!AH8*100</f>
        <v>0</v>
      </c>
      <c r="E11" s="37">
        <f>Site_PLtraf!AI7*100</f>
        <v>25.534085738002577</v>
      </c>
      <c r="F11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92.682536331580593</v>
      </c>
      <c r="G11" s="39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B(10)</v>
      </c>
      <c r="H11" s="40">
        <f>IF(K11&lt;10,K11*(85-K11)/50,IF(K11&lt;25,K11+5,6*K11/5))*IF(M$4=0,1,0.8)</f>
        <v>12</v>
      </c>
      <c r="I11" s="41">
        <v>9.1693305991045886</v>
      </c>
      <c r="J11" s="38">
        <f>IF(I11&lt;15,I11*(I11*IF(M$4=0,1,1.25)+97)*IF(M$4=0,1,1.25)/168,I11*IF(M$4=0,1,1.25)-5)</f>
        <v>7.3997086879296115</v>
      </c>
      <c r="K11" s="12">
        <f>IF(OR(J11&lt;=5,J11&gt;7),ROUNDUP((J11/5),0)*5,7)</f>
        <v>10</v>
      </c>
      <c r="L11" s="38">
        <f>100*(1-TDIST((I11/E11-D11/E11)-TINV(0.05,B11-1)/SQRT(B11),B11-1,1)-TDIST((I11/E11+D11/E11)-TINV(0.05,B11-1)/SQRT(B11),B11-1,1))</f>
        <v>11.956168138154538</v>
      </c>
      <c r="M11" s="38">
        <f>100*(1-TDIST((H11/E11-D11/E11)-TINV(0.05,B11-1)/SQRT(B11),B11-1,1)-TDIST((H11/E11+D11/E11)-TINV(0.05,B11-1)/SQRT(B11),B11-1,1))</f>
        <v>20.584923831371693</v>
      </c>
      <c r="N11" s="46">
        <v>96.943229675292969</v>
      </c>
      <c r="O11" s="47"/>
    </row>
    <row r="12" spans="1:17">
      <c r="A12" s="24" t="s">
        <v>54</v>
      </c>
      <c r="B12" s="35">
        <f>Site_PLtraf!AJ5</f>
        <v>56</v>
      </c>
      <c r="C12" s="36">
        <v>100</v>
      </c>
      <c r="D12" s="37">
        <f>Site_PLtraf!AH9*100</f>
        <v>0</v>
      </c>
      <c r="E12" s="37">
        <f>Site_PLtraf!AJ7*100</f>
        <v>23.482556831367891</v>
      </c>
      <c r="F12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91.676172968288</v>
      </c>
      <c r="G12" s="39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B(10)</v>
      </c>
      <c r="H12" s="40">
        <f>IF(K12&lt;10,2*K12,IF(K12&lt;25,K12+10,6*K12/5+5))*IF(M$4=0,1,0.8)</f>
        <v>16</v>
      </c>
      <c r="I12" s="41">
        <v>15.762982801030535</v>
      </c>
      <c r="J12" s="38">
        <f>IF(I12&lt;20,I12*IF(M$4=0,1,1.25)/2,(I12*IF(M$4=0,1,1.25)-10))</f>
        <v>9.8518642506440841</v>
      </c>
      <c r="K12" s="40">
        <f>IF(OR(J12&lt;=5,J12&gt;7),ROUNDUP((J12/5),0)*5,7)</f>
        <v>10</v>
      </c>
      <c r="L12" s="38">
        <f>100*(1-TDIST((I12/E12-D12/E12)-TINV(0.05,B12-1)/SQRT(B12),B12-1,1)-TDIST((I12/E12+D12/E12)-TINV(0.05,B12-1)/SQRT(B12),B12-1,1))</f>
        <v>31.182711329268013</v>
      </c>
      <c r="M12" s="38">
        <f>100*(1-TDIST((H12/E12-D12/E12)-TINV(0.05,B12-1)/SQRT(B12),B12-1,1)-TDIST((H12/E12+D12/E12)-TINV(0.05,B12-1)/SQRT(B12),B12-1,1))</f>
        <v>31.919187506816126</v>
      </c>
      <c r="N12" s="44">
        <v>95.904441833496094</v>
      </c>
      <c r="O12" s="48">
        <f>MAX(K9:K12)</f>
        <v>25</v>
      </c>
    </row>
    <row r="13" spans="1:17">
      <c r="A13" s="49" t="s">
        <v>55</v>
      </c>
    </row>
    <row r="14" spans="1:17">
      <c r="A14" s="3" t="s">
        <v>56</v>
      </c>
      <c r="C14" s="50"/>
      <c r="E14" s="51" t="s">
        <v>57</v>
      </c>
      <c r="Q14" s="52"/>
    </row>
    <row r="15" spans="1:17">
      <c r="A15" s="3" t="s">
        <v>58</v>
      </c>
      <c r="E15" s="53" t="s">
        <v>59</v>
      </c>
      <c r="F15" s="54" t="s">
        <v>60</v>
      </c>
    </row>
    <row r="16" spans="1:17">
      <c r="A16" s="3" t="s">
        <v>61</v>
      </c>
      <c r="F16" s="54" t="s">
        <v>62</v>
      </c>
    </row>
    <row r="17" spans="1:6">
      <c r="A17" s="3" t="s">
        <v>63</v>
      </c>
      <c r="E17" s="53" t="s">
        <v>64</v>
      </c>
      <c r="F17" s="54" t="s">
        <v>65</v>
      </c>
    </row>
    <row r="18" spans="1:6" ht="15.75">
      <c r="A18" s="3" t="s">
        <v>66</v>
      </c>
      <c r="E18" s="53" t="s">
        <v>67</v>
      </c>
      <c r="F18" s="54" t="s">
        <v>81</v>
      </c>
    </row>
    <row r="19" spans="1:6">
      <c r="A19" s="3" t="s">
        <v>68</v>
      </c>
      <c r="E19" s="53" t="s">
        <v>69</v>
      </c>
      <c r="F19" s="54" t="s">
        <v>70</v>
      </c>
    </row>
    <row r="20" spans="1:6">
      <c r="A20" s="3" t="s">
        <v>71</v>
      </c>
      <c r="F20" s="54" t="s">
        <v>72</v>
      </c>
    </row>
    <row r="21" spans="1:6">
      <c r="F21" s="6" t="s">
        <v>73</v>
      </c>
    </row>
    <row r="22" spans="1:6" ht="14.25">
      <c r="F22" s="6" t="s">
        <v>82</v>
      </c>
    </row>
    <row r="41" spans="1:1">
      <c r="A41" s="55" t="s">
        <v>74</v>
      </c>
    </row>
    <row r="42" spans="1:1">
      <c r="A42" s="56" t="s">
        <v>83</v>
      </c>
    </row>
    <row r="43" spans="1:1">
      <c r="A43" s="56" t="s">
        <v>84</v>
      </c>
    </row>
    <row r="44" spans="1:1">
      <c r="A44" s="56" t="s">
        <v>85</v>
      </c>
    </row>
    <row r="45" spans="1:1">
      <c r="A45" s="57" t="s">
        <v>86</v>
      </c>
    </row>
    <row r="46" spans="1:1">
      <c r="A46" s="58" t="s">
        <v>87</v>
      </c>
    </row>
    <row r="47" spans="1:1">
      <c r="A47" s="58" t="s">
        <v>88</v>
      </c>
    </row>
    <row r="48" spans="1:1">
      <c r="A48" s="59"/>
    </row>
    <row r="49" spans="1:1">
      <c r="A49" s="59"/>
    </row>
    <row r="50" spans="1:1">
      <c r="A50" s="59"/>
    </row>
    <row r="51" spans="1:1">
      <c r="A51" s="59"/>
    </row>
    <row r="52" spans="1:1">
      <c r="A52" s="59"/>
    </row>
    <row r="53" spans="1:1">
      <c r="A53" s="59"/>
    </row>
    <row r="54" spans="1:1">
      <c r="A54" s="59"/>
    </row>
  </sheetData>
  <scenarios current="0">
    <scenario name="accur1" count="4" user="Bernard Jacob" comment="Créé par Bernard Jacob le 11/28/98">
      <inputCells r="I11" val="22.4272510621533" numFmtId="165"/>
      <inputCells r="I12" val="18.4903608949355" numFmtId="165"/>
      <inputCells r="I10" val="16.015615153721" numFmtId="165"/>
      <inputCells r="I9" val="19.6284274872054" numFmtId="165"/>
    </scenario>
  </scenarios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Q54"/>
  <sheetViews>
    <sheetView workbookViewId="0">
      <selection activeCell="S24" sqref="S24"/>
    </sheetView>
  </sheetViews>
  <sheetFormatPr baseColWidth="10" defaultColWidth="11.42578125" defaultRowHeight="12.75"/>
  <cols>
    <col min="1" max="1" width="14" style="3" bestFit="1" customWidth="1"/>
    <col min="2" max="2" width="8.140625" style="3" bestFit="1" customWidth="1"/>
    <col min="3" max="3" width="9.5703125" style="3" customWidth="1"/>
    <col min="4" max="4" width="7.28515625" style="3" bestFit="1" customWidth="1"/>
    <col min="5" max="5" width="10.140625" style="3" bestFit="1" customWidth="1"/>
    <col min="6" max="6" width="8.7109375" style="3" customWidth="1"/>
    <col min="7" max="7" width="6.5703125" style="3" bestFit="1" customWidth="1"/>
    <col min="8" max="8" width="5.7109375" style="3" customWidth="1"/>
    <col min="9" max="9" width="4.7109375" style="3" bestFit="1" customWidth="1"/>
    <col min="10" max="11" width="4.7109375" style="3" customWidth="1"/>
    <col min="12" max="12" width="5.7109375" style="3" hidden="1" customWidth="1"/>
    <col min="13" max="13" width="9.85546875" style="3" customWidth="1"/>
    <col min="14" max="14" width="7.42578125" style="3" hidden="1" customWidth="1"/>
    <col min="15" max="15" width="9.42578125" style="3" bestFit="1" customWidth="1"/>
    <col min="16" max="16384" width="11.42578125" style="3"/>
  </cols>
  <sheetData>
    <row r="1" spans="1:17" ht="30" customHeight="1">
      <c r="C1" s="4" t="s">
        <v>32</v>
      </c>
    </row>
    <row r="2" spans="1:17" ht="15" customHeight="1">
      <c r="C2" s="5" t="s">
        <v>33</v>
      </c>
    </row>
    <row r="3" spans="1:17" ht="15" customHeight="1">
      <c r="C3" s="4"/>
      <c r="M3" s="6" t="s">
        <v>34</v>
      </c>
    </row>
    <row r="4" spans="1:17" ht="14.25">
      <c r="A4" s="7" t="s">
        <v>75</v>
      </c>
      <c r="B4" s="8" t="s">
        <v>35</v>
      </c>
      <c r="C4" s="8"/>
      <c r="D4" s="8" t="s">
        <v>76</v>
      </c>
      <c r="F4" s="9" t="s">
        <v>36</v>
      </c>
      <c r="G4" s="10"/>
      <c r="H4" s="10"/>
      <c r="I4" s="10"/>
      <c r="J4" s="11"/>
      <c r="M4" s="12">
        <v>1</v>
      </c>
    </row>
    <row r="5" spans="1:17">
      <c r="A5" s="13"/>
      <c r="B5" s="14" t="s">
        <v>37</v>
      </c>
      <c r="C5" s="15"/>
      <c r="D5" s="16" t="s">
        <v>38</v>
      </c>
    </row>
    <row r="6" spans="1:17" ht="6" customHeight="1" thickBot="1">
      <c r="A6" s="17"/>
      <c r="B6" s="18"/>
      <c r="C6" s="19"/>
      <c r="D6" s="20"/>
      <c r="E6" s="20"/>
      <c r="F6" s="21"/>
      <c r="G6" s="22"/>
      <c r="H6" s="21"/>
      <c r="I6" s="21"/>
      <c r="J6" s="21"/>
      <c r="K6" s="21"/>
      <c r="L6" s="21"/>
      <c r="M6" s="21"/>
      <c r="N6" s="21"/>
      <c r="O6" s="23"/>
    </row>
    <row r="7" spans="1:17" ht="14.25">
      <c r="A7" s="24" t="s">
        <v>39</v>
      </c>
      <c r="B7" s="24" t="s">
        <v>40</v>
      </c>
      <c r="C7" s="24" t="s">
        <v>41</v>
      </c>
      <c r="D7" s="24" t="s">
        <v>42</v>
      </c>
      <c r="E7" s="24" t="s">
        <v>43</v>
      </c>
      <c r="F7" s="25" t="s">
        <v>77</v>
      </c>
      <c r="G7" s="24" t="s">
        <v>44</v>
      </c>
      <c r="H7" s="25" t="str">
        <f>IF(M4=0,"d","0.8*d")</f>
        <v>0.8*d</v>
      </c>
      <c r="I7" s="25" t="s">
        <v>78</v>
      </c>
      <c r="J7" s="25" t="s">
        <v>79</v>
      </c>
      <c r="K7" s="26" t="s">
        <v>45</v>
      </c>
      <c r="L7" s="27" t="s">
        <v>46</v>
      </c>
      <c r="M7" s="25" t="s">
        <v>46</v>
      </c>
      <c r="N7" s="28" t="s">
        <v>80</v>
      </c>
      <c r="O7" s="29" t="s">
        <v>47</v>
      </c>
      <c r="P7" s="30" t="s">
        <v>48</v>
      </c>
    </row>
    <row r="8" spans="1:17" ht="13.5" thickBot="1">
      <c r="A8" s="31" t="s">
        <v>49</v>
      </c>
      <c r="B8" s="32"/>
      <c r="C8" s="32" t="s">
        <v>50</v>
      </c>
      <c r="D8" s="32" t="s">
        <v>50</v>
      </c>
      <c r="E8" s="32" t="s">
        <v>50</v>
      </c>
      <c r="F8" s="32" t="s">
        <v>50</v>
      </c>
      <c r="G8" s="32"/>
      <c r="H8" s="32" t="s">
        <v>50</v>
      </c>
      <c r="I8" s="32" t="s">
        <v>50</v>
      </c>
      <c r="J8" s="32" t="s">
        <v>50</v>
      </c>
      <c r="K8" s="32"/>
      <c r="L8" s="32" t="s">
        <v>50</v>
      </c>
      <c r="M8" s="32" t="s">
        <v>50</v>
      </c>
      <c r="N8" s="33" t="s">
        <v>50</v>
      </c>
      <c r="O8" s="34" t="s">
        <v>45</v>
      </c>
    </row>
    <row r="9" spans="1:17" ht="13.5" thickBot="1">
      <c r="A9" s="24" t="s">
        <v>51</v>
      </c>
      <c r="B9" s="35">
        <f>Site_PLtraf!AY5</f>
        <v>41</v>
      </c>
      <c r="C9" s="36">
        <v>100</v>
      </c>
      <c r="D9" s="37">
        <f>Site_PLtraf!AY6*100</f>
        <v>8.3776527966461281</v>
      </c>
      <c r="E9" s="37">
        <f>Site_PLtraf!AY7*100</f>
        <v>14.592541002455855</v>
      </c>
      <c r="F9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90.788808716556034</v>
      </c>
      <c r="G9" s="39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B(10)</v>
      </c>
      <c r="H9" s="40">
        <f>K9*IF(M$4=0,1,0.8)</f>
        <v>8</v>
      </c>
      <c r="I9" s="41">
        <v>6</v>
      </c>
      <c r="J9" s="38">
        <f>I9*IF(M$4=0,1,1.25)</f>
        <v>7.5</v>
      </c>
      <c r="K9" s="40">
        <f>IF(OR(J9&lt;=5,J9&gt;7),ROUNDUP((J9/5),0)*5,7)</f>
        <v>10</v>
      </c>
      <c r="L9" s="38" t="e">
        <f>100*(1-TDIST((I9/E9-D9/E9)-TINV(0.05,B9-1)/SQRT(B9),B9-1,1)-TDIST((I9/E9+D9/E9)-TINV(0.05,B9-1)/SQRT(B9),B9-1,1))</f>
        <v>#NUM!</v>
      </c>
      <c r="M9" s="38" t="e">
        <f>100*(1-TDIST((H9/E9-D9/E9)-TINV(0.05,B9-1)/SQRT(B9),B9-1,1)-TDIST((H9/E9+D9/E9)-TINV(0.05,B9-1)/SQRT(B9),B9-1,1))</f>
        <v>#NUM!</v>
      </c>
      <c r="N9" s="42"/>
      <c r="O9" s="43"/>
    </row>
    <row r="10" spans="1:17">
      <c r="A10" s="24" t="s">
        <v>52</v>
      </c>
      <c r="B10" s="35">
        <f>Site_PLtraf!BB5</f>
        <v>41</v>
      </c>
      <c r="C10" s="36">
        <v>100</v>
      </c>
      <c r="D10" s="37">
        <f>Site_PLtraf!BB6*100</f>
        <v>6.7812000825515302</v>
      </c>
      <c r="E10" s="37">
        <f>Site_PLtraf!BB7*100</f>
        <v>21.019944050000518</v>
      </c>
      <c r="F10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90.788808716556034</v>
      </c>
      <c r="G10" s="39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B(10)</v>
      </c>
      <c r="H10" s="12">
        <f>IF(K10&lt;7,K10/0.7,IF(K10&lt;30,K10+3,K10*1.1))*IF(M$4=0,1,0.8)</f>
        <v>10.4</v>
      </c>
      <c r="I10" s="41">
        <v>10.193904380856578</v>
      </c>
      <c r="J10" s="38">
        <f>IF(I10&lt;10,0.7*I10*IF(M$4=0,1,1.25),I10*IF(M$4=0,1,1.25)-3)</f>
        <v>9.7423804760707231</v>
      </c>
      <c r="K10" s="40">
        <f>IF(OR(J10&lt;=5,J10&gt;7),ROUNDUP((J10/5),0)*5,7)</f>
        <v>10</v>
      </c>
      <c r="L10" s="38" t="e">
        <f>100*(1-TDIST((I10/E10-D10/E10)-TINV(0.05,B10-1)/SQRT(B10),B10-1,1)-TDIST((I10/E10+D10/E10)-TINV(0.05,B10-1)/SQRT(B10),B10-1,1))</f>
        <v>#NUM!</v>
      </c>
      <c r="M10" s="38">
        <f>100*(1-TDIST(((H10-D10)/E10)*SQRT(B10/(B10+1)),B10-1,1)-TDIST(((H10+D10)/E10)*SQRT(B10/(B10+1)),B10-1,1))</f>
        <v>35.505238158992391</v>
      </c>
      <c r="N10" s="44">
        <v>96.503494262695313</v>
      </c>
      <c r="O10" s="45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B(10)</v>
      </c>
    </row>
    <row r="11" spans="1:17">
      <c r="A11" s="24" t="s">
        <v>53</v>
      </c>
      <c r="B11" s="35">
        <f>Site_PLtraf!AZ5</f>
        <v>179</v>
      </c>
      <c r="C11" s="36">
        <v>100</v>
      </c>
      <c r="D11" s="37">
        <f>Site_PLtraf!AZ6*100</f>
        <v>6.3375494262104466</v>
      </c>
      <c r="E11" s="37">
        <f>Site_PLtraf!AZ7*100</f>
        <v>26.199936153057102</v>
      </c>
      <c r="F11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93.604631361684795</v>
      </c>
      <c r="G11" s="39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B(10)</v>
      </c>
      <c r="H11" s="40">
        <f>IF(K11&lt;10,K11*(85-K11)/50,IF(K11&lt;25,K11+5,6*K11/5))*IF(M$4=0,1,0.8)</f>
        <v>12</v>
      </c>
      <c r="I11" s="41">
        <v>9.1693307546678842</v>
      </c>
      <c r="J11" s="38">
        <f>IF(I11&lt;15,I11*(I11*IF(M$4=0,1,1.25)+97)*IF(M$4=0,1,1.25)/168,I11*IF(M$4=0,1,1.25)-5)</f>
        <v>7.3997088267366635</v>
      </c>
      <c r="K11" s="12">
        <f>IF(OR(J11&lt;=5,J11&gt;7),ROUNDUP((J11/5),0)*5,7)</f>
        <v>10</v>
      </c>
      <c r="L11" s="38" t="e">
        <f>100*(1-TDIST((I11/E11-D11/E11)-TINV(0.05,B11-1)/SQRT(B11),B11-1,1)-TDIST((I11/E11+D11/E11)-TINV(0.05,B11-1)/SQRT(B11),B11-1,1))</f>
        <v>#NUM!</v>
      </c>
      <c r="M11" s="38">
        <f>100*(1-TDIST((H11/E11-D11/E11)-TINV(0.05,B11-1)/SQRT(B11),B11-1,1)-TDIST((H11/E11+D11/E11)-TINV(0.05,B11-1)/SQRT(B11),B11-1,1))</f>
        <v>23.663832167263838</v>
      </c>
      <c r="N11" s="46">
        <v>96.943229675292969</v>
      </c>
      <c r="O11" s="47"/>
    </row>
    <row r="12" spans="1:17">
      <c r="A12" s="24" t="s">
        <v>54</v>
      </c>
      <c r="B12" s="35">
        <f>Site_PLtraf!BA5</f>
        <v>111</v>
      </c>
      <c r="C12" s="36">
        <v>100</v>
      </c>
      <c r="D12" s="37">
        <f>Site_PLtraf!BA6*100</f>
        <v>6.2326201028418478</v>
      </c>
      <c r="E12" s="37">
        <f>Site_PLtraf!BA7*100</f>
        <v>27.804475291420445</v>
      </c>
      <c r="F12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92.999822133637934</v>
      </c>
      <c r="G12" s="39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B(10)</v>
      </c>
      <c r="H12" s="40">
        <f>IF(K12&lt;10,2*K12,IF(K12&lt;25,K12+10,6*K12/5+5))*IF(M$4=0,1,0.8)</f>
        <v>16</v>
      </c>
      <c r="I12" s="41">
        <v>15.762982801030539</v>
      </c>
      <c r="J12" s="38">
        <f>IF(I12&lt;20,I12*IF(M$4=0,1,1.25)/2,(I12*IF(M$4=0,1,1.25)-10))</f>
        <v>9.8518642506440877</v>
      </c>
      <c r="K12" s="40">
        <f>IF(OR(J12&lt;=5,J12&gt;7),ROUNDUP((J12/5),0)*5,7)</f>
        <v>10</v>
      </c>
      <c r="L12" s="38">
        <f>100*(1-TDIST((I12/E12-D12/E12)-TINV(0.05,B12-1)/SQRT(B12),B12-1,1)-TDIST((I12/E12+D12/E12)-TINV(0.05,B12-1)/SQRT(B12),B12-1,1))</f>
        <v>28.74332902918637</v>
      </c>
      <c r="M12" s="38">
        <f>100*(1-TDIST((H12/E12-D12/E12)-TINV(0.05,B12-1)/SQRT(B12),B12-1,1)-TDIST((H12/E12+D12/E12)-TINV(0.05,B12-1)/SQRT(B12),B12-1,1))</f>
        <v>29.360123733839462</v>
      </c>
      <c r="N12" s="44">
        <v>95.904441833496094</v>
      </c>
      <c r="O12" s="48">
        <f>MAX(K9:K12)</f>
        <v>10</v>
      </c>
    </row>
    <row r="13" spans="1:17">
      <c r="A13" s="49" t="s">
        <v>55</v>
      </c>
    </row>
    <row r="14" spans="1:17">
      <c r="A14" s="3" t="s">
        <v>56</v>
      </c>
      <c r="C14" s="50"/>
      <c r="E14" s="51" t="s">
        <v>57</v>
      </c>
      <c r="Q14" s="52"/>
    </row>
    <row r="15" spans="1:17">
      <c r="A15" s="3" t="s">
        <v>58</v>
      </c>
      <c r="E15" s="53" t="s">
        <v>59</v>
      </c>
      <c r="F15" s="54" t="s">
        <v>60</v>
      </c>
    </row>
    <row r="16" spans="1:17">
      <c r="A16" s="3" t="s">
        <v>61</v>
      </c>
      <c r="F16" s="54" t="s">
        <v>62</v>
      </c>
    </row>
    <row r="17" spans="1:6">
      <c r="A17" s="3" t="s">
        <v>63</v>
      </c>
      <c r="E17" s="53" t="s">
        <v>64</v>
      </c>
      <c r="F17" s="54" t="s">
        <v>65</v>
      </c>
    </row>
    <row r="18" spans="1:6" ht="15.75">
      <c r="A18" s="3" t="s">
        <v>66</v>
      </c>
      <c r="E18" s="53" t="s">
        <v>67</v>
      </c>
      <c r="F18" s="54" t="s">
        <v>81</v>
      </c>
    </row>
    <row r="19" spans="1:6">
      <c r="A19" s="3" t="s">
        <v>68</v>
      </c>
      <c r="E19" s="53" t="s">
        <v>69</v>
      </c>
      <c r="F19" s="54" t="s">
        <v>70</v>
      </c>
    </row>
    <row r="20" spans="1:6">
      <c r="A20" s="3" t="s">
        <v>71</v>
      </c>
      <c r="F20" s="54" t="s">
        <v>72</v>
      </c>
    </row>
    <row r="21" spans="1:6">
      <c r="F21" s="6" t="s">
        <v>73</v>
      </c>
    </row>
    <row r="22" spans="1:6" ht="14.25">
      <c r="F22" s="6" t="s">
        <v>82</v>
      </c>
    </row>
    <row r="41" spans="1:1">
      <c r="A41" s="55" t="s">
        <v>74</v>
      </c>
    </row>
    <row r="42" spans="1:1">
      <c r="A42" s="56" t="s">
        <v>83</v>
      </c>
    </row>
    <row r="43" spans="1:1">
      <c r="A43" s="56" t="s">
        <v>84</v>
      </c>
    </row>
    <row r="44" spans="1:1">
      <c r="A44" s="56" t="s">
        <v>85</v>
      </c>
    </row>
    <row r="45" spans="1:1">
      <c r="A45" s="57" t="s">
        <v>86</v>
      </c>
    </row>
    <row r="46" spans="1:1">
      <c r="A46" s="58" t="s">
        <v>87</v>
      </c>
    </row>
    <row r="47" spans="1:1">
      <c r="A47" s="58" t="s">
        <v>88</v>
      </c>
    </row>
    <row r="48" spans="1:1">
      <c r="A48" s="59"/>
    </row>
    <row r="49" spans="1:1">
      <c r="A49" s="59"/>
    </row>
    <row r="50" spans="1:1">
      <c r="A50" s="59"/>
    </row>
    <row r="51" spans="1:1">
      <c r="A51" s="59"/>
    </row>
    <row r="52" spans="1:1">
      <c r="A52" s="59"/>
    </row>
    <row r="53" spans="1:1">
      <c r="A53" s="59"/>
    </row>
    <row r="54" spans="1:1">
      <c r="A54" s="59"/>
    </row>
  </sheetData>
  <scenarios current="0">
    <scenario name="accur1" count="4" user="Bernard Jacob" comment="Créé par Bernard Jacob le 11/28/98">
      <inputCells r="I11" val="22.4272510621533" numFmtId="165"/>
      <inputCells r="I12" val="18.4903608949355" numFmtId="165"/>
      <inputCells r="I10" val="16.015615153721" numFmtId="165"/>
      <inputCells r="I9" val="19.6284274872054" numFmtId="165"/>
    </scenario>
  </scenarios>
  <phoneticPr fontId="2" type="noConversion"/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Q54"/>
  <sheetViews>
    <sheetView workbookViewId="0">
      <selection activeCell="E9" sqref="E9"/>
    </sheetView>
  </sheetViews>
  <sheetFormatPr baseColWidth="10" defaultColWidth="11.42578125" defaultRowHeight="12.75"/>
  <cols>
    <col min="1" max="1" width="14" style="3" bestFit="1" customWidth="1"/>
    <col min="2" max="2" width="8.140625" style="3" bestFit="1" customWidth="1"/>
    <col min="3" max="3" width="9.5703125" style="3" customWidth="1"/>
    <col min="4" max="4" width="7.28515625" style="3" bestFit="1" customWidth="1"/>
    <col min="5" max="5" width="10.140625" style="3" bestFit="1" customWidth="1"/>
    <col min="6" max="6" width="8.7109375" style="3" customWidth="1"/>
    <col min="7" max="7" width="6.5703125" style="3" bestFit="1" customWidth="1"/>
    <col min="8" max="8" width="5.7109375" style="3" customWidth="1"/>
    <col min="9" max="9" width="4.7109375" style="3" bestFit="1" customWidth="1"/>
    <col min="10" max="11" width="4.7109375" style="3" customWidth="1"/>
    <col min="12" max="12" width="5.7109375" style="3" hidden="1" customWidth="1"/>
    <col min="13" max="13" width="9.85546875" style="3" customWidth="1"/>
    <col min="14" max="14" width="7.42578125" style="3" hidden="1" customWidth="1"/>
    <col min="15" max="15" width="9.42578125" style="3" bestFit="1" customWidth="1"/>
    <col min="16" max="16384" width="11.42578125" style="3"/>
  </cols>
  <sheetData>
    <row r="1" spans="1:17" ht="30" customHeight="1">
      <c r="C1" s="4" t="s">
        <v>32</v>
      </c>
    </row>
    <row r="2" spans="1:17" ht="15" customHeight="1">
      <c r="C2" s="5" t="s">
        <v>33</v>
      </c>
    </row>
    <row r="3" spans="1:17" ht="15" customHeight="1">
      <c r="C3" s="4"/>
      <c r="M3" s="6" t="s">
        <v>34</v>
      </c>
    </row>
    <row r="4" spans="1:17" ht="14.25">
      <c r="A4" s="7" t="s">
        <v>75</v>
      </c>
      <c r="B4" s="8" t="s">
        <v>35</v>
      </c>
      <c r="C4" s="8"/>
      <c r="D4" s="8" t="s">
        <v>76</v>
      </c>
      <c r="F4" s="9" t="s">
        <v>36</v>
      </c>
      <c r="G4" s="10"/>
      <c r="H4" s="10"/>
      <c r="I4" s="10"/>
      <c r="J4" s="11"/>
      <c r="M4" s="12">
        <v>1</v>
      </c>
    </row>
    <row r="5" spans="1:17">
      <c r="A5" s="13"/>
      <c r="B5" s="14" t="s">
        <v>37</v>
      </c>
      <c r="C5" s="15"/>
      <c r="D5" s="16" t="s">
        <v>38</v>
      </c>
    </row>
    <row r="6" spans="1:17" ht="6" customHeight="1" thickBot="1">
      <c r="A6" s="17"/>
      <c r="B6" s="18"/>
      <c r="C6" s="19"/>
      <c r="D6" s="20"/>
      <c r="E6" s="20"/>
      <c r="F6" s="21"/>
      <c r="G6" s="22"/>
      <c r="H6" s="21"/>
      <c r="I6" s="21"/>
      <c r="J6" s="21"/>
      <c r="K6" s="21"/>
      <c r="L6" s="21"/>
      <c r="M6" s="21"/>
      <c r="N6" s="21"/>
      <c r="O6" s="23"/>
    </row>
    <row r="7" spans="1:17" ht="14.25">
      <c r="A7" s="24" t="s">
        <v>39</v>
      </c>
      <c r="B7" s="24" t="s">
        <v>40</v>
      </c>
      <c r="C7" s="24" t="s">
        <v>41</v>
      </c>
      <c r="D7" s="24" t="s">
        <v>42</v>
      </c>
      <c r="E7" s="24" t="s">
        <v>43</v>
      </c>
      <c r="F7" s="25" t="s">
        <v>77</v>
      </c>
      <c r="G7" s="24" t="s">
        <v>44</v>
      </c>
      <c r="H7" s="25" t="str">
        <f>IF(M4=0,"d","0.8*d")</f>
        <v>0.8*d</v>
      </c>
      <c r="I7" s="25" t="s">
        <v>78</v>
      </c>
      <c r="J7" s="25" t="s">
        <v>79</v>
      </c>
      <c r="K7" s="26" t="s">
        <v>45</v>
      </c>
      <c r="L7" s="27" t="s">
        <v>46</v>
      </c>
      <c r="M7" s="25" t="s">
        <v>46</v>
      </c>
      <c r="N7" s="28" t="s">
        <v>80</v>
      </c>
      <c r="O7" s="29" t="s">
        <v>47</v>
      </c>
      <c r="P7" s="30" t="s">
        <v>48</v>
      </c>
    </row>
    <row r="8" spans="1:17" ht="13.5" thickBot="1">
      <c r="A8" s="31" t="s">
        <v>49</v>
      </c>
      <c r="B8" s="32"/>
      <c r="C8" s="32" t="s">
        <v>50</v>
      </c>
      <c r="D8" s="32" t="s">
        <v>50</v>
      </c>
      <c r="E8" s="32" t="s">
        <v>50</v>
      </c>
      <c r="F8" s="32" t="s">
        <v>50</v>
      </c>
      <c r="G8" s="32"/>
      <c r="H8" s="32" t="s">
        <v>50</v>
      </c>
      <c r="I8" s="32" t="s">
        <v>50</v>
      </c>
      <c r="J8" s="32" t="s">
        <v>50</v>
      </c>
      <c r="K8" s="32"/>
      <c r="L8" s="32" t="s">
        <v>50</v>
      </c>
      <c r="M8" s="32" t="s">
        <v>50</v>
      </c>
      <c r="N8" s="33" t="s">
        <v>50</v>
      </c>
      <c r="O8" s="34" t="s">
        <v>45</v>
      </c>
    </row>
    <row r="9" spans="1:17" ht="13.5" thickBot="1">
      <c r="A9" s="24" t="s">
        <v>51</v>
      </c>
      <c r="B9" s="35">
        <f>Site_PLcalibration!AY5</f>
        <v>25</v>
      </c>
      <c r="C9" s="36">
        <v>100</v>
      </c>
      <c r="D9" s="37">
        <f>Site_PLcalibration!AY6*100</f>
        <v>6.5680830326810904</v>
      </c>
      <c r="E9" s="37">
        <f>Site_PLcalibration!AY7*100</f>
        <v>11.656393868216025</v>
      </c>
      <c r="F9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9-1)/SQRT(B9),0,1,TRUE) -1)</f>
        <v>88.75372385438682</v>
      </c>
      <c r="G9" s="39" t="str">
        <f>IF(K9&lt;=5,CONCATENATE("A(",TEXT(K9,"0"),")"),IF(K9&lt;=7,CONCATENATE("B+(",TEXT(K9,"0"),")"),IF(K9&lt;=10,CONCATENATE("B(",TEXT(K9,"0"),")"),IF(K9&lt;=15,CONCATENATE("C(",TEXT(K9,"0"),")"),IF(K9&lt;=20,CONCATENATE("D+(",TEXT(K9,"0"),")"),IF(K9&lt;=25,CONCATENATE("D(",TEXT(K9,"0"),")"),CONCATENATE("E(",TEXT(K9,"0"),")")))))))</f>
        <v>B(10)</v>
      </c>
      <c r="H9" s="40">
        <f>K9*IF(M$4=0,1,0.8)</f>
        <v>8</v>
      </c>
      <c r="I9" s="41">
        <v>7.5252878604134326</v>
      </c>
      <c r="J9" s="38">
        <f>I9*IF(M$4=0,1,1.25)</f>
        <v>9.4066098255167905</v>
      </c>
      <c r="K9" s="40">
        <f>IF(OR(J9&lt;=5,J9&gt;7),ROUNDUP((J9/5),0)*5,7)</f>
        <v>10</v>
      </c>
      <c r="L9" s="38" t="e">
        <f>100*(1-TDIST((I9/E9-D9/E9)-TINV(0.05,B9-1)/SQRT(B9),B9-1,1)-TDIST((I9/E9+D9/E9)-TINV(0.05,B9-1)/SQRT(B9),B9-1,1))</f>
        <v>#NUM!</v>
      </c>
      <c r="M9" s="38" t="e">
        <f>100*(1-TDIST((H9/E9-D9/E9)-TINV(0.05,B9-1)/SQRT(B9),B9-1,1)-TDIST((H9/E9+D9/E9)-TINV(0.05,B9-1)/SQRT(B9),B9-1,1))</f>
        <v>#NUM!</v>
      </c>
      <c r="N9" s="42"/>
      <c r="O9" s="43"/>
    </row>
    <row r="10" spans="1:17">
      <c r="A10" s="24" t="s">
        <v>52</v>
      </c>
      <c r="B10" s="35">
        <f>Site_PLcalibration!BB5</f>
        <v>25</v>
      </c>
      <c r="C10" s="36">
        <v>100</v>
      </c>
      <c r="D10" s="37">
        <f>Site_PLcalibration!BB6*100</f>
        <v>3.5006885703008956</v>
      </c>
      <c r="E10" s="37">
        <f>Site_PLcalibration!BB7*100</f>
        <v>5.0488030755139768</v>
      </c>
      <c r="F10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10-1)/SQRT(B10),0,1,TRUE) -1)</f>
        <v>88.75372385438682</v>
      </c>
      <c r="G10" s="39" t="str">
        <f>IF(K10&lt;=5,CONCATENATE("A(",TEXT(K10,"0"),")"),IF(K10&lt;=7,CONCATENATE("B+(",TEXT(K10,"0"),")"),IF(K10&lt;=10,CONCATENATE("B(",TEXT(K10,"0"),")"),IF(K10&lt;=15,CONCATENATE("C(",TEXT(K10,"0"),")"),IF(K10&lt;=20,CONCATENATE("D+(",TEXT(K10,"0"),")"),IF(K10&lt;=25,CONCATENATE("D(",TEXT(K10,"0"),")"),CONCATENATE("E(",TEXT(K10,"0"),")")))))))</f>
        <v>E(35)</v>
      </c>
      <c r="H10" s="12">
        <f>IF(K10&lt;7,K10/0.7,IF(K10&lt;30,K10+3,K10*1.1))*IF(M$4=0,1,0.8)</f>
        <v>30.8</v>
      </c>
      <c r="I10" s="41">
        <v>28.738876668079502</v>
      </c>
      <c r="J10" s="38">
        <f>IF(I10&lt;10,0.7*I10*IF(M$4=0,1,1.25),I10*IF(M$4=0,1,1.25)-3)</f>
        <v>32.923595835099377</v>
      </c>
      <c r="K10" s="40">
        <f>IF(OR(J10&lt;=5,J10&gt;7),ROUNDUP((J10/5),0)*5,7)</f>
        <v>35</v>
      </c>
      <c r="L10" s="38">
        <f>100*(1-TDIST((I10/E10-D10/E10)-TINV(0.05,B10-1)/SQRT(B10),B10-1,1)-TDIST((I10/E10+D10/E10)-TINV(0.05,B10-1)/SQRT(B10),B10-1,1))</f>
        <v>99.993868780276827</v>
      </c>
      <c r="M10" s="38">
        <f>100*(1-TDIST(((H10-D10)/E10)*SQRT(B10/(B10+1)),B10-1,1)-TDIST(((H10+D10)/E10)*SQRT(B10/(B10+1)),B10-1,1))</f>
        <v>99.998996873821795</v>
      </c>
      <c r="N10" s="44">
        <v>96.503494262695313</v>
      </c>
      <c r="O10" s="45" t="str">
        <f>IF(O12&lt;=5,CONCATENATE("A(",TEXT(O12,"0"),")"),IF(O12&lt;=7,CONCATENATE("B+(",TEXT(O12,"0"),")"),IF(O12&lt;=10,CONCATENATE("B(",TEXT(O12,"0"),")"),IF(O12&lt;=15,CONCATENATE("C(",TEXT(O12,"0"),")"),IF(O12&lt;=20,CONCATENATE("D+(",TEXT(O12,"0"),")"),IF(O12&lt;=25,CONCATENATE("D(",TEXT(O12,"0"),")"),CONCATENATE("E(",TEXT(O12,"0"),")")))))))</f>
        <v>E(35)</v>
      </c>
    </row>
    <row r="11" spans="1:17">
      <c r="A11" s="24" t="s">
        <v>53</v>
      </c>
      <c r="B11" s="35">
        <f>Site_PLcalibration!AZ5</f>
        <v>125</v>
      </c>
      <c r="C11" s="36">
        <v>100</v>
      </c>
      <c r="D11" s="37">
        <f>Site_PLcalibration!AZ6*100</f>
        <v>12.142935997631138</v>
      </c>
      <c r="E11" s="37">
        <f>Site_PLcalibration!AZ7*100</f>
        <v>18.487273350454263</v>
      </c>
      <c r="F11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11-1)/SQRT(B11),0,1,TRUE) -1)</f>
        <v>93.169173274392264</v>
      </c>
      <c r="G11" s="39" t="str">
        <f>IF(K11&lt;=5,CONCATENATE("A(",TEXT(K11,"0"),")"),IF(K11&lt;=7,CONCATENATE("B+(",TEXT(K11,"0"),")"),IF(K11&lt;=10,CONCATENATE("B(",TEXT(K11,"0"),")"),IF(K11&lt;=15,CONCATENATE("C(",TEXT(K11,"0"),")"),IF(K11&lt;=20,CONCATENATE("D+(",TEXT(K11,"0"),")"),IF(K11&lt;=25,CONCATENATE("D(",TEXT(K11,"0"),")"),CONCATENATE("E(",TEXT(K11,"0"),")")))))))</f>
        <v>C(15)</v>
      </c>
      <c r="H11" s="40">
        <f>IF(K11&lt;10,K11*(85-K11)/50,IF(K11&lt;25,K11+5,6*K11/5))*IF(M$4=0,1,0.8)</f>
        <v>16</v>
      </c>
      <c r="I11" s="41">
        <v>15.356647076715563</v>
      </c>
      <c r="J11" s="38">
        <f>IF(I11&lt;15,I11*(I11*IF(M$4=0,1,1.25)+97)*IF(M$4=0,1,1.25)/168,I11*IF(M$4=0,1,1.25)-5)</f>
        <v>14.195808845894454</v>
      </c>
      <c r="K11" s="12">
        <f>IF(OR(J11&lt;=5,J11&gt;7),ROUNDUP((J11/5),0)*5,7)</f>
        <v>15</v>
      </c>
      <c r="L11" s="38" t="e">
        <f>100*(1-TDIST((I11/E11-D11/E11)-TINV(0.05,B11-1)/SQRT(B11),B11-1,1)-TDIST((I11/E11+D11/E11)-TINV(0.05,B11-1)/SQRT(B11),B11-1,1))</f>
        <v>#NUM!</v>
      </c>
      <c r="M11" s="38">
        <f>100*(1-TDIST((H11/E11-D11/E11)-TINV(0.05,B11-1)/SQRT(B11),B11-1,1)-TDIST((H11/E11+D11/E11)-TINV(0.05,B11-1)/SQRT(B11),B11-1,1))</f>
        <v>42.208059115931604</v>
      </c>
      <c r="N11" s="46">
        <v>96.943229675292969</v>
      </c>
      <c r="O11" s="47"/>
    </row>
    <row r="12" spans="1:17">
      <c r="A12" s="24" t="s">
        <v>54</v>
      </c>
      <c r="B12" s="35">
        <f>Site_PLcalibration!BA5</f>
        <v>75</v>
      </c>
      <c r="C12" s="36">
        <v>100</v>
      </c>
      <c r="D12" s="37">
        <f>Site_PLcalibration!BA6*100</f>
        <v>4.1225283564336888</v>
      </c>
      <c r="E12" s="37">
        <f>Site_PLcalibration!BA7*100</f>
        <v>15.553894443910041</v>
      </c>
      <c r="F12" s="38">
        <f>100*(2*NORMDIST(IF($B$5="r1",2.675/IF($D$5="III",1.1,IF($D$5="II",1.05,1)),IF($B$5="r2",2.36/IF($D$5="III",1.1,IF($D$5="II",1.05,1)),IF($B$5="RR1",2.155/IF($D$5="III",1.1,IF($D$5="II",1.05,1)),IF($B$5="RR2",2/IF($D$5="III",1.1,IF($D$5="II",1.05,1)),0))))-TINV(0.05,B12-1)/SQRT(B12),0,1,TRUE) -1)</f>
        <v>92.325968059286652</v>
      </c>
      <c r="G12" s="39" t="str">
        <f>IF(K12&lt;=5,CONCATENATE("A(",TEXT(K12,"0"),")"),IF(K12&lt;=7,CONCATENATE("B+(",TEXT(K12,"0"),")"),IF(K12&lt;=10,CONCATENATE("B(",TEXT(K12,"0"),")"),IF(K12&lt;=15,CONCATENATE("C(",TEXT(K12,"0"),")"),IF(K12&lt;=20,CONCATENATE("D+(",TEXT(K12,"0"),")"),IF(K12&lt;=25,CONCATENATE("D(",TEXT(K12,"0"),")"),CONCATENATE("E(",TEXT(K12,"0"),")")))))))</f>
        <v>B(10)</v>
      </c>
      <c r="H12" s="40">
        <f>IF(K12&lt;10,2*K12,IF(K12&lt;25,K12+10,6*K12/5+5))*IF(M$4=0,1,0.8)</f>
        <v>16</v>
      </c>
      <c r="I12" s="41">
        <v>12.885483864786003</v>
      </c>
      <c r="J12" s="38">
        <f>IF(I12&lt;20,I12*IF(M$4=0,1,1.25)/2,(I12*IF(M$4=0,1,1.25)-10))</f>
        <v>8.0534274154912531</v>
      </c>
      <c r="K12" s="40">
        <f>IF(OR(J12&lt;=5,J12&gt;7),ROUNDUP((J12/5),0)*5,7)</f>
        <v>10</v>
      </c>
      <c r="L12" s="38">
        <f>100*(1-TDIST((I12/E12-D12/E12)-TINV(0.05,B12-1)/SQRT(B12),B12-1,1)-TDIST((I12/E12+D12/E12)-TINV(0.05,B12-1)/SQRT(B12),B12-1,1))</f>
        <v>43.47290429056153</v>
      </c>
      <c r="M12" s="38">
        <f>100*(1-TDIST((H12/E12-D12/E12)-TINV(0.05,B12-1)/SQRT(B12),B12-1,1)-TDIST((H12/E12+D12/E12)-TINV(0.05,B12-1)/SQRT(B12),B12-1,1))</f>
        <v>55.690255712971016</v>
      </c>
      <c r="N12" s="44">
        <v>95.904441833496094</v>
      </c>
      <c r="O12" s="48">
        <f>MAX(K9:K12)</f>
        <v>35</v>
      </c>
    </row>
    <row r="13" spans="1:17">
      <c r="A13" s="49" t="s">
        <v>55</v>
      </c>
    </row>
    <row r="14" spans="1:17">
      <c r="A14" s="3" t="s">
        <v>56</v>
      </c>
      <c r="C14" s="50"/>
      <c r="E14" s="51" t="s">
        <v>57</v>
      </c>
      <c r="Q14" s="52"/>
    </row>
    <row r="15" spans="1:17">
      <c r="A15" s="3" t="s">
        <v>58</v>
      </c>
      <c r="E15" s="53" t="s">
        <v>59</v>
      </c>
      <c r="F15" s="54" t="s">
        <v>60</v>
      </c>
    </row>
    <row r="16" spans="1:17">
      <c r="A16" s="3" t="s">
        <v>61</v>
      </c>
      <c r="F16" s="54" t="s">
        <v>62</v>
      </c>
    </row>
    <row r="17" spans="1:6">
      <c r="A17" s="3" t="s">
        <v>63</v>
      </c>
      <c r="E17" s="53" t="s">
        <v>64</v>
      </c>
      <c r="F17" s="54" t="s">
        <v>65</v>
      </c>
    </row>
    <row r="18" spans="1:6" ht="15.75">
      <c r="A18" s="3" t="s">
        <v>66</v>
      </c>
      <c r="E18" s="53" t="s">
        <v>67</v>
      </c>
      <c r="F18" s="54" t="s">
        <v>81</v>
      </c>
    </row>
    <row r="19" spans="1:6">
      <c r="A19" s="3" t="s">
        <v>68</v>
      </c>
      <c r="E19" s="53" t="s">
        <v>69</v>
      </c>
      <c r="F19" s="54" t="s">
        <v>70</v>
      </c>
    </row>
    <row r="20" spans="1:6">
      <c r="A20" s="3" t="s">
        <v>71</v>
      </c>
      <c r="F20" s="54" t="s">
        <v>72</v>
      </c>
    </row>
    <row r="21" spans="1:6">
      <c r="F21" s="6" t="s">
        <v>73</v>
      </c>
    </row>
    <row r="22" spans="1:6" ht="14.25">
      <c r="F22" s="6" t="s">
        <v>82</v>
      </c>
    </row>
    <row r="41" spans="1:1">
      <c r="A41" s="55" t="s">
        <v>74</v>
      </c>
    </row>
    <row r="42" spans="1:1">
      <c r="A42" s="56" t="s">
        <v>83</v>
      </c>
    </row>
    <row r="43" spans="1:1">
      <c r="A43" s="56" t="s">
        <v>84</v>
      </c>
    </row>
    <row r="44" spans="1:1">
      <c r="A44" s="56" t="s">
        <v>85</v>
      </c>
    </row>
    <row r="45" spans="1:1">
      <c r="A45" s="57" t="s">
        <v>86</v>
      </c>
    </row>
    <row r="46" spans="1:1">
      <c r="A46" s="58" t="s">
        <v>87</v>
      </c>
    </row>
    <row r="47" spans="1:1">
      <c r="A47" s="58" t="s">
        <v>88</v>
      </c>
    </row>
    <row r="48" spans="1:1">
      <c r="A48" s="59"/>
    </row>
    <row r="49" spans="1:1">
      <c r="A49" s="59"/>
    </row>
    <row r="50" spans="1:1">
      <c r="A50" s="59"/>
    </row>
    <row r="51" spans="1:1">
      <c r="A51" s="59"/>
    </row>
    <row r="52" spans="1:1">
      <c r="A52" s="59"/>
    </row>
    <row r="53" spans="1:1">
      <c r="A53" s="59"/>
    </row>
    <row r="54" spans="1:1">
      <c r="A54" s="59"/>
    </row>
  </sheetData>
  <scenarios current="0">
    <scenario name="accur1" count="4" user="Bernard Jacob" comment="Créé par Bernard Jacob le 11/28/98">
      <inputCells r="I11" val="22.4272510621533" numFmtId="165"/>
      <inputCells r="I12" val="18.4903608949355" numFmtId="165"/>
      <inputCells r="I10" val="16.015615153721" numFmtId="165"/>
      <inputCells r="I9" val="19.6284274872054" numFmtId="165"/>
    </scenario>
  </scenarios>
  <printOptions headings="1"/>
  <pageMargins left="1.3779527559055118" right="0.78740157480314965" top="0.86614173228346458" bottom="0.9055118110236221" header="0.51181102362204722" footer="0.51181102362204722"/>
  <pageSetup paperSize="9" orientation="landscape" horizontalDpi="300" verticalDpi="300" r:id="rId1"/>
  <headerFooter alignWithMargins="0">
    <oddHeader>&amp;C&amp;"Arial,Gras"&amp;14Accuracy calculation (COST 323 Specification)</oddHeader>
    <oddFooter>&amp;C&amp;"Arial,Gras"&amp;14Figure IV-2: Standardised accuracy calculation sheet and presentation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5"/>
  <sheetViews>
    <sheetView workbookViewId="0">
      <selection activeCell="E5" sqref="E5"/>
    </sheetView>
  </sheetViews>
  <sheetFormatPr baseColWidth="10" defaultColWidth="11.42578125" defaultRowHeight="12.75"/>
  <cols>
    <col min="1" max="1" width="11.42578125" style="118"/>
    <col min="2" max="2" width="16.140625" style="118" customWidth="1"/>
    <col min="3" max="3" width="14.140625" style="118" customWidth="1"/>
    <col min="4" max="4" width="14.85546875" style="118" customWidth="1"/>
    <col min="5" max="5" width="14.7109375" style="118" customWidth="1"/>
    <col min="6" max="6" width="11.85546875" style="118" customWidth="1"/>
    <col min="7" max="7" width="11.5703125" style="118" customWidth="1"/>
    <col min="8" max="8" width="4.5703125" style="118" customWidth="1"/>
    <col min="9" max="9" width="4.7109375" style="118" customWidth="1"/>
    <col min="10" max="10" width="16" style="118" customWidth="1"/>
    <col min="11" max="11" width="13.140625" style="118" customWidth="1"/>
    <col min="12" max="12" width="16" style="118" customWidth="1"/>
    <col min="13" max="13" width="13.140625" style="118" customWidth="1"/>
    <col min="14" max="14" width="14.42578125" style="118" customWidth="1"/>
    <col min="15" max="16384" width="11.42578125" style="118"/>
  </cols>
  <sheetData>
    <row r="2" spans="2:14" ht="15">
      <c r="B2" s="454" t="s">
        <v>209</v>
      </c>
      <c r="C2" s="454"/>
      <c r="D2" s="454"/>
      <c r="E2" s="454"/>
      <c r="F2" s="454"/>
      <c r="G2" s="454"/>
      <c r="J2" s="454" t="s">
        <v>210</v>
      </c>
      <c r="K2" s="454"/>
      <c r="L2" s="454"/>
      <c r="M2" s="454"/>
      <c r="N2" s="454"/>
    </row>
    <row r="4" spans="2:14">
      <c r="B4" s="119" t="s">
        <v>203</v>
      </c>
      <c r="C4" s="119" t="s">
        <v>204</v>
      </c>
      <c r="D4" s="119" t="s">
        <v>205</v>
      </c>
      <c r="E4" s="119" t="s">
        <v>206</v>
      </c>
      <c r="F4" s="119" t="s">
        <v>207</v>
      </c>
      <c r="G4" s="119" t="s">
        <v>208</v>
      </c>
      <c r="J4" s="119" t="s">
        <v>203</v>
      </c>
      <c r="K4" s="119" t="s">
        <v>204</v>
      </c>
      <c r="L4" s="119" t="s">
        <v>205</v>
      </c>
      <c r="M4" s="119" t="s">
        <v>206</v>
      </c>
      <c r="N4" s="119" t="s">
        <v>208</v>
      </c>
    </row>
    <row r="5" spans="2:14">
      <c r="B5" s="120" t="str">
        <f>Site_PLtraf!A12</f>
        <v>2017-08-02-09-05-11-722</v>
      </c>
      <c r="C5" s="121">
        <f>COUNTIF(Site_PLtraf!L12:L48,"&gt;0,9")</f>
        <v>18</v>
      </c>
      <c r="D5" s="123">
        <f>COUNTIFS(Site_PLtraf!L12:L48,"&gt;0,9",Site_PLtraf!AY12:AY48,"&gt;0,05")+COUNTIFS(Site_PLtraf!L12:L48,"&gt;0,9",Site_PLtraf!AY12:AY48,"&lt;-0,05")</f>
        <v>13</v>
      </c>
      <c r="E5" s="122" t="e">
        <f t="array" ref="E5">IF(MAX(IF(Site_PLtraf!L12:L48&gt;0.9,Site_PLtraf!$AY$12:$AY$24))&gt;=ABS(IF(Site_PLtraf!L12:L48&gt;0.9,Site_PLtraf!$AY$12:$AY$24)),MAX(IF(Site_PLtraf!L12:L48&gt;0.9,Site_PLtraf!$AY$12:$AY$24)),MIN(IF(Site_PLtraf!L12:L48&gt;0.9,Site_PLtraf!$AY$12:$AY$24)))</f>
        <v>#N/A</v>
      </c>
      <c r="F5" s="122" t="e">
        <f>LOOKUP(E5,Site_PLtraf!AY12:AY48,Site_PLtraf!I12:I48)</f>
        <v>#N/A</v>
      </c>
      <c r="G5" s="123">
        <f>COUNTIFS(Site_PLtraf!L12:L48,"&gt;0,9",Site_PLtraf!AY12:AY48,"&gt;0,025")+COUNTIFS(Site_PLtraf!L12:L48,"&gt;0,9",Site_PLtraf!AY12:AY48,"&lt;-0,025")</f>
        <v>16</v>
      </c>
      <c r="J5" s="120" t="str">
        <f>B5</f>
        <v>2017-08-02-09-05-11-722</v>
      </c>
      <c r="K5" s="121">
        <f t="array" ref="K5">COUNT(IF(Site_PLtraf!L12:L24&gt;0.9,IF(Site_PLtraf!AZ12:BH24&lt;&gt;"",Site_PLtraf!AZ12:BH24)))</f>
        <v>36</v>
      </c>
      <c r="L5" s="123">
        <f t="array" ref="L5">COUNT(IF(Site_PLtraf!L12:L24&gt;0.9,IF(Site_PLtraf!AZ12:BH24&gt;0.05,Site_PLtraf!AZ12:BH24)))+COUNT(IF(Site_PLtraf!L12:L24&gt;0.9,IF(Site_PLtraf!AZ12:BH24&lt;-0.05,Site_PLtraf!AZ12:BH24)))</f>
        <v>31</v>
      </c>
      <c r="M5" s="122" t="e">
        <f t="array" ref="M5">IF(MAX(IF(Site_PLtraf!L12:L48&gt;0.9,Site_PLtraf!AZ12:BH24))&gt;=ABS(IF(Site_PLtraf!L12:L48&gt;0.9,Site_PLtraf!AZ12:BH24)),MAX(IF(Site_PLtraf!L12:L48&gt;0.9,Site_PLtraf!AZ12:BH24)),MIN(IF(Site_PLtraf!L12:L48&gt;0.9,Site_PLtraf!AZ12:BH24)))</f>
        <v>#N/A</v>
      </c>
      <c r="N5" s="123">
        <f t="array" ref="N5">COUNT(IF(Site_PLtraf!L12:L24&gt;0.9,IF(Site_PLtraf!AZ12:BH24&gt;0.025,Site_PLtraf!AZ12:BH24)))+COUNT(IF(Site_PLtraf!L12:L24&gt;0.9,IF(Site_PLtraf!AZ12:BH24&lt;-0.025,Site_PLtraf!AZ12:BH24)))</f>
        <v>34</v>
      </c>
    </row>
  </sheetData>
  <mergeCells count="2">
    <mergeCell ref="J2:N2"/>
    <mergeCell ref="B2:G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12</vt:i4>
      </vt:variant>
    </vt:vector>
  </HeadingPairs>
  <TitlesOfParts>
    <vt:vector size="30" baseType="lpstr">
      <vt:lpstr>Site_PLtraf</vt:lpstr>
      <vt:lpstr>Site_PLtraf_new_0</vt:lpstr>
      <vt:lpstr>Site_PLtraf_new</vt:lpstr>
      <vt:lpstr>NSWD</vt:lpstr>
      <vt:lpstr>Site_PLtraf_new_2</vt:lpstr>
      <vt:lpstr>COST 323</vt:lpstr>
      <vt:lpstr>Site_PLtraf_new_3</vt:lpstr>
      <vt:lpstr>Site_PLtraf_new_2 (2)</vt:lpstr>
      <vt:lpstr>COST 323 (2)</vt:lpstr>
      <vt:lpstr>Site_PLcalibration</vt:lpstr>
      <vt:lpstr>Site_PLcalibration (New) (2)</vt:lpstr>
      <vt:lpstr>Site_PLcalibration (New)</vt:lpstr>
      <vt:lpstr>Accuracy_trafic_All (New)</vt:lpstr>
      <vt:lpstr>Max_Load_France</vt:lpstr>
      <vt:lpstr>Accuracy_trafic_TC&gt;0,9</vt:lpstr>
      <vt:lpstr>Accuracy_trafic_All</vt:lpstr>
      <vt:lpstr>Accuracy_calibration</vt:lpstr>
      <vt:lpstr>OIML_Accuracy</vt:lpstr>
      <vt:lpstr>'COST 323 (2)'!Condition1</vt:lpstr>
      <vt:lpstr>Condition1</vt:lpstr>
      <vt:lpstr>'COST 323 (2)'!Condition2</vt:lpstr>
      <vt:lpstr>Condition2</vt:lpstr>
      <vt:lpstr>'COST 323 (2)'!EnvironmentalConditions</vt:lpstr>
      <vt:lpstr>EnvironmentalConditions</vt:lpstr>
      <vt:lpstr>'COST 323 (2)'!TestConditions</vt:lpstr>
      <vt:lpstr>TestConditions</vt:lpstr>
      <vt:lpstr>'Site_PLtraf_new_2 (2)'!YesNo</vt:lpstr>
      <vt:lpstr>YesNo</vt:lpstr>
      <vt:lpstr>'COST 323'!Zone_d_impression</vt:lpstr>
      <vt:lpstr>'COST 323 (2)'!Zone_d_impression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SCHMIDT Franziska</dc:creator>
  <cp:lastModifiedBy>JACOB Bernard</cp:lastModifiedBy>
  <cp:lastPrinted>2009-08-05T06:30:54Z</cp:lastPrinted>
  <dcterms:created xsi:type="dcterms:W3CDTF">2008-07-22T08:10:24Z</dcterms:created>
  <dcterms:modified xsi:type="dcterms:W3CDTF">2018-03-12T00:37:18Z</dcterms:modified>
</cp:coreProperties>
</file>